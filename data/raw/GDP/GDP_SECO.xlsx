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mc:AlternateContent xmlns:mc="http://schemas.openxmlformats.org/markup-compatibility/2006">
    <mc:Choice Requires="x15">
      <x15ac:absPath xmlns:x15ac="http://schemas.microsoft.com/office/spreadsheetml/2010/11/ac" url="https://unils-my.sharepoint.com/personal/meline_carpin_unil_ch/Documents/Data Science and Advanced Programming/My Cpastone Project/Data GDP/"/>
    </mc:Choice>
  </mc:AlternateContent>
  <xr:revisionPtr revIDLastSave="0" documentId="8_{817CD427-8016-4FB8-995D-D25C0578FB2E}" xr6:coauthVersionLast="47" xr6:coauthVersionMax="47" xr10:uidLastSave="{00000000-0000-0000-0000-000000000000}"/>
  <bookViews>
    <workbookView xWindow="-90" yWindow="0" windowWidth="9780" windowHeight="11730" firstSheet="2" activeTab="2" xr2:uid="{00000000-000D-0000-FFFF-FFFF00000000}"/>
  </bookViews>
  <sheets>
    <sheet name="swiss_qna" sheetId="22080" r:id="rId1"/>
    <sheet name="nom_q" sheetId="22085" r:id="rId2"/>
    <sheet name="real_q" sheetId="22086" r:id="rId3"/>
    <sheet name="defl_q" sheetId="22087" r:id="rId4"/>
    <sheet name="gc_q" sheetId="22088" r:id="rId5"/>
    <sheet name="nom_y" sheetId="22089" r:id="rId6"/>
    <sheet name="real_y" sheetId="22090" r:id="rId7"/>
    <sheet name="defl_y" sheetId="22091" r:id="rId8"/>
    <sheet name="gc_y" sheetId="22092" r:id="rId9"/>
    <sheet name="beschriftung" sheetId="22093" state="very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22092" l="1"/>
  <c r="K6" i="22092"/>
  <c r="AI5" i="22092"/>
  <c r="BC4" i="22092"/>
  <c r="W4" i="22092"/>
  <c r="BE6" i="22091"/>
  <c r="BD5" i="22091"/>
  <c r="X5" i="22091"/>
  <c r="AV4" i="22091"/>
  <c r="L4" i="22091"/>
  <c r="AS6" i="22090"/>
  <c r="AY5" i="22090"/>
  <c r="Q5" i="22090"/>
  <c r="AQ4" i="22090"/>
  <c r="G4" i="22090"/>
  <c r="AE6" i="22089"/>
  <c r="AR5" i="22089"/>
  <c r="H5" i="22089"/>
  <c r="AJ4" i="22089"/>
  <c r="A2" i="22089"/>
  <c r="S6" i="22088"/>
  <c r="AM5" i="22088"/>
  <c r="BE4" i="22088"/>
  <c r="AA4" i="22088"/>
  <c r="O8" i="22087"/>
  <c r="BF5" i="22087"/>
  <c r="AB5" i="22087"/>
  <c r="AZ4" i="22087"/>
  <c r="R4" i="22087"/>
  <c r="AW6" i="22086"/>
  <c r="BA5" i="22086"/>
  <c r="U5" i="22086"/>
  <c r="AS4" i="22086"/>
  <c r="I4" i="22086"/>
  <c r="AM6" i="22085"/>
  <c r="AV5" i="22085"/>
  <c r="L5" i="22085"/>
  <c r="AP4" i="22085"/>
  <c r="F4" i="22085"/>
  <c r="G6" i="22092"/>
  <c r="AY6" i="22091"/>
  <c r="V5" i="22091"/>
  <c r="J4" i="22091"/>
  <c r="AU5" i="22090"/>
  <c r="AO4" i="22090"/>
  <c r="AA6" i="22089"/>
  <c r="AH4" i="22089"/>
  <c r="K6" i="22088"/>
  <c r="BC4" i="22088"/>
  <c r="BE6" i="22087"/>
  <c r="AV4" i="22087"/>
  <c r="AS6" i="22086"/>
  <c r="Q5" i="22086"/>
  <c r="G4" i="22086"/>
  <c r="AT5" i="22085"/>
  <c r="J5" i="22085"/>
  <c r="BF5" i="22092"/>
  <c r="AZ4" i="22092"/>
  <c r="AW6" i="22091"/>
  <c r="U5" i="22091"/>
  <c r="I4" i="22091"/>
  <c r="AT5" i="22090"/>
  <c r="AN4" i="22090"/>
  <c r="AO5" i="22089"/>
  <c r="AG4" i="22089"/>
  <c r="I6" i="22088"/>
  <c r="V4" i="22088"/>
  <c r="BC5" i="22087"/>
  <c r="AU4" i="22087"/>
  <c r="AQ6" i="22086"/>
  <c r="AV5" i="22086"/>
  <c r="AP4" i="22086"/>
  <c r="AC6" i="22085"/>
  <c r="I5" i="22085"/>
  <c r="C4" i="22085"/>
  <c r="BE5" i="22092"/>
  <c r="AY4" i="22092"/>
  <c r="AU6" i="22091"/>
  <c r="R5" i="22091"/>
  <c r="H4" i="22091"/>
  <c r="AS5" i="22090"/>
  <c r="AM4" i="22090"/>
  <c r="U6" i="22089"/>
  <c r="BF4" i="22089"/>
  <c r="Y8" i="22088"/>
  <c r="U4" i="22088"/>
  <c r="V5" i="22087"/>
  <c r="J4" i="22087"/>
  <c r="AU5" i="22086"/>
  <c r="AO4" i="22086"/>
  <c r="E4" i="22086"/>
  <c r="AR5" i="22085"/>
  <c r="AJ4" i="22085"/>
  <c r="BE6" i="22092"/>
  <c r="X5" i="22092"/>
  <c r="AV4" i="22092"/>
  <c r="AS6" i="22091"/>
  <c r="Q5" i="22091"/>
  <c r="G4" i="22091"/>
  <c r="AR5" i="22090"/>
  <c r="AJ4" i="22090"/>
  <c r="S6" i="22089"/>
  <c r="BE4" i="22089"/>
  <c r="O8" i="22088"/>
  <c r="AB5" i="22088"/>
  <c r="AW6" i="22087"/>
  <c r="AS4" i="22087"/>
  <c r="AM6" i="22086"/>
  <c r="J5" i="22086"/>
  <c r="D4" i="22086"/>
  <c r="AQ5" i="22085"/>
  <c r="AI4" i="22085"/>
  <c r="BC5" i="22092"/>
  <c r="AU4" i="22092"/>
  <c r="AQ6" i="22091"/>
  <c r="L5" i="22091"/>
  <c r="F4" i="22091"/>
  <c r="AI8" i="22092"/>
  <c r="I6" i="22092"/>
  <c r="AH5" i="22092"/>
  <c r="BB4" i="22092"/>
  <c r="V4" i="22092"/>
  <c r="BC6" i="22091"/>
  <c r="BC5" i="22091"/>
  <c r="W5" i="22091"/>
  <c r="AU4" i="22091"/>
  <c r="K4" i="22091"/>
  <c r="AQ6" i="22090"/>
  <c r="AV5" i="22090"/>
  <c r="L5" i="22090"/>
  <c r="AP4" i="22090"/>
  <c r="F4" i="22090"/>
  <c r="AC6" i="22089"/>
  <c r="AQ5" i="22089"/>
  <c r="G5" i="22089"/>
  <c r="AI4" i="22089"/>
  <c r="A1" i="22089"/>
  <c r="Q6" i="22088"/>
  <c r="AJ5" i="22088"/>
  <c r="BD4" i="22088"/>
  <c r="X4" i="22088"/>
  <c r="M8" i="22087"/>
  <c r="BE5" i="22087"/>
  <c r="AA5" i="22087"/>
  <c r="AY4" i="22087"/>
  <c r="Q4" i="22087"/>
  <c r="AU6" i="22086"/>
  <c r="AZ5" i="22086"/>
  <c r="R5" i="22086"/>
  <c r="AR4" i="22086"/>
  <c r="H4" i="22086"/>
  <c r="AG6" i="22085"/>
  <c r="AU5" i="22085"/>
  <c r="K5" i="22085"/>
  <c r="AO4" i="22085"/>
  <c r="E4" i="22085"/>
  <c r="Y8" i="22092"/>
  <c r="AG5" i="22092"/>
  <c r="BA4" i="22092"/>
  <c r="U4" i="22092"/>
  <c r="BB5" i="22091"/>
  <c r="AT4" i="22091"/>
  <c r="AO6" i="22090"/>
  <c r="K5" i="22090"/>
  <c r="E4" i="22090"/>
  <c r="AP5" i="22089"/>
  <c r="F5" i="22089"/>
  <c r="AK8" i="22088"/>
  <c r="AI5" i="22088"/>
  <c r="W4" i="22088"/>
  <c r="BD5" i="22087"/>
  <c r="X5" i="22087"/>
  <c r="L4" i="22087"/>
  <c r="AY5" i="22086"/>
  <c r="AQ4" i="22086"/>
  <c r="AE6" i="22085"/>
  <c r="AN4" i="22085"/>
  <c r="D4" i="22085"/>
  <c r="O8" i="22092"/>
  <c r="AB5" i="22092"/>
  <c r="R4" i="22092"/>
  <c r="BA5" i="22091"/>
  <c r="AS4" i="22091"/>
  <c r="AM6" i="22090"/>
  <c r="J5" i="22090"/>
  <c r="D4" i="22090"/>
  <c r="W6" i="22089"/>
  <c r="E5" i="22089"/>
  <c r="AI8" i="22088"/>
  <c r="AH5" i="22088"/>
  <c r="BB4" i="22088"/>
  <c r="BC6" i="22087"/>
  <c r="W5" i="22087"/>
  <c r="K4" i="22087"/>
  <c r="L5" i="22086"/>
  <c r="F4" i="22086"/>
  <c r="AS5" i="22085"/>
  <c r="AM4" i="22085"/>
  <c r="M8" i="22092"/>
  <c r="AA5" i="22092"/>
  <c r="Q4" i="22092"/>
  <c r="AZ5" i="22091"/>
  <c r="AR4" i="22091"/>
  <c r="AG6" i="22090"/>
  <c r="I5" i="22090"/>
  <c r="C4" i="22090"/>
  <c r="AN5" i="22089"/>
  <c r="AB4" i="22089"/>
  <c r="G6" i="22088"/>
  <c r="AG5" i="22088"/>
  <c r="BA4" i="22088"/>
  <c r="AY6" i="22087"/>
  <c r="BB5" i="22087"/>
  <c r="AT4" i="22087"/>
  <c r="AO6" i="22086"/>
  <c r="K5" i="22086"/>
  <c r="AA6" i="22085"/>
  <c r="H5" i="22085"/>
  <c r="A2" i="22085"/>
  <c r="BD5" i="22092"/>
  <c r="L4" i="22092"/>
  <c r="AY5" i="22091"/>
  <c r="AQ4" i="22091"/>
  <c r="AE6" i="22090"/>
  <c r="H5" i="22090"/>
  <c r="A2" i="22090"/>
  <c r="AM5" i="22089"/>
  <c r="AA4" i="22089"/>
  <c r="BF5" i="22088"/>
  <c r="AZ4" i="22088"/>
  <c r="R4" i="22088"/>
  <c r="BA5" i="22087"/>
  <c r="U5" i="22087"/>
  <c r="I4" i="22087"/>
  <c r="AT5" i="22086"/>
  <c r="AN4" i="22086"/>
  <c r="W6" i="22085"/>
  <c r="G5" i="22085"/>
  <c r="A1" i="22085"/>
  <c r="BC6" i="22092"/>
  <c r="W5" i="22092"/>
  <c r="K4" i="22092"/>
  <c r="AV5" i="22091"/>
  <c r="AP4" i="22091"/>
  <c r="AY6" i="22092"/>
  <c r="AS5" i="22092"/>
  <c r="BD4" i="22092"/>
  <c r="D4" i="22092"/>
  <c r="BF5" i="22091"/>
  <c r="F5" i="22091"/>
  <c r="U4" i="22091"/>
  <c r="S6" i="22090"/>
  <c r="AA5" i="22090"/>
  <c r="AI4" i="22090"/>
  <c r="BE6" i="22089"/>
  <c r="AV5" i="22089"/>
  <c r="BB4" i="22089"/>
  <c r="J4" i="22089"/>
  <c r="W6" i="22088"/>
  <c r="U5" i="22088"/>
  <c r="AM4" i="22088"/>
  <c r="AU6" i="22087"/>
  <c r="AR5" i="22087"/>
  <c r="BD4" i="22087"/>
  <c r="F4" i="22087"/>
  <c r="K6" i="22086"/>
  <c r="W5" i="22086"/>
  <c r="AG4" i="22086"/>
  <c r="AY6" i="22085"/>
  <c r="AP5" i="22085"/>
  <c r="BB4" i="22085"/>
  <c r="J4" i="22085"/>
  <c r="AW6" i="22092"/>
  <c r="AR5" i="22092"/>
  <c r="AT4" i="22092"/>
  <c r="C4" i="22092"/>
  <c r="BE5" i="22091"/>
  <c r="E5" i="22091"/>
  <c r="R4" i="22091"/>
  <c r="Q6" i="22090"/>
  <c r="X5" i="22090"/>
  <c r="AH4" i="22090"/>
  <c r="BC6" i="22089"/>
  <c r="AU5" i="22089"/>
  <c r="BA4" i="22089"/>
  <c r="I4" i="22089"/>
  <c r="U6" i="22088"/>
  <c r="R5" i="22088"/>
  <c r="AJ4" i="22088"/>
  <c r="AS6" i="22087"/>
  <c r="AQ5" i="22087"/>
  <c r="BC4" i="22087"/>
  <c r="E4" i="22087"/>
  <c r="I6" i="22086"/>
  <c r="V5" i="22086"/>
  <c r="AB4" i="22086"/>
  <c r="AW6" i="22085"/>
  <c r="AO5" i="22085"/>
  <c r="BA4" i="22085"/>
  <c r="I4" i="22085"/>
  <c r="AU6" i="22092"/>
  <c r="AQ5" i="22092"/>
  <c r="AS4" i="22092"/>
  <c r="A2" i="22092"/>
  <c r="AU5" i="22091"/>
  <c r="BF4" i="22091"/>
  <c r="Q4" i="22091"/>
  <c r="K6" i="22090"/>
  <c r="W5" i="22090"/>
  <c r="AG4" i="22090"/>
  <c r="AY6" i="22089"/>
  <c r="AT5" i="22089"/>
  <c r="AZ4" i="22089"/>
  <c r="H4" i="22089"/>
  <c r="BE5" i="22088"/>
  <c r="Q5" i="22088"/>
  <c r="AI4" i="22088"/>
  <c r="AQ6" i="22087"/>
  <c r="AP5" i="22087"/>
  <c r="BB4" i="22087"/>
  <c r="D4" i="22087"/>
  <c r="G6" i="22086"/>
  <c r="I5" i="22086"/>
  <c r="AA4" i="22086"/>
  <c r="AU6" i="22085"/>
  <c r="AN5" i="22085"/>
  <c r="AZ4" i="22085"/>
  <c r="H4" i="22085"/>
  <c r="AS6" i="22092"/>
  <c r="AP5" i="22092"/>
  <c r="AR4" i="22092"/>
  <c r="A1" i="22092"/>
  <c r="AT5" i="22091"/>
  <c r="BE4" i="22091"/>
  <c r="E4" i="22091"/>
  <c r="I6" i="22090"/>
  <c r="V5" i="22090"/>
  <c r="AB4" i="22090"/>
  <c r="AW6" i="22089"/>
  <c r="AS5" i="22089"/>
  <c r="AY4" i="22089"/>
  <c r="G4" i="22089"/>
  <c r="BD5" i="22088"/>
  <c r="L5" i="22088"/>
  <c r="AH4" i="22088"/>
  <c r="AO6" i="22087"/>
  <c r="AO5" i="22087"/>
  <c r="BA4" i="22087"/>
  <c r="C4" i="22087"/>
  <c r="BF5" i="22086"/>
  <c r="H5" i="22086"/>
  <c r="X4" i="22086"/>
  <c r="AS6" i="22085"/>
  <c r="AM5" i="22085"/>
  <c r="AY4" i="22085"/>
  <c r="G4" i="22085"/>
  <c r="AJ5" i="22092"/>
  <c r="O8" i="22091"/>
  <c r="BA4" i="22091"/>
  <c r="BD5" i="22090"/>
  <c r="V4" i="22090"/>
  <c r="AG5" i="22089"/>
  <c r="C4" i="22089"/>
  <c r="AZ5" i="22088"/>
  <c r="L4" i="22088"/>
  <c r="AI5" i="22087"/>
  <c r="AI8" i="22086"/>
  <c r="BF4" i="22086"/>
  <c r="S6" i="22085"/>
  <c r="AS4" i="22085"/>
  <c r="V5" i="22092"/>
  <c r="AQ6" i="22092"/>
  <c r="AO5" i="22092"/>
  <c r="AQ4" i="22092"/>
  <c r="AK8" i="22091"/>
  <c r="AS5" i="22091"/>
  <c r="BD4" i="22091"/>
  <c r="D4" i="22091"/>
  <c r="G6" i="22090"/>
  <c r="U5" i="22090"/>
  <c r="AA4" i="22090"/>
  <c r="AU6" i="22089"/>
  <c r="AJ5" i="22089"/>
  <c r="AV4" i="22089"/>
  <c r="F4" i="22089"/>
  <c r="BC5" i="22088"/>
  <c r="K5" i="22088"/>
  <c r="AG4" i="22088"/>
  <c r="AM6" i="22087"/>
  <c r="AN5" i="22087"/>
  <c r="AR4" i="22087"/>
  <c r="A2" i="22087"/>
  <c r="BE5" i="22086"/>
  <c r="G5" i="22086"/>
  <c r="W4" i="22086"/>
  <c r="AQ6" i="22085"/>
  <c r="AJ5" i="22085"/>
  <c r="AV4" i="22085"/>
  <c r="AO6" i="22092"/>
  <c r="AN5" i="22092"/>
  <c r="AP4" i="22092"/>
  <c r="AI8" i="22091"/>
  <c r="AR5" i="22091"/>
  <c r="BC4" i="22091"/>
  <c r="C4" i="22091"/>
  <c r="BF5" i="22090"/>
  <c r="R5" i="22090"/>
  <c r="X4" i="22090"/>
  <c r="AS6" i="22089"/>
  <c r="AI5" i="22089"/>
  <c r="AU4" i="22089"/>
  <c r="E4" i="22089"/>
  <c r="BB5" i="22088"/>
  <c r="J5" i="22088"/>
  <c r="AB4" i="22088"/>
  <c r="AG6" i="22087"/>
  <c r="AM5" i="22087"/>
  <c r="AQ4" i="22087"/>
  <c r="A1" i="22087"/>
  <c r="BD5" i="22086"/>
  <c r="F5" i="22086"/>
  <c r="V4" i="22086"/>
  <c r="AO6" i="22085"/>
  <c r="AI5" i="22085"/>
  <c r="AU4" i="22085"/>
  <c r="AM6" i="22092"/>
  <c r="AM5" i="22092"/>
  <c r="AO4" i="22092"/>
  <c r="Y8" i="22091"/>
  <c r="AQ5" i="22091"/>
  <c r="BB4" i="22091"/>
  <c r="A2" i="22091"/>
  <c r="BE5" i="22090"/>
  <c r="G5" i="22090"/>
  <c r="W4" i="22090"/>
  <c r="AQ6" i="22089"/>
  <c r="AH5" i="22089"/>
  <c r="AT4" i="22089"/>
  <c r="D4" i="22089"/>
  <c r="BA5" i="22088"/>
  <c r="I5" i="22088"/>
  <c r="Q4" i="22088"/>
  <c r="AE6" i="22087"/>
  <c r="AJ5" i="22087"/>
  <c r="AP4" i="22087"/>
  <c r="AK8" i="22086"/>
  <c r="BC5" i="22086"/>
  <c r="E5" i="22086"/>
  <c r="U4" i="22086"/>
  <c r="U6" i="22085"/>
  <c r="AH5" i="22085"/>
  <c r="AT4" i="22085"/>
  <c r="AG6" i="22092"/>
  <c r="AN4" i="22092"/>
  <c r="AP5" i="22091"/>
  <c r="A1" i="22091"/>
  <c r="F5" i="22090"/>
  <c r="AO6" i="22089"/>
  <c r="AS4" i="22089"/>
  <c r="H5" i="22088"/>
  <c r="AC6" i="22087"/>
  <c r="AO4" i="22087"/>
  <c r="BB5" i="22086"/>
  <c r="R4" i="22086"/>
  <c r="AG5" i="22085"/>
  <c r="AE6" i="22092"/>
  <c r="AM4" i="22092"/>
  <c r="AC6" i="22092"/>
  <c r="F5" i="22092"/>
  <c r="AC6" i="22091"/>
  <c r="G5" i="22091"/>
  <c r="AY6" i="22090"/>
  <c r="BF4" i="22090"/>
  <c r="AK8" i="22089"/>
  <c r="W5" i="22089"/>
  <c r="Q4" i="22089"/>
  <c r="AR5" i="22088"/>
  <c r="AN4" i="22088"/>
  <c r="G6" i="22087"/>
  <c r="AM4" i="22087"/>
  <c r="AA6" i="22086"/>
  <c r="BB4" i="22086"/>
  <c r="M8" i="22085"/>
  <c r="U5" i="22085"/>
  <c r="K4" i="22085"/>
  <c r="S6" i="22092"/>
  <c r="AJ4" i="22092"/>
  <c r="S6" i="22091"/>
  <c r="AN4" i="22091"/>
  <c r="AA6" i="22090"/>
  <c r="BB4" i="22090"/>
  <c r="M8" i="22089"/>
  <c r="Q5" i="22089"/>
  <c r="BE6" i="22088"/>
  <c r="AN5" i="22088"/>
  <c r="H4" i="22088"/>
  <c r="AU5" i="22087"/>
  <c r="AG4" i="22087"/>
  <c r="Q6" i="22086"/>
  <c r="AV4" i="22086"/>
  <c r="K6" i="22085"/>
  <c r="E5" i="22085"/>
  <c r="Q6" i="22092"/>
  <c r="AI4" i="22092"/>
  <c r="Q6" i="22091"/>
  <c r="AM4" i="22091"/>
  <c r="W6" i="22090"/>
  <c r="BA4" i="22090"/>
  <c r="AM6" i="22089"/>
  <c r="L5" i="22089"/>
  <c r="BC6" i="22088"/>
  <c r="AA5" i="22088"/>
  <c r="G4" i="22088"/>
  <c r="AT5" i="22087"/>
  <c r="AB4" i="22087"/>
  <c r="AS5" i="22086"/>
  <c r="AU4" i="22086"/>
  <c r="I6" i="22085"/>
  <c r="BF4" i="22085"/>
  <c r="BB5" i="22092"/>
  <c r="AH4" i="22092"/>
  <c r="K6" i="22091"/>
  <c r="AJ4" i="22091"/>
  <c r="U6" i="22090"/>
  <c r="AZ4" i="22090"/>
  <c r="AG6" i="22089"/>
  <c r="K5" i="22089"/>
  <c r="AY6" i="22088"/>
  <c r="X5" i="22088"/>
  <c r="F4" i="22088"/>
  <c r="AS5" i="22087"/>
  <c r="AA4" i="22087"/>
  <c r="AR5" i="22086"/>
  <c r="AT4" i="22086"/>
  <c r="G6" i="22085"/>
  <c r="BE4" i="22085"/>
  <c r="BA5" i="22092"/>
  <c r="AG4" i="22092"/>
  <c r="I6" i="22091"/>
  <c r="AI4" i="22091"/>
  <c r="BC5" i="22090"/>
  <c r="AY4" i="22090"/>
  <c r="Q6" i="22089"/>
  <c r="J5" i="22089"/>
  <c r="AW6" i="22088"/>
  <c r="W5" i="22088"/>
  <c r="E4" i="22088"/>
  <c r="AH5" i="22087"/>
  <c r="X4" i="22087"/>
  <c r="AQ5" i="22086"/>
  <c r="AM4" i="22086"/>
  <c r="BH5" i="22085"/>
  <c r="BD4" i="22085"/>
  <c r="AZ5" i="22092"/>
  <c r="AB4" i="22092"/>
  <c r="G6" i="22091"/>
  <c r="AH4" i="22091"/>
  <c r="BB5" i="22090"/>
  <c r="AV4" i="22090"/>
  <c r="K6" i="22089"/>
  <c r="I5" i="22089"/>
  <c r="AU6" i="22088"/>
  <c r="V5" i="22088"/>
  <c r="D4" i="22088"/>
  <c r="AG5" i="22087"/>
  <c r="W4" i="22087"/>
  <c r="AP5" i="22086"/>
  <c r="AJ4" i="22086"/>
  <c r="BG5" i="22085"/>
  <c r="BC4" i="22085"/>
  <c r="AY5" i="22092"/>
  <c r="AA4" i="22092"/>
  <c r="AO5" i="22091"/>
  <c r="AG4" i="22091"/>
  <c r="BA5" i="22090"/>
  <c r="AU4" i="22090"/>
  <c r="I6" i="22089"/>
  <c r="BD4" i="22089"/>
  <c r="AS6" i="22088"/>
  <c r="G5" i="22088"/>
  <c r="C4" i="22088"/>
  <c r="R5" i="22087"/>
  <c r="V4" i="22087"/>
  <c r="AO5" i="22086"/>
  <c r="AI4" i="22086"/>
  <c r="BF5" i="22085"/>
  <c r="AR4" i="22085"/>
  <c r="AV5" i="22092"/>
  <c r="X4" i="22092"/>
  <c r="AN5" i="22091"/>
  <c r="AB4" i="22091"/>
  <c r="AZ5" i="22090"/>
  <c r="AT4" i="22090"/>
  <c r="G6" i="22089"/>
  <c r="BC4" i="22089"/>
  <c r="AQ6" i="22088"/>
  <c r="F5" i="22088"/>
  <c r="A2" i="22088"/>
  <c r="Q5" i="22087"/>
  <c r="U4" i="22087"/>
  <c r="AN5" i="22086"/>
  <c r="AH4" i="22086"/>
  <c r="BE5" i="22085"/>
  <c r="AQ4" i="22085"/>
  <c r="AU5" i="22092"/>
  <c r="J4" i="22092"/>
  <c r="AM5" i="22091"/>
  <c r="AA4" i="22091"/>
  <c r="AQ5" i="22090"/>
  <c r="AS4" i="22090"/>
  <c r="BF5" i="22089"/>
  <c r="AR4" i="22089"/>
  <c r="AA6" i="22092"/>
  <c r="AO6" i="22091"/>
  <c r="V4" i="22091"/>
  <c r="BD4" i="22090"/>
  <c r="AB5" i="22089"/>
  <c r="AE6" i="22088"/>
  <c r="K4" i="22088"/>
  <c r="G5" i="22087"/>
  <c r="S6" i="22086"/>
  <c r="AK8" i="22085"/>
  <c r="AG4" i="22085"/>
  <c r="W6" i="22092"/>
  <c r="AM6" i="22091"/>
  <c r="AK8" i="22090"/>
  <c r="BC4" i="22090"/>
  <c r="AA5" i="22089"/>
  <c r="AC6" i="22088"/>
  <c r="J4" i="22088"/>
  <c r="F5" i="22087"/>
  <c r="AM5" i="22086"/>
  <c r="AI8" i="22085"/>
  <c r="AB4" i="22085"/>
  <c r="U6" i="22092"/>
  <c r="AG6" i="22091"/>
  <c r="AI8" i="22090"/>
  <c r="AR4" i="22090"/>
  <c r="X5" i="22089"/>
  <c r="AA6" i="22088"/>
  <c r="I4" i="22088"/>
  <c r="E5" i="22087"/>
  <c r="AJ5" i="22086"/>
  <c r="Y8" i="22085"/>
  <c r="AA4" i="22085"/>
  <c r="AT5" i="22092"/>
  <c r="AE6" i="22091"/>
  <c r="Y8" i="22090"/>
  <c r="U4" i="22090"/>
  <c r="V5" i="22089"/>
  <c r="AY5" i="22088"/>
  <c r="A1" i="22088"/>
  <c r="BF4" i="22087"/>
  <c r="AI5" i="22086"/>
  <c r="O8" i="22085"/>
  <c r="X4" i="22085"/>
  <c r="U6" i="22087"/>
  <c r="BE4" i="22086"/>
  <c r="L4" i="22085"/>
  <c r="AG5" i="22091"/>
  <c r="S6" i="22087"/>
  <c r="BD4" i="22086"/>
  <c r="H5" i="22092"/>
  <c r="AP5" i="22090"/>
  <c r="X4" i="22089"/>
  <c r="Q6" i="22087"/>
  <c r="BC4" i="22086"/>
  <c r="AZ5" i="22085"/>
  <c r="G5" i="22092"/>
  <c r="AI8" i="22089"/>
  <c r="K6" i="22087"/>
  <c r="BA4" i="22086"/>
  <c r="E5" i="22092"/>
  <c r="AN5" i="22090"/>
  <c r="V4" i="22089"/>
  <c r="I6" i="22087"/>
  <c r="AZ4" i="22086"/>
  <c r="BF4" i="22092"/>
  <c r="AM5" i="22090"/>
  <c r="U4" i="22089"/>
  <c r="AZ5" i="22087"/>
  <c r="AY4" i="22086"/>
  <c r="BE4" i="22092"/>
  <c r="AJ5" i="22090"/>
  <c r="R4" i="22089"/>
  <c r="AY5" i="22087"/>
  <c r="Q4" i="22086"/>
  <c r="I4" i="22092"/>
  <c r="AI5" i="22090"/>
  <c r="L4" i="22089"/>
  <c r="AV5" i="22087"/>
  <c r="L4" i="22086"/>
  <c r="H4" i="22092"/>
  <c r="AH5" i="22090"/>
  <c r="K4" i="22089"/>
  <c r="L5" i="22087"/>
  <c r="K4" i="22086"/>
  <c r="G4" i="22092"/>
  <c r="AG5" i="22090"/>
  <c r="M8" i="22088"/>
  <c r="K5" i="22087"/>
  <c r="J4" i="22086"/>
  <c r="F4" i="22092"/>
  <c r="AO6" i="22088"/>
  <c r="J5" i="22087"/>
  <c r="C4" i="22086"/>
  <c r="E4" i="22092"/>
  <c r="E5" i="22090"/>
  <c r="AM6" i="22088"/>
  <c r="W6" i="22086"/>
  <c r="F5" i="22085"/>
  <c r="W4" i="22091"/>
  <c r="BE4" i="22090"/>
  <c r="AG6" i="22088"/>
  <c r="H5" i="22087"/>
  <c r="A1" i="22086"/>
  <c r="U5" i="22092"/>
  <c r="AA6" i="22091"/>
  <c r="O8" i="22090"/>
  <c r="R4" i="22090"/>
  <c r="U5" i="22089"/>
  <c r="AV5" i="22088"/>
  <c r="AK8" i="22087"/>
  <c r="BE4" i="22087"/>
  <c r="AH5" i="22086"/>
  <c r="BE6" i="22085"/>
  <c r="W4" i="22085"/>
  <c r="R5" i="22092"/>
  <c r="W6" i="22091"/>
  <c r="M8" i="22090"/>
  <c r="Q4" i="22090"/>
  <c r="R5" i="22089"/>
  <c r="AU5" i="22088"/>
  <c r="AI8" i="22087"/>
  <c r="AN4" i="22087"/>
  <c r="AG5" i="22086"/>
  <c r="BC6" i="22085"/>
  <c r="V4" i="22085"/>
  <c r="Q5" i="22092"/>
  <c r="U6" i="22091"/>
  <c r="BE6" i="22090"/>
  <c r="L4" i="22090"/>
  <c r="AQ4" i="22089"/>
  <c r="AT5" i="22088"/>
  <c r="Y8" i="22087"/>
  <c r="AJ4" i="22087"/>
  <c r="AB5" i="22086"/>
  <c r="Q6" i="22085"/>
  <c r="U4" i="22085"/>
  <c r="L5" i="22092"/>
  <c r="AJ5" i="22091"/>
  <c r="BC6" i="22090"/>
  <c r="K4" i="22090"/>
  <c r="AP4" i="22089"/>
  <c r="AS5" i="22088"/>
  <c r="AA6" i="22087"/>
  <c r="AI4" i="22087"/>
  <c r="AA5" i="22086"/>
  <c r="BD5" i="22085"/>
  <c r="R4" i="22085"/>
  <c r="K5" i="22092"/>
  <c r="AI5" i="22091"/>
  <c r="AW6" i="22090"/>
  <c r="J4" i="22090"/>
  <c r="AO4" i="22089"/>
  <c r="AQ5" i="22088"/>
  <c r="W6" i="22087"/>
  <c r="AH4" i="22087"/>
  <c r="X5" i="22086"/>
  <c r="BC5" i="22085"/>
  <c r="Q4" i="22085"/>
  <c r="J5" i="22092"/>
  <c r="AH5" i="22091"/>
  <c r="AU6" i="22090"/>
  <c r="I4" i="22090"/>
  <c r="AN4" i="22089"/>
  <c r="AP5" i="22088"/>
  <c r="H4" i="22087"/>
  <c r="BB5" i="22085"/>
  <c r="I5" i="22092"/>
  <c r="AC6" i="22090"/>
  <c r="H4" i="22090"/>
  <c r="AM4" i="22089"/>
  <c r="AO5" i="22088"/>
  <c r="G4" i="22087"/>
  <c r="BA5" i="22085"/>
  <c r="AB5" i="22091"/>
  <c r="A1" i="22090"/>
  <c r="E5" i="22088"/>
  <c r="Y8" i="22086"/>
  <c r="AA5" i="22091"/>
  <c r="AO5" i="22090"/>
  <c r="W4" i="22089"/>
  <c r="BF4" i="22088"/>
  <c r="O8" i="22086"/>
  <c r="AY5" i="22085"/>
  <c r="K5" i="22091"/>
  <c r="Y8" i="22089"/>
  <c r="AY4" i="22088"/>
  <c r="M8" i="22086"/>
  <c r="AB5" i="22085"/>
  <c r="J5" i="22091"/>
  <c r="O8" i="22089"/>
  <c r="AV4" i="22088"/>
  <c r="BE6" i="22086"/>
  <c r="AA5" i="22085"/>
  <c r="I5" i="22091"/>
  <c r="BE5" i="22089"/>
  <c r="AU4" i="22088"/>
  <c r="BC6" i="22086"/>
  <c r="X5" i="22085"/>
  <c r="H5" i="22091"/>
  <c r="BD5" i="22089"/>
  <c r="AT4" i="22088"/>
  <c r="AY6" i="22086"/>
  <c r="W5" i="22085"/>
  <c r="AZ4" i="22091"/>
  <c r="BC5" i="22089"/>
  <c r="AS4" i="22088"/>
  <c r="AG6" i="22086"/>
  <c r="V5" i="22085"/>
  <c r="AY4" i="22091"/>
  <c r="BB5" i="22089"/>
  <c r="AR4" i="22088"/>
  <c r="AE6" i="22086"/>
  <c r="R5" i="22085"/>
  <c r="AO4" i="22091"/>
  <c r="AB5" i="22090"/>
  <c r="BA5" i="22089"/>
  <c r="AQ4" i="22088"/>
  <c r="AC6" i="22086"/>
  <c r="Q5" i="22085"/>
  <c r="X4" i="22091"/>
  <c r="AZ5" i="22089"/>
  <c r="AP4" i="22088"/>
  <c r="I5" i="22087"/>
  <c r="A2" i="22086"/>
  <c r="M8" i="22091"/>
  <c r="AY5" i="22089"/>
  <c r="AO4" i="22088"/>
  <c r="U6" i="22086"/>
  <c r="AH4" i="22085"/>
</calcChain>
</file>

<file path=xl/sharedStrings.xml><?xml version="1.0" encoding="utf-8"?>
<sst xmlns="http://schemas.openxmlformats.org/spreadsheetml/2006/main" count="465" uniqueCount="199">
  <si>
    <t>Administrations publiques</t>
  </si>
  <si>
    <t>Construction</t>
  </si>
  <si>
    <t>Produit intérieur brut</t>
  </si>
  <si>
    <t xml:space="preserve"> </t>
  </si>
  <si>
    <t>Bruttoinlandprodukt</t>
  </si>
  <si>
    <t>Implicit chain price indexes, year-on-year growth rates</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</si>
  <si>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</si>
  <si>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</si>
  <si>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</si>
  <si>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</si>
  <si>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</si>
  <si>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</si>
  <si>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</si>
  <si>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</si>
  <si>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</si>
  <si>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</si>
  <si>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</si>
  <si>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</si>
  <si>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</si>
  <si>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Indices des prix, variations en % par rapport au même trimestre de l'année précédente</t>
  </si>
  <si>
    <t>Indices des prix, variations en % par rapport de l'année précédente</t>
  </si>
  <si>
    <t>Contributions to real GDP-growth</t>
  </si>
  <si>
    <t>contributions à la croissance réelle du PIB</t>
  </si>
  <si>
    <t>Contributi alla crescita reale del PIL</t>
  </si>
  <si>
    <t>NA</t>
  </si>
  <si>
    <t>Gross domestic product</t>
  </si>
  <si>
    <t xml:space="preserve">                                                                                           Staatssekretariat für Wirtschaft SECO</t>
  </si>
  <si>
    <t xml:space="preserve">                                                                                           Secrétariat d'Etat à l'économie SECO</t>
  </si>
  <si>
    <t xml:space="preserve">                                                                                           Secretariat da stadi per l'economia SECO</t>
  </si>
  <si>
    <t xml:space="preserve">                                                                                           State Secretariat for Economic Affairs SECO</t>
  </si>
  <si>
    <t>Pages labelled at the end with "_q" contain quarterly data, pages with "_y" contain yearly figures.</t>
  </si>
  <si>
    <t>Seiten mit der Endbezeichnung "_q" enthalten Quartalszahlen, diejenigen mit "_y" Jahreszahlen.</t>
  </si>
  <si>
    <t>Les feuilles du présent fichier excel avec l'extension "_q" contiennent les résultats trimestriels, celles avec l'extension "_y" les résultats annuels.</t>
  </si>
  <si>
    <t>Le pagine contrassegnate alla fine con "_q" contengono dati trimestrali, le pagine con "_y" contengono dati annuali.</t>
  </si>
  <si>
    <t>Berichtigungen</t>
  </si>
  <si>
    <t>Bergbau und Gewinnung von Steinen und Erden</t>
  </si>
  <si>
    <t>Verarbeitendes Gewerbe/Herstellung  von Waren</t>
  </si>
  <si>
    <t>Baugewerbe/Bau</t>
  </si>
  <si>
    <t>Gastgewerbe und Beherbergung</t>
  </si>
  <si>
    <t xml:space="preserve">Öffentliche Verwaltung </t>
  </si>
  <si>
    <t>Erziehung und Unterricht</t>
  </si>
  <si>
    <t>Gesundheits- und Sozialwesen</t>
  </si>
  <si>
    <t>Private Haushalte als Arbeitgeber und Hersteller von Waren für den Eigenbedarf</t>
  </si>
  <si>
    <t>Gütersteuern</t>
  </si>
  <si>
    <t>Gütersubventionen</t>
  </si>
  <si>
    <t>NOGA 01-03</t>
  </si>
  <si>
    <t>NOGA 05-09</t>
  </si>
  <si>
    <t>NOGA 10-33</t>
  </si>
  <si>
    <t>NOGA 41-43</t>
  </si>
  <si>
    <t>NOGA 45-47</t>
  </si>
  <si>
    <t>NOGA 55-56</t>
  </si>
  <si>
    <t>NOGA 64</t>
  </si>
  <si>
    <t>NOGA 65</t>
  </si>
  <si>
    <t>NOGA 68-75; 77-82</t>
  </si>
  <si>
    <t>NOGA 84</t>
  </si>
  <si>
    <t>NOGA 85</t>
  </si>
  <si>
    <t>NOGA 86-88</t>
  </si>
  <si>
    <t>NOGA 97-98</t>
  </si>
  <si>
    <t>Reale Wachstumsbeiträge zum Bruttoinlandprodukt</t>
  </si>
  <si>
    <t xml:space="preserve">Agriculture, sylviculture et pêche </t>
  </si>
  <si>
    <t>Industries extractives</t>
  </si>
  <si>
    <t>Industrie manufacturière</t>
  </si>
  <si>
    <t>Commerce; réparation d’automobiles</t>
  </si>
  <si>
    <t xml:space="preserve">Hébergement et restauration  </t>
  </si>
  <si>
    <t>Enseignement</t>
  </si>
  <si>
    <t>Santé humaine et activités sociales</t>
  </si>
  <si>
    <t>Impôts sur les produits</t>
  </si>
  <si>
    <t>Subventions sur les produits</t>
  </si>
  <si>
    <t>Agricoltura, silvicoltura e pesca</t>
  </si>
  <si>
    <t>Attività manifatturiere</t>
  </si>
  <si>
    <t>Costruzioni</t>
  </si>
  <si>
    <t>Commercio e riparazione di autoveicoli e motocicli</t>
  </si>
  <si>
    <t>Servizi di alloggio e di ristorazione</t>
  </si>
  <si>
    <t>Amministrazione pubblica</t>
  </si>
  <si>
    <t>Istruzione</t>
  </si>
  <si>
    <t>Sanità e assistenza sociali</t>
  </si>
  <si>
    <t>Imposte sui prodotti</t>
  </si>
  <si>
    <t xml:space="preserve">Agriculture, forestry and fishing </t>
  </si>
  <si>
    <t>Mining and quarrying</t>
  </si>
  <si>
    <t>Manufacturing</t>
  </si>
  <si>
    <t>Trade, repair of motor vehicles and motorcycles</t>
  </si>
  <si>
    <t>Accommodation and food service activities</t>
  </si>
  <si>
    <t>Public administration</t>
  </si>
  <si>
    <t>Education</t>
  </si>
  <si>
    <t>Taxes on products</t>
  </si>
  <si>
    <t>Ajustements</t>
  </si>
  <si>
    <t>Aggiustamenti</t>
  </si>
  <si>
    <t>Sovvenzioni ai prodotti</t>
  </si>
  <si>
    <t>ESVG 2010, Quartalsaggregate des Bruttoinlandprodukts, Produktionsansatz, unbereinigte Daten</t>
  </si>
  <si>
    <t>ESVG 2010, Jahresaggregate des Bruttoinlandproduktes, Produktionsansatz (BFS, SECO), unbereinigte Daten</t>
  </si>
  <si>
    <t>SEC 2010, PIB trimestriel et ses composantes, approche par la production, données brutes</t>
  </si>
  <si>
    <t>SEC 2010, PIB annuel et ses composantes, approche par la production (OFS, SECO), données brutes</t>
  </si>
  <si>
    <t>SEC 2010, Aggregati trimestriali dell'Prodotto Interno Lordo, ottica della produzione, dati grezzi</t>
  </si>
  <si>
    <t>SEC 2010, Aggregati annuali dell'Prodotto Interno Lordo, ottica della produzione (UFS, SECO), dati grezzi</t>
  </si>
  <si>
    <t>ESA 2010, Quarterly aggregates of Gross Domestic Product, production approach, raw data</t>
  </si>
  <si>
    <t>ESA 2010, Annual aggregates of Gross Domestic Product, production approach (SFSO, SECO), raw data</t>
  </si>
  <si>
    <t>Land-, Forstwirtschaft und Fischerei</t>
  </si>
  <si>
    <t>Activités des ménages en tant qu'employeurs et producteurs pour usage final propre</t>
  </si>
  <si>
    <t>Attività estrattive</t>
  </si>
  <si>
    <t>Attività immobiliari, scientifiche, e tecniche;  Attività  amministrative</t>
  </si>
  <si>
    <t>Attività delle economie domestiche in qualità di datori di lavoro e di prod. per uso proprio</t>
  </si>
  <si>
    <t>Human health and social work activities</t>
  </si>
  <si>
    <t>Activities of housholds as employers and producers for own use</t>
  </si>
  <si>
    <t>Subsidies on products</t>
  </si>
  <si>
    <t>En mio. de francs, aux prix courants, variations en % par rapport au même trimestre de l'année précédente</t>
  </si>
  <si>
    <t>En mio. de francs, aux prix courants, variations en % par rapport de l'année précédente</t>
  </si>
  <si>
    <t>In milioni di franchi, a prezzi correnti, variazione in % rispetto all'anno precedente</t>
  </si>
  <si>
    <t>Indici dei prezzi, variazione in % rispetto all'anno precedente</t>
  </si>
  <si>
    <r>
      <t xml:space="preserve">You may </t>
    </r>
    <r>
      <rPr>
        <b/>
        <sz val="10"/>
        <color indexed="10"/>
        <rFont val="Arial"/>
        <family val="2"/>
      </rPr>
      <t>choose the language</t>
    </r>
    <r>
      <rPr>
        <sz val="10"/>
        <rFont val="Arial"/>
        <family val="2"/>
      </rPr>
      <t xml:space="preserve"> to label the Swiss GDP and its production-side components in the dropdown-menu below.</t>
    </r>
  </si>
  <si>
    <r>
      <t xml:space="preserve">Sie können im Dropdown-Menu die </t>
    </r>
    <r>
      <rPr>
        <b/>
        <sz val="10"/>
        <color indexed="10"/>
        <rFont val="Arial"/>
        <family val="2"/>
      </rPr>
      <t>Sprache wählen</t>
    </r>
    <r>
      <rPr>
        <sz val="10"/>
        <rFont val="Arial"/>
        <family val="2"/>
      </rPr>
      <t>, im welcher Sie das BIP der Schweiz gemäss Produktionsseite beschriftet haben möchten.</t>
    </r>
  </si>
  <si>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la production.</t>
    </r>
  </si>
  <si>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della produzione.</t>
    </r>
  </si>
  <si>
    <t>Bruttowertschöpfung vor Berichtigungen</t>
  </si>
  <si>
    <t>Valeur ajoutée brute avant ajustements</t>
  </si>
  <si>
    <t>Valore aggiunto lordo prima degli aggiustamenti</t>
  </si>
  <si>
    <t>Gross value added before adjustments</t>
  </si>
  <si>
    <t>Adjustments</t>
  </si>
  <si>
    <t>Handel; Instandhaltung und Reparatur von Kraftfahrzeugen</t>
  </si>
  <si>
    <t xml:space="preserve">                                                                                           Segreteria di Stato dell’economia SECO</t>
  </si>
  <si>
    <t>NOGA 36-39</t>
  </si>
  <si>
    <t>NOGA 35</t>
  </si>
  <si>
    <t>NOGA 19-21</t>
  </si>
  <si>
    <t>NOGA 47</t>
  </si>
  <si>
    <t>NOGA 90-93</t>
  </si>
  <si>
    <t>NOGA 94-96</t>
  </si>
  <si>
    <t>Energieversorgung</t>
  </si>
  <si>
    <t>Wasserversorgung, Abwasser- und Abfallentsorgung und Beseitigung von Umweltverschmutzung</t>
  </si>
  <si>
    <t xml:space="preserve">Kunst, Unterhaltung und Erholung </t>
  </si>
  <si>
    <t>davon Chemie/Pharma</t>
  </si>
  <si>
    <t>davon Detailhandel</t>
  </si>
  <si>
    <t>Production et distribution d'électricité, de gaz, de vapeur et d'air conditionné</t>
  </si>
  <si>
    <t>Production et distribution d'eau; assainissement, gestion des déchets et depollution</t>
  </si>
  <si>
    <t xml:space="preserve">Arts, spectacles et activités récréatives </t>
  </si>
  <si>
    <t>Autres activités de services</t>
  </si>
  <si>
    <t>dont chimie/pharma</t>
  </si>
  <si>
    <t>dont commerce de détail</t>
  </si>
  <si>
    <t>Fornitura di energia elettrica, gas, vapore e aria condizionata</t>
  </si>
  <si>
    <t>Fornitura di acqua; reti fognarie, attività di trattamento dei rifiuti e risanamento</t>
  </si>
  <si>
    <t>Attività artistiche, di intrattenimento e divertimento</t>
  </si>
  <si>
    <t>Altre attività di servizi</t>
  </si>
  <si>
    <t>di cui chimica e farmaceutica</t>
  </si>
  <si>
    <t>di cui commercio al dettaglio</t>
  </si>
  <si>
    <t>Electricity, gas, steam and air conditioning supply</t>
  </si>
  <si>
    <t xml:space="preserve">Arts, entertainment and recreation </t>
  </si>
  <si>
    <t>Other service activities</t>
  </si>
  <si>
    <t>thereof retail trade</t>
  </si>
  <si>
    <t>Erbringung von sonstigen Dienstleistungen</t>
  </si>
  <si>
    <t>thereof chemicals and pharmaceuticals</t>
  </si>
  <si>
    <t>Water supply, sewerage, waste management and remediation activities</t>
  </si>
  <si>
    <t>In Mio. Franken, zu laufenden Preisen und Veränderungsraten in % gegenüber dem gleichen Quartal des Vorjahres</t>
  </si>
  <si>
    <t>In Mio. Franken, zu laufenden Preisen und Veränderungsraten in % gegenüber dem Vorjahr</t>
  </si>
  <si>
    <t>Implizite Preisindizes und Veränderungsraten in % gegenüber dem gleichen Quartal des Vorjahres</t>
  </si>
  <si>
    <t>Implizite Preisindizes und Veränderungsraten in % gegenüber dem Vorjahr</t>
  </si>
  <si>
    <t>Le pagine contrassegnate all'inizio con "nom" contengono dati ai prezzi correnti, pagine con "real" contengono valori ai prezzi dell'anno precedente (serie concatenate, anno di riferimento 2020), pagine con "defl" contengono i deflatori impliciti, pagine con "gc" contengono i contributi alla crescita reale del PIL.</t>
  </si>
  <si>
    <t>Les feuilles dénommées "nom" contiennent les résultats aux prix courants, celles dénommées "real" les résultats aux prix de l'année précédente (séries chaînées, année de référence 2020), celles dénommées "defl" les indices de prix implicites et celles dénommées "gc" les contributions à la croissance réelle du PIB.</t>
  </si>
  <si>
    <t>Seiten mit der Anfangsbezeichnung "nom" enthalten Werte zu laufenden Preisen, diejenigen mit "real" Werte zu Preisen des Vorjahres (verkettet, Referenzjahr 2020), diejenigen mit "defl" implizite Deflatoren und diejenigen mit "gc" Beiträge zum realen BIP-Wachstum.</t>
  </si>
  <si>
    <t>Pages labelled at the beginning with "nom" contain figures at current prices, pages with "real" contain values at prices of the preceding year (chained values, reference year 2020), pages with "defl" contain implicit price deflators and those with "gc" contain contributions to real GDP-growth.</t>
  </si>
  <si>
    <t>In Mio. Franken, reale nicht additive Volumen (annual overlap, Referenzjahr 2020) und Veränderungsraten in % gegenüber dem gleichen Quartal des Vorjahres</t>
  </si>
  <si>
    <t>In Mio. Franken, reale nicht additive Volumen (annual overlap, Referenzjahr 2020) und Veränderungsraten in % gegenüber dem Vorjahr</t>
  </si>
  <si>
    <t>En mio. de francs, aux prix de l'année précédente - séries chaînées ("annual overlap"), année de référence 2020, volumes non-additifs, variations en % par rapport au même trimestre de l'année précédente</t>
  </si>
  <si>
    <t>En mio. de francs, aux prix de l'année précédente - séries chaînées ("annual overlap"), année de référence 2020, volumes non-additifs, variations en % par rapport de l'année précédente</t>
  </si>
  <si>
    <t>In milioni di franchi, ai prezzi dell'anno precedente, indici a catena, anno di referenza 2020, variazione in % rispetto all'anno precedente</t>
  </si>
  <si>
    <t>In Mio. Swiss Francs, at prices of the preceding year, chained values ("annual overlap"), reference year 2020, percentage change to previous year</t>
  </si>
  <si>
    <t>In Mio. Swiss Francs, at prices of the preceding year, chained values, reference year 2020, percentage change to previous year</t>
  </si>
  <si>
    <t xml:space="preserve">davon sonstiges verarbeitendes Gewerbe </t>
  </si>
  <si>
    <t>dont autres industries manufacturières</t>
  </si>
  <si>
    <t xml:space="preserve">di cui altre attività manifatturiere </t>
  </si>
  <si>
    <t xml:space="preserve">thereof other manufacturing </t>
  </si>
  <si>
    <t>Verkehr und Lagerei</t>
  </si>
  <si>
    <t>Information und Kommunikation</t>
  </si>
  <si>
    <t>Transports et entreposage</t>
  </si>
  <si>
    <t>Information et communication</t>
  </si>
  <si>
    <t>Servizi di informazione e comunicazione</t>
  </si>
  <si>
    <t>Transportation and storage</t>
  </si>
  <si>
    <t>Information and communication</t>
  </si>
  <si>
    <t xml:space="preserve">Erbringung von Finanz- und Versicherungsdiensten </t>
  </si>
  <si>
    <t xml:space="preserve">Activités financières et d’assurance </t>
  </si>
  <si>
    <t>Attività finanziarie e assicurative</t>
  </si>
  <si>
    <t>Financial and insurance activities</t>
  </si>
  <si>
    <t>davon Finanzdienste</t>
  </si>
  <si>
    <t>davon Versicherungsdienste</t>
  </si>
  <si>
    <t>dont activités financières</t>
  </si>
  <si>
    <t>dont activités d’assurance</t>
  </si>
  <si>
    <t xml:space="preserve">di cui attività finanziarie </t>
  </si>
  <si>
    <t>di cui attività assicurative</t>
  </si>
  <si>
    <t>thereof financial activities</t>
  </si>
  <si>
    <t>thereof insurance activities</t>
  </si>
  <si>
    <t>Real estate, professional, scientific, technical activities and administrative services</t>
  </si>
  <si>
    <t>Activités immobilières, scientifiques, techniques et services administratifs</t>
  </si>
  <si>
    <t>Grundstück- u. Wohnungswesen; Freiberufl., wiss., tech., sonstige Dienste</t>
  </si>
  <si>
    <t>NOGA 10-18; 22-33</t>
  </si>
  <si>
    <t>NOGA 49-53</t>
  </si>
  <si>
    <t>NOGA 58-63</t>
  </si>
  <si>
    <t>NOGA 64-66</t>
  </si>
  <si>
    <t>D21</t>
  </si>
  <si>
    <t>D31</t>
  </si>
  <si>
    <t>B1GQ</t>
  </si>
  <si>
    <t>B1G</t>
  </si>
  <si>
    <t>Trasporto e magazzinaggio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</si>
</sst>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8" x14ac:knownFonts="1">
    <font>
      <sz val="8"/>
      <color rgb="FF000000"/>
      <name val="Arial"/>
    </font>
    <font>
      <sz val="10"/>
      <color rgb="FF000000"/>
      <name val="Arial"/>
      <family val="2"/>
    </font>
    <font>
      <sz val="8"/>
      <color rgb="FF000000"/>
      <name val="Arial"/>
      <family val="2"/>
    </font>
    <font>
      <b/>
      <sz val="12"/>
      <color rgb="FF000000"/>
      <name val="Arial"/>
      <family val="2"/>
    </font>
    <font>
      <b/>
      <sz val="8"/>
      <color rgb="FF000000"/>
      <name val="Arial"/>
      <family val="2"/>
    </font>
    <font>
      <sz val="8"/>
      <color rgb="FF0000FF"/>
      <name val="Arial"/>
    </font>
    <font>
      <b/>
      <sz val="10"/>
      <color indexed="10"/>
      <name val="Arial"/>
      <family val="2"/>
    </font>
    <font>
      <sz val="10"/>
      <name val="Arial"/>
      <family val="2"/>
    </font>
  </fonts>
  <fills count="2">
    <fill>
      <patternFill patternType="none"/>
    </fill>
    <fill>
      <patternFill patternType="gray125"/>
    </fill>
  </fills>
  <borders count="35">
    <border>
      <left/>
      <right/>
      <top/>
      <bottom/>
      <diagonal/>
    </border>
    <border>
      <left style="thin">
        <color theme="1"/>
      </left>
      <right style="thin">
        <color theme="1"/>
      </right>
      <top style="thin">
        <color theme="0"/>
      </top>
      <bottom style="thin">
        <color theme="1"/>
      </bottom>
      <diagonal/>
    </border>
    <border>
      <left style="thin">
        <color indexed="64"/>
      </left>
      <right style="thin">
        <color indexed="64"/>
      </right>
      <top style="thin">
        <color theme="0"/>
      </top>
      <bottom style="thin">
        <color indexed="64"/>
      </bottom>
      <diagonal/>
    </border>
    <border>
      <left style="thin">
        <color theme="1"/>
      </left>
      <right/>
      <top style="thin">
        <color theme="0"/>
      </top>
      <bottom style="thin">
        <color theme="1"/>
      </bottom>
      <diagonal/>
    </border>
    <border>
      <left/>
      <right style="thin">
        <color theme="1"/>
      </right>
      <top style="thin">
        <color theme="0"/>
      </top>
      <bottom style="thin">
        <color theme="1"/>
      </bottom>
      <diagonal/>
    </border>
    <border>
      <left style="thin">
        <color rgb="FF0000FF"/>
      </left>
      <right/>
      <top style="thin">
        <color theme="0"/>
      </top>
      <bottom style="thin">
        <color rgb="FF0000FF"/>
      </bottom>
      <diagonal/>
    </border>
    <border>
      <left/>
      <right/>
      <top style="thin">
        <color theme="0"/>
      </top>
      <bottom style="thin">
        <color rgb="FF0000FF"/>
      </bottom>
      <diagonal/>
    </border>
    <border>
      <left style="thin">
        <color indexed="64"/>
      </left>
      <right/>
      <top style="thin">
        <color theme="0"/>
      </top>
      <bottom style="thin">
        <color rgb="FF0000FF"/>
      </bottom>
      <diagonal/>
    </border>
    <border>
      <left/>
      <right style="thin">
        <color theme="1"/>
      </right>
      <top style="thin">
        <color theme="0"/>
      </top>
      <bottom style="thin">
        <color rgb="FF0000FF"/>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0"/>
      </bottom>
      <diagonal/>
    </border>
    <border>
      <left/>
      <right style="thin">
        <color theme="1"/>
      </right>
      <top style="thin">
        <color theme="1"/>
      </top>
      <bottom/>
      <diagonal/>
    </border>
    <border>
      <left/>
      <right style="thin">
        <color theme="1"/>
      </right>
      <top/>
      <bottom/>
      <diagonal/>
    </border>
    <border>
      <left/>
      <right/>
      <top style="thin">
        <color theme="1"/>
      </top>
      <bottom/>
      <diagonal/>
    </border>
    <border>
      <left/>
      <right/>
      <top/>
      <bottom style="thin">
        <color theme="1"/>
      </bottom>
      <diagonal/>
    </border>
    <border>
      <left/>
      <right style="thin">
        <color theme="1"/>
      </right>
      <top/>
      <bottom style="thin">
        <color theme="1"/>
      </bottom>
      <diagonal/>
    </border>
    <border>
      <left style="thin">
        <color theme="1"/>
      </left>
      <right/>
      <top/>
      <bottom/>
      <diagonal/>
    </border>
    <border>
      <left style="thin">
        <color theme="1"/>
      </left>
      <right/>
      <top/>
      <bottom style="thin">
        <color theme="0"/>
      </bottom>
      <diagonal/>
    </border>
    <border>
      <left/>
      <right style="thin">
        <color theme="1"/>
      </right>
      <top/>
      <bottom style="thin">
        <color theme="0"/>
      </bottom>
      <diagonal/>
    </border>
    <border>
      <left style="thin">
        <color theme="1"/>
      </left>
      <right/>
      <top style="thin">
        <color theme="1"/>
      </top>
      <bottom/>
      <diagonal/>
    </border>
    <border>
      <left style="thin">
        <color rgb="FF0000FF"/>
      </left>
      <right/>
      <top style="thin">
        <color indexed="64"/>
      </top>
      <bottom/>
      <diagonal/>
    </border>
    <border>
      <left/>
      <right/>
      <top style="thin">
        <color indexed="64"/>
      </top>
      <bottom/>
      <diagonal/>
    </border>
    <border>
      <left/>
      <right style="thin">
        <color rgb="FF0000FF"/>
      </right>
      <top style="thin">
        <color indexed="64"/>
      </top>
      <bottom/>
      <diagonal/>
    </border>
    <border>
      <left style="thin">
        <color rgb="FF0000FF"/>
      </left>
      <right/>
      <top style="thin">
        <color theme="0"/>
      </top>
      <bottom/>
      <diagonal/>
    </border>
    <border>
      <left/>
      <right/>
      <top style="thin">
        <color theme="0"/>
      </top>
      <bottom/>
      <diagonal/>
    </border>
    <border>
      <left style="thin">
        <color rgb="FF0000FF"/>
      </left>
      <right/>
      <top/>
      <bottom/>
      <diagonal/>
    </border>
    <border>
      <left style="thin">
        <color rgb="FF0000FF"/>
      </left>
      <right/>
      <top/>
      <bottom style="thin">
        <color theme="0"/>
      </bottom>
      <diagonal/>
    </border>
    <border>
      <left/>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theme="0"/>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1" fillId="0" borderId="0" xfId="0" applyFont="1" applyAlignment="1" applyProtection="1">
      <alignment vertical="top" wrapText="1"/>
      <protection hidden="1"/>
    </xf>
    <xf numFmtId="0" fontId="2" fillId="0" borderId="0" xfId="0" applyFont="1" applyAlignment="1" applyProtection="1">
      <alignment vertical="top"/>
      <protection hidden="1"/>
    </xf>
    <xf numFmtId="0" fontId="3" fillId="0" borderId="0" xfId="0" applyFont="1" applyProtection="1">
      <protection hidden="1"/>
    </xf>
    <xf numFmtId="0" fontId="2" fillId="0" borderId="0" xfId="0" applyFont="1" applyProtection="1">
      <protection hidden="1"/>
    </xf>
    <xf numFmtId="1" fontId="2" fillId="0" borderId="0" xfId="0" applyNumberFormat="1" applyFont="1" applyAlignment="1" applyProtection="1">
      <alignment vertical="top"/>
      <protection hidden="1"/>
    </xf>
    <xf numFmtId="0" fontId="4" fillId="0" borderId="0" xfId="0" applyFont="1" applyProtection="1">
      <protection hidden="1"/>
    </xf>
    <xf numFmtId="164" fontId="2" fillId="0" borderId="0" xfId="0" applyNumberFormat="1" applyFont="1" applyAlignment="1" applyProtection="1">
      <alignment vertical="top"/>
      <protection hidden="1"/>
    </xf>
    <xf numFmtId="3" fontId="2" fillId="0" borderId="0" xfId="0" applyNumberFormat="1" applyFont="1" applyAlignment="1" applyProtection="1">
      <alignment vertical="top"/>
      <protection hidden="1"/>
    </xf>
    <xf numFmtId="3" fontId="2" fillId="0" borderId="0" xfId="0" applyNumberFormat="1" applyFont="1" applyProtection="1">
      <protection hidden="1"/>
    </xf>
    <xf numFmtId="165" fontId="2" fillId="0" borderId="0" xfId="0" applyNumberFormat="1" applyFont="1" applyAlignment="1" applyProtection="1">
      <alignment vertical="top"/>
      <protection hidden="1"/>
    </xf>
    <xf numFmtId="164" fontId="2" fillId="0" borderId="0" xfId="0" applyNumberFormat="1" applyFont="1" applyProtection="1">
      <protection hidden="1"/>
    </xf>
    <xf numFmtId="10" fontId="2" fillId="0" borderId="0" xfId="0" applyNumberFormat="1" applyFont="1" applyProtection="1">
      <protection hidden="1"/>
    </xf>
    <xf numFmtId="0" fontId="4" fillId="0" borderId="0" xfId="0" applyFont="1"/>
    <xf numFmtId="0" fontId="2" fillId="0" borderId="0" xfId="0" applyFont="1" applyProtection="1">
      <protection locked="0"/>
    </xf>
    <xf numFmtId="0" fontId="2" fillId="0" borderId="0" xfId="0" applyFont="1"/>
    <xf numFmtId="1" fontId="5" fillId="0" borderId="0" xfId="0" applyNumberFormat="1" applyFont="1"/>
    <xf numFmtId="3" fontId="0" fillId="0" borderId="0" xfId="0" applyNumberFormat="1"/>
    <xf numFmtId="165" fontId="5" fillId="0" borderId="0" xfId="0" applyNumberFormat="1" applyFont="1"/>
    <xf numFmtId="166" fontId="0" fillId="0" borderId="0" xfId="0" applyNumberFormat="1"/>
    <xf numFmtId="10" fontId="0" fillId="0" borderId="0" xfId="0" applyNumberFormat="1"/>
    <xf numFmtId="0" fontId="2" fillId="0" borderId="9" xfId="0" applyFont="1" applyBorder="1" applyAlignment="1" applyProtection="1">
      <alignment vertical="top" wrapText="1"/>
      <protection hidden="1"/>
    </xf>
    <xf numFmtId="0" fontId="2" fillId="0" borderId="10" xfId="0" applyFont="1" applyBorder="1" applyAlignment="1" applyProtection="1">
      <alignment vertical="top" wrapText="1"/>
      <protection hidden="1"/>
    </xf>
    <xf numFmtId="0" fontId="2" fillId="0" borderId="10" xfId="0" applyFont="1" applyBorder="1" applyAlignment="1" applyProtection="1">
      <alignment vertical="top"/>
      <protection hidden="1"/>
    </xf>
    <xf numFmtId="0" fontId="2" fillId="0" borderId="11" xfId="0" applyFont="1" applyBorder="1" applyAlignment="1" applyProtection="1">
      <alignment vertical="top"/>
      <protection hidden="1"/>
    </xf>
    <xf numFmtId="164" fontId="2" fillId="0" borderId="1" xfId="0" applyNumberFormat="1" applyFont="1" applyBorder="1" applyAlignment="1" applyProtection="1">
      <alignment horizontal="left" vertical="top"/>
      <protection hidden="1"/>
    </xf>
    <xf numFmtId="0" fontId="2" fillId="0" borderId="1" xfId="0" applyFont="1" applyBorder="1" applyAlignment="1" applyProtection="1">
      <alignment horizontal="left" vertical="top"/>
      <protection hidden="1"/>
    </xf>
    <xf numFmtId="0" fontId="2" fillId="0" borderId="20" xfId="0" applyFont="1" applyBorder="1" applyAlignment="1" applyProtection="1">
      <alignment vertical="top" wrapText="1"/>
      <protection hidden="1"/>
    </xf>
    <xf numFmtId="0" fontId="2" fillId="0" borderId="12" xfId="0" applyFont="1" applyBorder="1" applyAlignment="1" applyProtection="1">
      <alignment vertical="top" wrapText="1"/>
      <protection hidden="1"/>
    </xf>
    <xf numFmtId="0" fontId="2" fillId="0" borderId="17" xfId="0" applyFont="1" applyBorder="1" applyAlignment="1" applyProtection="1">
      <alignment vertical="top" wrapText="1"/>
      <protection hidden="1"/>
    </xf>
    <xf numFmtId="0" fontId="2" fillId="0" borderId="13" xfId="0" applyFont="1" applyBorder="1" applyAlignment="1" applyProtection="1">
      <alignment vertical="top" wrapText="1"/>
      <protection hidden="1"/>
    </xf>
    <xf numFmtId="0" fontId="2" fillId="0" borderId="18" xfId="0" applyFont="1" applyBorder="1" applyAlignment="1" applyProtection="1">
      <alignment vertical="top" wrapText="1"/>
      <protection hidden="1"/>
    </xf>
    <xf numFmtId="0" fontId="2" fillId="0" borderId="19" xfId="0" applyFont="1" applyBorder="1" applyAlignment="1" applyProtection="1">
      <alignment vertical="top" wrapText="1"/>
      <protection hidden="1"/>
    </xf>
    <xf numFmtId="0" fontId="2" fillId="0" borderId="22" xfId="0" applyFont="1" applyBorder="1" applyAlignment="1" applyProtection="1">
      <alignment vertical="top" wrapText="1"/>
      <protection hidden="1"/>
    </xf>
    <xf numFmtId="0" fontId="2" fillId="0" borderId="30" xfId="0" applyFont="1" applyBorder="1" applyAlignment="1" applyProtection="1">
      <alignment vertical="top" wrapText="1"/>
      <protection hidden="1"/>
    </xf>
    <xf numFmtId="0" fontId="2" fillId="0" borderId="33" xfId="0" applyFont="1" applyBorder="1" applyAlignment="1" applyProtection="1">
      <alignment vertical="top" wrapText="1"/>
      <protection hidden="1"/>
    </xf>
    <xf numFmtId="0" fontId="2" fillId="0" borderId="34" xfId="0" applyFont="1" applyBorder="1" applyAlignment="1" applyProtection="1">
      <alignment vertical="top" wrapText="1"/>
      <protection hidden="1"/>
    </xf>
    <xf numFmtId="0" fontId="2" fillId="0" borderId="3" xfId="0" applyFont="1" applyBorder="1" applyAlignment="1" applyProtection="1">
      <alignment horizontal="left" vertical="top"/>
      <protection hidden="1"/>
    </xf>
    <xf numFmtId="0" fontId="2" fillId="0" borderId="4" xfId="0" applyFont="1" applyBorder="1" applyAlignment="1" applyProtection="1">
      <alignment horizontal="left" vertical="top"/>
      <protection hidden="1"/>
    </xf>
    <xf numFmtId="0" fontId="2" fillId="0" borderId="22" xfId="0" applyFont="1" applyBorder="1" applyAlignment="1" applyProtection="1">
      <alignment horizontal="center" vertical="top" wrapText="1"/>
      <protection hidden="1"/>
    </xf>
    <xf numFmtId="0" fontId="2" fillId="0" borderId="33" xfId="0" applyFont="1" applyBorder="1" applyAlignment="1" applyProtection="1">
      <alignment horizontal="center" vertical="top" wrapText="1"/>
      <protection hidden="1"/>
    </xf>
    <xf numFmtId="0" fontId="2" fillId="0" borderId="30" xfId="0" applyFont="1" applyBorder="1" applyAlignment="1" applyProtection="1">
      <alignment horizontal="center" vertical="top" wrapText="1"/>
      <protection hidden="1"/>
    </xf>
    <xf numFmtId="0" fontId="2" fillId="0" borderId="34" xfId="0" applyFont="1" applyBorder="1" applyAlignment="1" applyProtection="1">
      <alignment horizontal="center" vertical="top" wrapText="1"/>
      <protection hidden="1"/>
    </xf>
    <xf numFmtId="0" fontId="2" fillId="0" borderId="14" xfId="0" applyFont="1" applyBorder="1" applyAlignment="1" applyProtection="1">
      <alignment horizontal="center" vertical="top" wrapText="1"/>
      <protection hidden="1"/>
    </xf>
    <xf numFmtId="0" fontId="2" fillId="0" borderId="12" xfId="0" applyFont="1" applyBorder="1" applyAlignment="1" applyProtection="1">
      <alignment horizontal="center" vertical="top" wrapText="1"/>
      <protection hidden="1"/>
    </xf>
    <xf numFmtId="0" fontId="2" fillId="0" borderId="15" xfId="0" applyFont="1" applyBorder="1" applyAlignment="1" applyProtection="1">
      <alignment horizontal="center" vertical="top" wrapText="1"/>
      <protection hidden="1"/>
    </xf>
    <xf numFmtId="0" fontId="2" fillId="0" borderId="16" xfId="0" applyFont="1" applyBorder="1" applyAlignment="1" applyProtection="1">
      <alignment horizontal="center" vertical="top" wrapText="1"/>
      <protection hidden="1"/>
    </xf>
    <xf numFmtId="0" fontId="2" fillId="0" borderId="21" xfId="0" applyFont="1" applyBorder="1" applyAlignment="1" applyProtection="1">
      <alignment vertical="top"/>
      <protection hidden="1"/>
    </xf>
    <xf numFmtId="0" fontId="2" fillId="0" borderId="22" xfId="0" applyFont="1" applyBorder="1" applyAlignment="1" applyProtection="1">
      <alignment vertical="top"/>
      <protection hidden="1"/>
    </xf>
    <xf numFmtId="0" fontId="2" fillId="0" borderId="23" xfId="0" applyFont="1" applyBorder="1" applyAlignment="1" applyProtection="1">
      <alignment vertical="top"/>
      <protection hidden="1"/>
    </xf>
    <xf numFmtId="0" fontId="2" fillId="0" borderId="24" xfId="0" applyFont="1" applyBorder="1" applyAlignment="1" applyProtection="1">
      <alignment vertical="top"/>
      <protection hidden="1"/>
    </xf>
    <xf numFmtId="0" fontId="2" fillId="0" borderId="25" xfId="0" applyFont="1" applyBorder="1" applyAlignment="1" applyProtection="1">
      <alignment vertical="top"/>
      <protection hidden="1"/>
    </xf>
    <xf numFmtId="0" fontId="2" fillId="0" borderId="26" xfId="0" applyFont="1" applyBorder="1" applyAlignment="1" applyProtection="1">
      <alignment vertical="top"/>
      <protection hidden="1"/>
    </xf>
    <xf numFmtId="0" fontId="2" fillId="0" borderId="0" xfId="0" applyFont="1" applyAlignment="1" applyProtection="1">
      <alignment vertical="top"/>
      <protection hidden="1"/>
    </xf>
    <xf numFmtId="0" fontId="2" fillId="0" borderId="27" xfId="0" applyFont="1" applyBorder="1" applyAlignment="1" applyProtection="1">
      <alignment vertical="top"/>
      <protection hidden="1"/>
    </xf>
    <xf numFmtId="0" fontId="2" fillId="0" borderId="28" xfId="0" applyFont="1" applyBorder="1" applyAlignment="1" applyProtection="1">
      <alignment vertical="top"/>
      <protection hidden="1"/>
    </xf>
    <xf numFmtId="0" fontId="2" fillId="0" borderId="29" xfId="0" applyFont="1" applyBorder="1" applyAlignment="1" applyProtection="1">
      <alignment vertical="top"/>
      <protection hidden="1"/>
    </xf>
    <xf numFmtId="0" fontId="2" fillId="0" borderId="30" xfId="0" applyFont="1" applyBorder="1" applyAlignment="1" applyProtection="1">
      <alignment vertical="top"/>
      <protection hidden="1"/>
    </xf>
    <xf numFmtId="0" fontId="2" fillId="0" borderId="31" xfId="0" applyFont="1" applyBorder="1" applyAlignment="1" applyProtection="1">
      <alignment vertical="top" wrapText="1"/>
      <protection hidden="1"/>
    </xf>
    <xf numFmtId="0" fontId="2" fillId="0" borderId="31" xfId="0" applyFont="1" applyBorder="1" applyAlignment="1" applyProtection="1">
      <alignment vertical="top"/>
      <protection hidden="1"/>
    </xf>
    <xf numFmtId="0" fontId="2" fillId="0" borderId="13" xfId="0" applyFont="1" applyBorder="1" applyAlignment="1" applyProtection="1">
      <alignment vertical="top"/>
      <protection hidden="1"/>
    </xf>
    <xf numFmtId="0" fontId="2" fillId="0" borderId="32" xfId="0" applyFont="1" applyBorder="1" applyAlignment="1" applyProtection="1">
      <alignment vertical="top"/>
      <protection hidden="1"/>
    </xf>
    <xf numFmtId="0" fontId="2" fillId="0" borderId="19" xfId="0" applyFont="1" applyBorder="1" applyAlignment="1" applyProtection="1">
      <alignment vertical="top"/>
      <protection hidden="1"/>
    </xf>
    <xf numFmtId="164" fontId="2" fillId="0" borderId="5" xfId="0" applyNumberFormat="1" applyFont="1" applyBorder="1" applyAlignment="1" applyProtection="1">
      <alignment horizontal="left" vertical="top"/>
      <protection hidden="1"/>
    </xf>
    <xf numFmtId="0" fontId="2" fillId="0" borderId="6" xfId="0" applyFont="1" applyBorder="1" applyAlignment="1" applyProtection="1">
      <alignment horizontal="left" vertical="top"/>
      <protection hidden="1"/>
    </xf>
    <xf numFmtId="164" fontId="2" fillId="0" borderId="7" xfId="0" applyNumberFormat="1" applyFont="1" applyBorder="1" applyAlignment="1" applyProtection="1">
      <alignment horizontal="left" vertical="top"/>
      <protection hidden="1"/>
    </xf>
    <xf numFmtId="0" fontId="2" fillId="0" borderId="8" xfId="0" applyFont="1" applyBorder="1" applyAlignment="1" applyProtection="1">
      <alignment horizontal="left" vertical="top"/>
      <protection hidden="1"/>
    </xf>
    <xf numFmtId="164" fontId="2" fillId="0" borderId="2" xfId="0" applyNumberFormat="1" applyFont="1" applyBorder="1" applyAlignment="1" applyProtection="1">
      <alignment horizontal="left" vertical="top"/>
      <protection hidden="1"/>
    </xf>
    <xf numFmtId="0" fontId="2" fillId="0" borderId="2" xfId="0" applyFont="1" applyBorder="1" applyAlignment="1" applyProtection="1">
      <alignment horizontal="left" vertical="top"/>
      <protection hidden="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Drop" dropLines="4" dropStyle="combo" dx="31" fmlaLink="beschriftung!$C$1" fmlaRange="beschriftung!$A$1:$A$4" noThreeD="1" sel="4"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3400425</xdr:colOff>
      <xdr:row>4</xdr:row>
      <xdr:rowOff>161925</xdr:rowOff>
    </xdr:to>
    <xdr:pic>
      <xdr:nvPicPr>
        <xdr:cNvPr id="4392" name="Picture 3">
          <a:extLst>
            <a:ext uri="{FF2B5EF4-FFF2-40B4-BE49-F238E27FC236}">
              <a16:creationId xmlns:a16="http://schemas.microsoft.com/office/drawing/2014/main" id="{00000000-0008-0000-0000-000028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393" name="Picture 4">
          <a:extLst>
            <a:ext uri="{FF2B5EF4-FFF2-40B4-BE49-F238E27FC236}">
              <a16:creationId xmlns:a16="http://schemas.microsoft.com/office/drawing/2014/main" id="{00000000-0008-0000-0000-000029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24</xdr:row>
      <xdr:rowOff>0</xdr:rowOff>
    </xdr:from>
    <xdr:to>
      <xdr:col>0</xdr:col>
      <xdr:colOff>1076325</xdr:colOff>
      <xdr:row>25</xdr:row>
      <xdr:rowOff>57150</xdr:rowOff>
    </xdr:to>
    <xdr:sp macro="" textlink="">
      <xdr:nvSpPr>
        <xdr:cNvPr id="4097" name="Drop Down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717550</xdr:colOff>
          <xdr:row>25</xdr:row>
          <xdr:rowOff>38100</xdr:rowOff>
        </xdr:to>
        <xdr:sp macro="" textlink="">
          <xdr:nvSpPr>
            <xdr:cNvPr id="2" name="Drop Down 1025" hidden="1">
              <a:extLst>
                <a:ext uri="{63B3BB69-23CF-44E3-9099-C40C66FF867C}">
                  <a14:compatExt spid="_x0000_s4097"/>
                </a:ext>
                <a:ext uri="{FF2B5EF4-FFF2-40B4-BE49-F238E27FC236}">
                  <a16:creationId xmlns:a16="http://schemas.microsoft.com/office/drawing/2014/main" id="{EC66223E-C847-3F4A-5AE4-6F94B14207C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le02">
    <pageSetUpPr fitToPage="1"/>
  </sheetPr>
  <dimension ref="A1:A26"/>
  <sheetViews>
    <sheetView showGridLines="0" showRowColHeaders="0" workbookViewId="0">
      <selection activeCell="A24" sqref="A24"/>
    </sheetView>
  </sheetViews>
  <sheetFormatPr defaultColWidth="11.5546875" defaultRowHeight="10" x14ac:dyDescent="0.2"/>
  <cols>
    <col min="1" max="1" width="150.77734375" customWidth="1"/>
  </cols>
  <sheetData>
    <row r="1" spans="1:1" ht="15.75" customHeight="1" x14ac:dyDescent="0.35">
      <c r="A1" s="3"/>
    </row>
    <row r="2" spans="1:1" ht="15.75" customHeight="1" x14ac:dyDescent="0.35">
      <c r="A2" s="3" t="s">
        <v>26</v>
      </c>
    </row>
    <row r="3" spans="1:1" ht="15.75" customHeight="1" x14ac:dyDescent="0.35">
      <c r="A3" s="3" t="s">
        <v>27</v>
      </c>
    </row>
    <row r="4" spans="1:1" ht="15.75" customHeight="1" x14ac:dyDescent="0.35">
      <c r="A4" s="3" t="s">
        <v>118</v>
      </c>
    </row>
    <row r="5" spans="1:1" ht="15.75" customHeight="1" x14ac:dyDescent="0.35">
      <c r="A5" s="3" t="s">
        <v>28</v>
      </c>
    </row>
    <row r="6" spans="1:1" ht="15.75" customHeight="1" x14ac:dyDescent="0.35">
      <c r="A6" s="3" t="s">
        <v>29</v>
      </c>
    </row>
    <row r="7" spans="1:1" x14ac:dyDescent="0.2">
      <c r="A7" s="4"/>
    </row>
    <row r="8" spans="1:1" ht="12.75" customHeight="1" x14ac:dyDescent="0.2">
      <c r="A8" s="1" t="s">
        <v>108</v>
      </c>
    </row>
    <row r="9" spans="1:1" ht="12.75" customHeight="1" x14ac:dyDescent="0.2">
      <c r="A9" s="1" t="s">
        <v>30</v>
      </c>
    </row>
    <row r="10" spans="1:1" ht="25.5" customHeight="1" x14ac:dyDescent="0.2">
      <c r="A10" s="1" t="s">
        <v>156</v>
      </c>
    </row>
    <row r="11" spans="1:1" x14ac:dyDescent="0.2">
      <c r="A11" s="2"/>
    </row>
    <row r="12" spans="1:1" ht="12.75" customHeight="1" x14ac:dyDescent="0.2">
      <c r="A12" s="1" t="s">
        <v>109</v>
      </c>
    </row>
    <row r="13" spans="1:1" ht="12.75" customHeight="1" x14ac:dyDescent="0.2">
      <c r="A13" s="1" t="s">
        <v>31</v>
      </c>
    </row>
    <row r="14" spans="1:1" ht="25.5" customHeight="1" x14ac:dyDescent="0.2">
      <c r="A14" s="1" t="s">
        <v>155</v>
      </c>
    </row>
    <row r="15" spans="1:1" x14ac:dyDescent="0.2">
      <c r="A15" s="2"/>
    </row>
    <row r="16" spans="1:1" ht="12.75" customHeight="1" x14ac:dyDescent="0.2">
      <c r="A16" s="1" t="s">
        <v>110</v>
      </c>
    </row>
    <row r="17" spans="1:1" ht="12.75" customHeight="1" x14ac:dyDescent="0.2">
      <c r="A17" s="1" t="s">
        <v>32</v>
      </c>
    </row>
    <row r="18" spans="1:1" ht="38.25" customHeight="1" x14ac:dyDescent="0.2">
      <c r="A18" s="1" t="s">
        <v>154</v>
      </c>
    </row>
    <row r="19" spans="1:1" x14ac:dyDescent="0.2">
      <c r="A19" s="2"/>
    </row>
    <row r="20" spans="1:1" ht="12.75" customHeight="1" x14ac:dyDescent="0.2">
      <c r="A20" s="1" t="s">
        <v>111</v>
      </c>
    </row>
    <row r="21" spans="1:1" ht="12.75" customHeight="1" x14ac:dyDescent="0.2">
      <c r="A21" s="1" t="s">
        <v>33</v>
      </c>
    </row>
    <row r="22" spans="1:1" ht="38.25" customHeight="1" x14ac:dyDescent="0.2">
      <c r="A22" s="1" t="s">
        <v>153</v>
      </c>
    </row>
    <row r="23" spans="1:1" x14ac:dyDescent="0.2">
      <c r="A23" s="4"/>
    </row>
    <row r="24" spans="1:1" x14ac:dyDescent="0.2">
      <c r="A24" s="4"/>
    </row>
    <row r="25" spans="1:1" x14ac:dyDescent="0.2">
      <c r="A25" s="4"/>
    </row>
    <row r="26" spans="1:1" x14ac:dyDescent="0.2">
      <c r="A26" s="4"/>
    </row>
  </sheetData>
  <pageMargins left="0.78740157480314965" right="0.78740157480314965" top="0.98425196850393704" bottom="0.98425196850393704" header="0.51181102362204722" footer="0.51181102362204722"/>
  <pageSetup paperSize="9"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 r:id="rId3" name="Drop Down 1025">
              <controlPr defaultSize="0" autoLine="0" autoPict="0">
                <anchor moveWithCells="1">
                  <from>
                    <xdr:col>0</xdr:col>
                    <xdr:colOff>0</xdr:colOff>
                    <xdr:row>24</xdr:row>
                    <xdr:rowOff>0</xdr:rowOff>
                  </from>
                  <to>
                    <xdr:col>0</xdr:col>
                    <xdr:colOff>717550</xdr:colOff>
                    <xdr:row>25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le03"/>
  <dimension ref="A1:BH194"/>
  <sheetViews>
    <sheetView showGridLines="0" zoomScaleNormal="100" workbookViewId="0">
      <pane xSplit="2" ySplit="11" topLeftCell="L12" activePane="bottomRight" state="frozen"/>
      <selection pane="topRight"/>
      <selection pane="bottomLeft"/>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9"/>
      <c r="E1" s="9"/>
      <c r="G1" s="9"/>
      <c r="I1" s="9"/>
      <c r="K1" s="9"/>
      <c r="Q1" s="9"/>
      <c r="U1" s="9"/>
      <c r="W1" s="9"/>
      <c r="AA1" s="9"/>
      <c r="AG1" s="9"/>
      <c r="AI1" s="9"/>
      <c r="AM1" s="9"/>
      <c r="AO1" s="9"/>
      <c r="AQ1" s="9"/>
      <c r="AS1" s="9"/>
      <c r="AU1" s="9"/>
      <c r="AY1" s="9"/>
      <c r="BA1" s="9"/>
      <c r="BC1" s="9"/>
      <c r="BE1" s="9"/>
    </row>
    <row r="2" spans="1:60" ht="11.25" customHeight="1" x14ac:dyDescent="0.2">
      <c r="A2" s="4" t="str">
        <f ca="1">INDIRECT("beschriftung!"&amp;ADDRESS(beschriftung!$C$1*12+ROW(beschriftung!$A2)-1,COLUMN(beschriftung!A$1)))</f>
        <v>In Mio. Swiss Francs, at current prices, percentage change to previous year</v>
      </c>
      <c r="C2" s="9"/>
      <c r="E2" s="9"/>
      <c r="G2" s="9"/>
      <c r="I2" s="9"/>
      <c r="K2" s="9"/>
      <c r="Q2" s="9"/>
      <c r="U2" s="9"/>
      <c r="W2" s="9"/>
      <c r="AA2" s="9"/>
      <c r="AG2" s="9"/>
      <c r="AI2" s="9"/>
      <c r="AM2" s="9"/>
      <c r="AO2" s="9"/>
      <c r="AQ2" s="9"/>
      <c r="AS2" s="9"/>
      <c r="AU2" s="9"/>
      <c r="AY2" s="9"/>
      <c r="BA2" s="9"/>
      <c r="BC2" s="9"/>
      <c r="BE2" s="9"/>
    </row>
    <row r="3" spans="1:60" ht="11.25" customHeight="1" x14ac:dyDescent="0.2">
      <c r="C3" s="9"/>
      <c r="E3" s="9"/>
      <c r="G3" s="9"/>
      <c r="I3" s="9"/>
      <c r="K3" s="9"/>
      <c r="Q3" s="9"/>
      <c r="U3" s="9"/>
      <c r="W3" s="9"/>
      <c r="AA3" s="9"/>
      <c r="AG3" s="9"/>
      <c r="AI3" s="9"/>
      <c r="AM3" s="9"/>
      <c r="AO3" s="9"/>
      <c r="AQ3" s="9"/>
      <c r="AS3" s="9"/>
      <c r="AU3" s="9"/>
      <c r="AY3" s="9"/>
      <c r="BA3" s="9"/>
      <c r="BC3" s="9"/>
      <c r="BE3" s="9"/>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c r="BG5" s="2" t="str">
        <f ca="1">IF(INDIRECT("beschriftung!"&amp;ADDRESS(beschriftung!$C$1*12+ROW($A6)-1,COLUMN(BG$1)))="","",INDIRECT("beschriftung!"&amp;ADDRESS(beschriftung!$C$1*12+ROW($A6)-1,COLUMN(BG$1))))</f>
        <v/>
      </c>
      <c r="BH5" s="2" t="str">
        <f ca="1">IF(INDIRECT("beschriftung!"&amp;ADDRESS(beschriftung!$C$1*12+ROW($A6)-1,COLUMN(BH$1)))="","",INDIRECT("beschriftung!"&amp;ADDRESS(beschriftung!$C$1*12+ROW($A6)-1,COLUMN(BH$1))))</f>
        <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v>1</v>
      </c>
      <c r="C12" s="17">
        <v>49949.521573559599</v>
      </c>
      <c r="D12" s="18"/>
      <c r="E12" s="17"/>
      <c r="F12" s="18"/>
      <c r="G12" s="17"/>
      <c r="H12" s="18"/>
      <c r="I12" s="17"/>
      <c r="J12" s="18"/>
      <c r="K12" s="17"/>
      <c r="L12" s="18"/>
      <c r="M12" s="17"/>
      <c r="N12" s="18"/>
      <c r="O12" s="17"/>
      <c r="P12" s="18"/>
      <c r="Q12" s="17"/>
      <c r="R12" s="18"/>
      <c r="S12" s="17"/>
      <c r="T12" s="18"/>
      <c r="U12" s="17"/>
      <c r="V12" s="18"/>
      <c r="W12" s="17"/>
      <c r="X12" s="18"/>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row>
    <row r="13" spans="1:60" x14ac:dyDescent="0.2">
      <c r="A13" s="16">
        <v>1980</v>
      </c>
      <c r="B13" s="16">
        <v>2</v>
      </c>
      <c r="C13" s="17">
        <v>51718.735078004203</v>
      </c>
      <c r="D13" s="18"/>
      <c r="E13" s="17"/>
      <c r="F13" s="18"/>
      <c r="G13" s="17"/>
      <c r="H13" s="18"/>
      <c r="I13" s="17"/>
      <c r="J13" s="18"/>
      <c r="K13" s="17"/>
      <c r="L13" s="18"/>
      <c r="M13" s="17"/>
      <c r="N13" s="18"/>
      <c r="O13" s="17"/>
      <c r="P13" s="18"/>
      <c r="Q13" s="17"/>
      <c r="R13" s="18"/>
      <c r="S13" s="17"/>
      <c r="T13" s="18"/>
      <c r="U13" s="17"/>
      <c r="V13" s="18"/>
      <c r="W13" s="17"/>
      <c r="X13" s="18"/>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row>
    <row r="14" spans="1:60" x14ac:dyDescent="0.2">
      <c r="A14" s="16">
        <v>1980</v>
      </c>
      <c r="B14" s="16">
        <v>3</v>
      </c>
      <c r="C14" s="17">
        <v>52002.729930867099</v>
      </c>
      <c r="D14" s="18"/>
      <c r="E14" s="17"/>
      <c r="F14" s="18"/>
      <c r="G14" s="17"/>
      <c r="H14" s="18"/>
      <c r="I14" s="17"/>
      <c r="J14" s="18"/>
      <c r="K14" s="17"/>
      <c r="L14" s="18"/>
      <c r="M14" s="17"/>
      <c r="N14" s="18"/>
      <c r="O14" s="17"/>
      <c r="P14" s="18"/>
      <c r="Q14" s="17"/>
      <c r="R14" s="18"/>
      <c r="S14" s="17"/>
      <c r="T14" s="18"/>
      <c r="U14" s="17"/>
      <c r="V14" s="18"/>
      <c r="W14" s="17"/>
      <c r="X14" s="18"/>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row>
    <row r="15" spans="1:60" x14ac:dyDescent="0.2">
      <c r="A15" s="16">
        <v>1980</v>
      </c>
      <c r="B15" s="16">
        <v>4</v>
      </c>
      <c r="C15" s="17">
        <v>54793.817633085098</v>
      </c>
      <c r="D15" s="18"/>
      <c r="E15" s="17"/>
      <c r="F15" s="18"/>
      <c r="G15" s="17"/>
      <c r="H15" s="18"/>
      <c r="I15" s="17"/>
      <c r="J15" s="18"/>
      <c r="K15" s="17"/>
      <c r="L15" s="18"/>
      <c r="M15" s="17"/>
      <c r="N15" s="18"/>
      <c r="O15" s="17"/>
      <c r="P15" s="18"/>
      <c r="Q15" s="17"/>
      <c r="R15" s="18"/>
      <c r="S15" s="17"/>
      <c r="T15" s="18"/>
      <c r="U15" s="17"/>
      <c r="V15" s="18"/>
      <c r="W15" s="17"/>
      <c r="X15" s="18"/>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row>
    <row r="16" spans="1:60" x14ac:dyDescent="0.2">
      <c r="A16" s="16">
        <v>1981</v>
      </c>
      <c r="B16" s="16">
        <v>1</v>
      </c>
      <c r="C16" s="17">
        <v>52977.658846113402</v>
      </c>
      <c r="D16" s="18">
        <v>6.0623949482566698E-2</v>
      </c>
      <c r="E16" s="17"/>
      <c r="F16" s="18"/>
      <c r="G16" s="17"/>
      <c r="H16" s="18"/>
      <c r="I16" s="17"/>
      <c r="J16" s="18"/>
      <c r="K16" s="17"/>
      <c r="L16" s="18"/>
      <c r="M16" s="17"/>
      <c r="N16" s="18"/>
      <c r="O16" s="17"/>
      <c r="P16" s="18"/>
      <c r="Q16" s="17"/>
      <c r="R16" s="18"/>
      <c r="S16" s="17"/>
      <c r="T16" s="18"/>
      <c r="U16" s="17"/>
      <c r="V16" s="18"/>
      <c r="W16" s="17"/>
      <c r="X16" s="18"/>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row>
    <row r="17" spans="1:60" x14ac:dyDescent="0.2">
      <c r="A17" s="16">
        <v>1981</v>
      </c>
      <c r="B17" s="16">
        <v>2</v>
      </c>
      <c r="C17" s="17">
        <v>55522.013770157799</v>
      </c>
      <c r="D17" s="18">
        <v>7.3537736110857996E-2</v>
      </c>
      <c r="E17" s="17"/>
      <c r="F17" s="18"/>
      <c r="G17" s="17"/>
      <c r="H17" s="18"/>
      <c r="I17" s="17"/>
      <c r="J17" s="18"/>
      <c r="K17" s="17"/>
      <c r="L17" s="18"/>
      <c r="M17" s="17"/>
      <c r="N17" s="18"/>
      <c r="O17" s="17"/>
      <c r="P17" s="18"/>
      <c r="Q17" s="17"/>
      <c r="R17" s="18"/>
      <c r="S17" s="17"/>
      <c r="T17" s="18"/>
      <c r="U17" s="17"/>
      <c r="V17" s="18"/>
      <c r="W17" s="17"/>
      <c r="X17" s="18"/>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row>
    <row r="18" spans="1:60" x14ac:dyDescent="0.2">
      <c r="A18" s="16">
        <v>1981</v>
      </c>
      <c r="B18" s="16">
        <v>3</v>
      </c>
      <c r="C18" s="17">
        <v>56051.231690713801</v>
      </c>
      <c r="D18" s="18">
        <v>7.7851715962387893E-2</v>
      </c>
      <c r="E18" s="17"/>
      <c r="F18" s="18"/>
      <c r="G18" s="17"/>
      <c r="H18" s="18"/>
      <c r="I18" s="17"/>
      <c r="J18" s="18"/>
      <c r="K18" s="17"/>
      <c r="L18" s="18"/>
      <c r="M18" s="17"/>
      <c r="N18" s="18"/>
      <c r="O18" s="17"/>
      <c r="P18" s="18"/>
      <c r="Q18" s="17"/>
      <c r="R18" s="18"/>
      <c r="S18" s="17"/>
      <c r="T18" s="18"/>
      <c r="U18" s="17"/>
      <c r="V18" s="18"/>
      <c r="W18" s="17"/>
      <c r="X18" s="18"/>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row>
    <row r="19" spans="1:60" x14ac:dyDescent="0.2">
      <c r="A19" s="16">
        <v>1981</v>
      </c>
      <c r="B19" s="16">
        <v>4</v>
      </c>
      <c r="C19" s="17">
        <v>59242.518267027001</v>
      </c>
      <c r="D19" s="18">
        <v>8.1189828088482394E-2</v>
      </c>
      <c r="E19" s="17"/>
      <c r="F19" s="18"/>
      <c r="G19" s="17"/>
      <c r="H19" s="18"/>
      <c r="I19" s="17"/>
      <c r="J19" s="18"/>
      <c r="K19" s="17"/>
      <c r="L19" s="18"/>
      <c r="M19" s="17"/>
      <c r="N19" s="18"/>
      <c r="O19" s="17"/>
      <c r="P19" s="18"/>
      <c r="Q19" s="17"/>
      <c r="R19" s="18"/>
      <c r="S19" s="17"/>
      <c r="T19" s="18"/>
      <c r="U19" s="17"/>
      <c r="V19" s="18"/>
      <c r="W19" s="17"/>
      <c r="X19" s="18"/>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row>
    <row r="20" spans="1:60" x14ac:dyDescent="0.2">
      <c r="A20" s="16">
        <v>1982</v>
      </c>
      <c r="B20" s="16">
        <v>1</v>
      </c>
      <c r="C20" s="17">
        <v>57055.029093385099</v>
      </c>
      <c r="D20" s="18">
        <v>7.6963956808952003E-2</v>
      </c>
      <c r="E20" s="17"/>
      <c r="F20" s="18"/>
      <c r="G20" s="17"/>
      <c r="H20" s="18"/>
      <c r="I20" s="17"/>
      <c r="J20" s="18"/>
      <c r="K20" s="17"/>
      <c r="L20" s="18"/>
      <c r="M20" s="17"/>
      <c r="N20" s="18"/>
      <c r="O20" s="17"/>
      <c r="P20" s="18"/>
      <c r="Q20" s="17"/>
      <c r="R20" s="18"/>
      <c r="S20" s="17"/>
      <c r="T20" s="18"/>
      <c r="U20" s="17"/>
      <c r="V20" s="18"/>
      <c r="W20" s="17"/>
      <c r="X20" s="18"/>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row>
    <row r="21" spans="1:60" x14ac:dyDescent="0.2">
      <c r="A21" s="16">
        <v>1982</v>
      </c>
      <c r="B21" s="16">
        <v>2</v>
      </c>
      <c r="C21" s="17">
        <v>59324.427081100999</v>
      </c>
      <c r="D21" s="18">
        <v>6.8484787433753302E-2</v>
      </c>
      <c r="E21" s="17"/>
      <c r="F21" s="18"/>
      <c r="G21" s="17"/>
      <c r="H21" s="18"/>
      <c r="I21" s="17"/>
      <c r="J21" s="18"/>
      <c r="K21" s="17"/>
      <c r="L21" s="18"/>
      <c r="M21" s="17"/>
      <c r="N21" s="18"/>
      <c r="O21" s="17"/>
      <c r="P21" s="18"/>
      <c r="Q21" s="17"/>
      <c r="R21" s="18"/>
      <c r="S21" s="17"/>
      <c r="T21" s="18"/>
      <c r="U21" s="17"/>
      <c r="V21" s="18"/>
      <c r="W21" s="17"/>
      <c r="X21" s="18"/>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row>
    <row r="22" spans="1:60" x14ac:dyDescent="0.2">
      <c r="A22" s="16">
        <v>1982</v>
      </c>
      <c r="B22" s="16">
        <v>3</v>
      </c>
      <c r="C22" s="17">
        <v>59074.572019718398</v>
      </c>
      <c r="D22" s="18">
        <v>5.3938874094456399E-2</v>
      </c>
      <c r="E22" s="17"/>
      <c r="F22" s="18"/>
      <c r="G22" s="17"/>
      <c r="H22" s="18"/>
      <c r="I22" s="17"/>
      <c r="J22" s="18"/>
      <c r="K22" s="17"/>
      <c r="L22" s="18"/>
      <c r="M22" s="17"/>
      <c r="N22" s="18"/>
      <c r="O22" s="17"/>
      <c r="P22" s="18"/>
      <c r="Q22" s="17"/>
      <c r="R22" s="18"/>
      <c r="S22" s="17"/>
      <c r="T22" s="18"/>
      <c r="U22" s="17"/>
      <c r="V22" s="18"/>
      <c r="W22" s="17"/>
      <c r="X22" s="18"/>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row>
    <row r="23" spans="1:60" x14ac:dyDescent="0.2">
      <c r="A23" s="16">
        <v>1982</v>
      </c>
      <c r="B23" s="16">
        <v>4</v>
      </c>
      <c r="C23" s="17">
        <v>61638.1104410384</v>
      </c>
      <c r="D23" s="18">
        <v>4.0437041572298799E-2</v>
      </c>
      <c r="E23" s="17"/>
      <c r="F23" s="18"/>
      <c r="G23" s="17"/>
      <c r="H23" s="18"/>
      <c r="I23" s="17"/>
      <c r="J23" s="18"/>
      <c r="K23" s="17"/>
      <c r="L23" s="18"/>
      <c r="M23" s="17"/>
      <c r="N23" s="18"/>
      <c r="O23" s="17"/>
      <c r="P23" s="18"/>
      <c r="Q23" s="17"/>
      <c r="R23" s="18"/>
      <c r="S23" s="17"/>
      <c r="T23" s="18"/>
      <c r="U23" s="17"/>
      <c r="V23" s="18"/>
      <c r="W23" s="17"/>
      <c r="X23" s="18"/>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row>
    <row r="24" spans="1:60" x14ac:dyDescent="0.2">
      <c r="A24" s="16">
        <v>1983</v>
      </c>
      <c r="B24" s="16">
        <v>1</v>
      </c>
      <c r="C24" s="17">
        <v>59277.027330392601</v>
      </c>
      <c r="D24" s="18">
        <v>3.89448269909849E-2</v>
      </c>
      <c r="E24" s="17"/>
      <c r="F24" s="18"/>
      <c r="G24" s="17"/>
      <c r="H24" s="18"/>
      <c r="I24" s="17"/>
      <c r="J24" s="18"/>
      <c r="K24" s="17"/>
      <c r="L24" s="18"/>
      <c r="M24" s="17"/>
      <c r="N24" s="18"/>
      <c r="O24" s="17"/>
      <c r="P24" s="18"/>
      <c r="Q24" s="17"/>
      <c r="R24" s="18"/>
      <c r="S24" s="17"/>
      <c r="T24" s="18"/>
      <c r="U24" s="17"/>
      <c r="V24" s="18"/>
      <c r="W24" s="17"/>
      <c r="X24" s="18"/>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row>
    <row r="25" spans="1:60" x14ac:dyDescent="0.2">
      <c r="A25" s="16">
        <v>1983</v>
      </c>
      <c r="B25" s="16">
        <v>2</v>
      </c>
      <c r="C25" s="17">
        <v>60666.889577840397</v>
      </c>
      <c r="D25" s="18">
        <v>2.26291691768741E-2</v>
      </c>
      <c r="E25" s="17"/>
      <c r="F25" s="18"/>
      <c r="G25" s="17"/>
      <c r="H25" s="18"/>
      <c r="I25" s="17"/>
      <c r="J25" s="18"/>
      <c r="K25" s="17"/>
      <c r="L25" s="18"/>
      <c r="M25" s="17"/>
      <c r="N25" s="18"/>
      <c r="O25" s="17"/>
      <c r="P25" s="18"/>
      <c r="Q25" s="17"/>
      <c r="R25" s="18"/>
      <c r="S25" s="17"/>
      <c r="T25" s="18"/>
      <c r="U25" s="17"/>
      <c r="V25" s="18"/>
      <c r="W25" s="17"/>
      <c r="X25" s="18"/>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row>
    <row r="26" spans="1:60" x14ac:dyDescent="0.2">
      <c r="A26" s="16">
        <v>1983</v>
      </c>
      <c r="B26" s="16">
        <v>3</v>
      </c>
      <c r="C26" s="17">
        <v>60588.290848839701</v>
      </c>
      <c r="D26" s="18">
        <v>2.5623864504952201E-2</v>
      </c>
      <c r="E26" s="17"/>
      <c r="F26" s="18"/>
      <c r="G26" s="17"/>
      <c r="H26" s="18"/>
      <c r="I26" s="17"/>
      <c r="J26" s="18"/>
      <c r="K26" s="17"/>
      <c r="L26" s="18"/>
      <c r="M26" s="17"/>
      <c r="N26" s="18"/>
      <c r="O26" s="17"/>
      <c r="P26" s="18"/>
      <c r="Q26" s="17"/>
      <c r="R26" s="18"/>
      <c r="S26" s="17"/>
      <c r="T26" s="18"/>
      <c r="U26" s="17"/>
      <c r="V26" s="18"/>
      <c r="W26" s="17"/>
      <c r="X26" s="18"/>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row>
    <row r="27" spans="1:60" x14ac:dyDescent="0.2">
      <c r="A27" s="16">
        <v>1983</v>
      </c>
      <c r="B27" s="16">
        <v>4</v>
      </c>
      <c r="C27" s="17">
        <v>63722.697424609403</v>
      </c>
      <c r="D27" s="18">
        <v>3.3819774302865001E-2</v>
      </c>
      <c r="E27" s="17"/>
      <c r="F27" s="18"/>
      <c r="G27" s="17"/>
      <c r="H27" s="18"/>
      <c r="I27" s="17"/>
      <c r="J27" s="18"/>
      <c r="K27" s="17"/>
      <c r="L27" s="18"/>
      <c r="M27" s="17"/>
      <c r="N27" s="18"/>
      <c r="O27" s="17"/>
      <c r="P27" s="18"/>
      <c r="Q27" s="17"/>
      <c r="R27" s="18"/>
      <c r="S27" s="17"/>
      <c r="T27" s="18"/>
      <c r="U27" s="17"/>
      <c r="V27" s="18"/>
      <c r="W27" s="17"/>
      <c r="X27" s="18"/>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row>
    <row r="28" spans="1:60" x14ac:dyDescent="0.2">
      <c r="A28" s="16">
        <v>1984</v>
      </c>
      <c r="B28" s="16">
        <v>1</v>
      </c>
      <c r="C28" s="17">
        <v>62628.273085547902</v>
      </c>
      <c r="D28" s="18">
        <v>5.6535320782476098E-2</v>
      </c>
      <c r="E28" s="17"/>
      <c r="F28" s="18"/>
      <c r="G28" s="17"/>
      <c r="H28" s="18"/>
      <c r="I28" s="17"/>
      <c r="J28" s="18"/>
      <c r="K28" s="17"/>
      <c r="L28" s="18"/>
      <c r="M28" s="17"/>
      <c r="N28" s="18"/>
      <c r="O28" s="17"/>
      <c r="P28" s="18"/>
      <c r="Q28" s="17"/>
      <c r="R28" s="18"/>
      <c r="S28" s="17"/>
      <c r="T28" s="18"/>
      <c r="U28" s="17"/>
      <c r="V28" s="18"/>
      <c r="W28" s="17"/>
      <c r="X28" s="18"/>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row>
    <row r="29" spans="1:60" x14ac:dyDescent="0.2">
      <c r="A29" s="16">
        <v>1984</v>
      </c>
      <c r="B29" s="16">
        <v>2</v>
      </c>
      <c r="C29" s="17">
        <v>64803.094046672297</v>
      </c>
      <c r="D29" s="18">
        <v>6.8178944027200303E-2</v>
      </c>
      <c r="E29" s="17"/>
      <c r="F29" s="18"/>
      <c r="G29" s="17"/>
      <c r="H29" s="18"/>
      <c r="I29" s="17"/>
      <c r="J29" s="18"/>
      <c r="K29" s="17"/>
      <c r="L29" s="18"/>
      <c r="M29" s="17"/>
      <c r="N29" s="18"/>
      <c r="O29" s="17"/>
      <c r="P29" s="18"/>
      <c r="Q29" s="17"/>
      <c r="R29" s="18"/>
      <c r="S29" s="17"/>
      <c r="T29" s="18"/>
      <c r="U29" s="17"/>
      <c r="V29" s="18"/>
      <c r="W29" s="17"/>
      <c r="X29" s="18"/>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row>
    <row r="30" spans="1:60" x14ac:dyDescent="0.2">
      <c r="A30" s="16">
        <v>1984</v>
      </c>
      <c r="B30" s="16">
        <v>3</v>
      </c>
      <c r="C30" s="17">
        <v>65212.957294055297</v>
      </c>
      <c r="D30" s="18">
        <v>7.63293761950401E-2</v>
      </c>
      <c r="E30" s="17"/>
      <c r="F30" s="18"/>
      <c r="G30" s="17"/>
      <c r="H30" s="18"/>
      <c r="I30" s="17"/>
      <c r="J30" s="18"/>
      <c r="K30" s="17"/>
      <c r="L30" s="18"/>
      <c r="M30" s="17"/>
      <c r="N30" s="18"/>
      <c r="O30" s="17"/>
      <c r="P30" s="18"/>
      <c r="Q30" s="17"/>
      <c r="R30" s="18"/>
      <c r="S30" s="17"/>
      <c r="T30" s="18"/>
      <c r="U30" s="17"/>
      <c r="V30" s="18"/>
      <c r="W30" s="17"/>
      <c r="X30" s="18"/>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row>
    <row r="31" spans="1:60" x14ac:dyDescent="0.2">
      <c r="A31" s="16">
        <v>1984</v>
      </c>
      <c r="B31" s="16">
        <v>4</v>
      </c>
      <c r="C31" s="17">
        <v>68418.252753637498</v>
      </c>
      <c r="D31" s="18">
        <v>7.3687328358682497E-2</v>
      </c>
      <c r="E31" s="17"/>
      <c r="F31" s="18"/>
      <c r="G31" s="17"/>
      <c r="H31" s="18"/>
      <c r="I31" s="17"/>
      <c r="J31" s="18"/>
      <c r="K31" s="17"/>
      <c r="L31" s="18"/>
      <c r="M31" s="17"/>
      <c r="N31" s="18"/>
      <c r="O31" s="17"/>
      <c r="P31" s="18"/>
      <c r="Q31" s="17"/>
      <c r="R31" s="18"/>
      <c r="S31" s="17"/>
      <c r="T31" s="18"/>
      <c r="U31" s="17"/>
      <c r="V31" s="18"/>
      <c r="W31" s="17"/>
      <c r="X31" s="18"/>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row>
    <row r="32" spans="1:60" x14ac:dyDescent="0.2">
      <c r="A32" s="16">
        <v>1985</v>
      </c>
      <c r="B32" s="16">
        <v>1</v>
      </c>
      <c r="C32" s="17">
        <v>66576.5390437936</v>
      </c>
      <c r="D32" s="18">
        <v>6.3042868080562101E-2</v>
      </c>
      <c r="E32" s="17"/>
      <c r="F32" s="18"/>
      <c r="G32" s="17"/>
      <c r="H32" s="18"/>
      <c r="I32" s="17"/>
      <c r="J32" s="18"/>
      <c r="K32" s="17"/>
      <c r="L32" s="18"/>
      <c r="M32" s="17"/>
      <c r="N32" s="18"/>
      <c r="O32" s="17"/>
      <c r="P32" s="18"/>
      <c r="Q32" s="17"/>
      <c r="R32" s="18"/>
      <c r="S32" s="17"/>
      <c r="T32" s="18"/>
      <c r="U32" s="17"/>
      <c r="V32" s="18"/>
      <c r="W32" s="17"/>
      <c r="X32" s="18"/>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row>
    <row r="33" spans="1:60" x14ac:dyDescent="0.2">
      <c r="A33" s="16">
        <v>1985</v>
      </c>
      <c r="B33" s="16">
        <v>2</v>
      </c>
      <c r="C33" s="17">
        <v>68938.6812580236</v>
      </c>
      <c r="D33" s="18">
        <v>6.3817743152398299E-2</v>
      </c>
      <c r="E33" s="17"/>
      <c r="F33" s="18"/>
      <c r="G33" s="17"/>
      <c r="H33" s="18"/>
      <c r="I33" s="17"/>
      <c r="J33" s="18"/>
      <c r="K33" s="17"/>
      <c r="L33" s="18"/>
      <c r="M33" s="17"/>
      <c r="N33" s="18"/>
      <c r="O33" s="17"/>
      <c r="P33" s="18"/>
      <c r="Q33" s="17"/>
      <c r="R33" s="18"/>
      <c r="S33" s="17"/>
      <c r="T33" s="18"/>
      <c r="U33" s="17"/>
      <c r="V33" s="18"/>
      <c r="W33" s="17"/>
      <c r="X33" s="18"/>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row>
    <row r="34" spans="1:60" x14ac:dyDescent="0.2">
      <c r="A34" s="16">
        <v>1985</v>
      </c>
      <c r="B34" s="16">
        <v>3</v>
      </c>
      <c r="C34" s="17">
        <v>68747.019600484098</v>
      </c>
      <c r="D34" s="18">
        <v>5.4192639822990801E-2</v>
      </c>
      <c r="E34" s="17"/>
      <c r="F34" s="18"/>
      <c r="G34" s="17"/>
      <c r="H34" s="18"/>
      <c r="I34" s="17"/>
      <c r="J34" s="18"/>
      <c r="K34" s="17"/>
      <c r="L34" s="18"/>
      <c r="M34" s="17"/>
      <c r="N34" s="18"/>
      <c r="O34" s="17"/>
      <c r="P34" s="18"/>
      <c r="Q34" s="17"/>
      <c r="R34" s="18"/>
      <c r="S34" s="17"/>
      <c r="T34" s="18"/>
      <c r="U34" s="17"/>
      <c r="V34" s="18"/>
      <c r="W34" s="17"/>
      <c r="X34" s="18"/>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row>
    <row r="35" spans="1:60" x14ac:dyDescent="0.2">
      <c r="A35" s="16">
        <v>1985</v>
      </c>
      <c r="B35" s="16">
        <v>4</v>
      </c>
      <c r="C35" s="17">
        <v>72536.521071227602</v>
      </c>
      <c r="D35" s="18">
        <v>6.0192538567438697E-2</v>
      </c>
      <c r="E35" s="17"/>
      <c r="F35" s="18"/>
      <c r="G35" s="17"/>
      <c r="H35" s="18"/>
      <c r="I35" s="17"/>
      <c r="J35" s="18"/>
      <c r="K35" s="17"/>
      <c r="L35" s="18"/>
      <c r="M35" s="17"/>
      <c r="N35" s="18"/>
      <c r="O35" s="17"/>
      <c r="P35" s="18"/>
      <c r="Q35" s="17"/>
      <c r="R35" s="18"/>
      <c r="S35" s="17"/>
      <c r="T35" s="18"/>
      <c r="U35" s="17"/>
      <c r="V35" s="18"/>
      <c r="W35" s="17"/>
      <c r="X35" s="18"/>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row>
    <row r="36" spans="1:60" x14ac:dyDescent="0.2">
      <c r="A36" s="16">
        <v>1986</v>
      </c>
      <c r="B36" s="16">
        <v>1</v>
      </c>
      <c r="C36" s="17">
        <v>70056.990173592902</v>
      </c>
      <c r="D36" s="18">
        <v>5.2277441570068597E-2</v>
      </c>
      <c r="E36" s="17"/>
      <c r="F36" s="18"/>
      <c r="G36" s="17"/>
      <c r="H36" s="18"/>
      <c r="I36" s="17"/>
      <c r="J36" s="18"/>
      <c r="K36" s="17"/>
      <c r="L36" s="18"/>
      <c r="M36" s="17"/>
      <c r="N36" s="18"/>
      <c r="O36" s="17"/>
      <c r="P36" s="18"/>
      <c r="Q36" s="17"/>
      <c r="R36" s="18"/>
      <c r="S36" s="17"/>
      <c r="T36" s="18"/>
      <c r="U36" s="17"/>
      <c r="V36" s="18"/>
      <c r="W36" s="17"/>
      <c r="X36" s="18"/>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row>
    <row r="37" spans="1:60" x14ac:dyDescent="0.2">
      <c r="A37" s="16">
        <v>1986</v>
      </c>
      <c r="B37" s="16">
        <v>2</v>
      </c>
      <c r="C37" s="17">
        <v>73132.872000117597</v>
      </c>
      <c r="D37" s="18">
        <v>6.0839439710139297E-2</v>
      </c>
      <c r="E37" s="17"/>
      <c r="F37" s="18"/>
      <c r="G37" s="17"/>
      <c r="H37" s="18"/>
      <c r="I37" s="17"/>
      <c r="J37" s="18"/>
      <c r="K37" s="17"/>
      <c r="L37" s="18"/>
      <c r="M37" s="17"/>
      <c r="N37" s="18"/>
      <c r="O37" s="17"/>
      <c r="P37" s="18"/>
      <c r="Q37" s="17"/>
      <c r="R37" s="18"/>
      <c r="S37" s="17"/>
      <c r="T37" s="18"/>
      <c r="U37" s="17"/>
      <c r="V37" s="18"/>
      <c r="W37" s="17"/>
      <c r="X37" s="18"/>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row>
    <row r="38" spans="1:60" x14ac:dyDescent="0.2">
      <c r="A38" s="16">
        <v>1986</v>
      </c>
      <c r="B38" s="16">
        <v>3</v>
      </c>
      <c r="C38" s="17">
        <v>72364.099159024001</v>
      </c>
      <c r="D38" s="18">
        <v>5.2614347204578998E-2</v>
      </c>
      <c r="E38" s="17"/>
      <c r="F38" s="18"/>
      <c r="G38" s="17"/>
      <c r="H38" s="18"/>
      <c r="I38" s="17"/>
      <c r="J38" s="18"/>
      <c r="K38" s="17"/>
      <c r="L38" s="18"/>
      <c r="M38" s="17"/>
      <c r="N38" s="18"/>
      <c r="O38" s="17"/>
      <c r="P38" s="18"/>
      <c r="Q38" s="17"/>
      <c r="R38" s="18"/>
      <c r="S38" s="17"/>
      <c r="T38" s="18"/>
      <c r="U38" s="17"/>
      <c r="V38" s="18"/>
      <c r="W38" s="17"/>
      <c r="X38" s="18"/>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row>
    <row r="39" spans="1:60" x14ac:dyDescent="0.2">
      <c r="A39" s="16">
        <v>1986</v>
      </c>
      <c r="B39" s="16">
        <v>4</v>
      </c>
      <c r="C39" s="17">
        <v>74945.310524288594</v>
      </c>
      <c r="D39" s="18">
        <v>3.3207953972532699E-2</v>
      </c>
      <c r="E39" s="17"/>
      <c r="F39" s="18"/>
      <c r="G39" s="17"/>
      <c r="H39" s="18"/>
      <c r="I39" s="17"/>
      <c r="J39" s="18"/>
      <c r="K39" s="17"/>
      <c r="L39" s="18"/>
      <c r="M39" s="17"/>
      <c r="N39" s="18"/>
      <c r="O39" s="17"/>
      <c r="P39" s="18"/>
      <c r="Q39" s="17"/>
      <c r="R39" s="18"/>
      <c r="S39" s="17"/>
      <c r="T39" s="18"/>
      <c r="U39" s="17"/>
      <c r="V39" s="18"/>
      <c r="W39" s="17"/>
      <c r="X39" s="18"/>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row>
    <row r="40" spans="1:60" x14ac:dyDescent="0.2">
      <c r="A40" s="16">
        <v>1987</v>
      </c>
      <c r="B40" s="16">
        <v>1</v>
      </c>
      <c r="C40" s="17">
        <v>72329.745027892306</v>
      </c>
      <c r="D40" s="18">
        <v>3.2441514382331303E-2</v>
      </c>
      <c r="E40" s="17"/>
      <c r="F40" s="18"/>
      <c r="G40" s="17"/>
      <c r="H40" s="18"/>
      <c r="I40" s="17"/>
      <c r="J40" s="18"/>
      <c r="K40" s="17"/>
      <c r="L40" s="18"/>
      <c r="M40" s="17"/>
      <c r="N40" s="18"/>
      <c r="O40" s="17"/>
      <c r="P40" s="18"/>
      <c r="Q40" s="17"/>
      <c r="R40" s="18"/>
      <c r="S40" s="17"/>
      <c r="T40" s="18"/>
      <c r="U40" s="17"/>
      <c r="V40" s="18"/>
      <c r="W40" s="17"/>
      <c r="X40" s="18"/>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row>
    <row r="41" spans="1:60" x14ac:dyDescent="0.2">
      <c r="A41" s="16">
        <v>1987</v>
      </c>
      <c r="B41" s="16">
        <v>2</v>
      </c>
      <c r="C41" s="17">
        <v>74710.255519108599</v>
      </c>
      <c r="D41" s="18">
        <v>2.1568734767978E-2</v>
      </c>
      <c r="E41" s="17"/>
      <c r="F41" s="18"/>
      <c r="G41" s="17"/>
      <c r="H41" s="18"/>
      <c r="I41" s="17"/>
      <c r="J41" s="18"/>
      <c r="K41" s="17"/>
      <c r="L41" s="18"/>
      <c r="M41" s="17"/>
      <c r="N41" s="18"/>
      <c r="O41" s="17"/>
      <c r="P41" s="18"/>
      <c r="Q41" s="17"/>
      <c r="R41" s="18"/>
      <c r="S41" s="17"/>
      <c r="T41" s="18"/>
      <c r="U41" s="17"/>
      <c r="V41" s="18"/>
      <c r="W41" s="17"/>
      <c r="X41" s="18"/>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row>
    <row r="42" spans="1:60" x14ac:dyDescent="0.2">
      <c r="A42" s="16">
        <v>1987</v>
      </c>
      <c r="B42" s="16">
        <v>3</v>
      </c>
      <c r="C42" s="17">
        <v>75468.582428096299</v>
      </c>
      <c r="D42" s="18">
        <v>4.29008763344116E-2</v>
      </c>
      <c r="E42" s="17"/>
      <c r="F42" s="18"/>
      <c r="G42" s="17"/>
      <c r="H42" s="18"/>
      <c r="I42" s="17"/>
      <c r="J42" s="18"/>
      <c r="K42" s="17"/>
      <c r="L42" s="18"/>
      <c r="M42" s="17"/>
      <c r="N42" s="18"/>
      <c r="O42" s="17"/>
      <c r="P42" s="18"/>
      <c r="Q42" s="17"/>
      <c r="R42" s="18"/>
      <c r="S42" s="17"/>
      <c r="T42" s="18"/>
      <c r="U42" s="17"/>
      <c r="V42" s="18"/>
      <c r="W42" s="17"/>
      <c r="X42" s="18"/>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row>
    <row r="43" spans="1:60" x14ac:dyDescent="0.2">
      <c r="A43" s="16">
        <v>1987</v>
      </c>
      <c r="B43" s="16">
        <v>4</v>
      </c>
      <c r="C43" s="17">
        <v>79069.569353504703</v>
      </c>
      <c r="D43" s="18">
        <v>5.50302453931319E-2</v>
      </c>
      <c r="E43" s="17"/>
      <c r="F43" s="18"/>
      <c r="G43" s="17"/>
      <c r="H43" s="18"/>
      <c r="I43" s="17"/>
      <c r="J43" s="18"/>
      <c r="K43" s="17"/>
      <c r="L43" s="18"/>
      <c r="M43" s="17"/>
      <c r="N43" s="18"/>
      <c r="O43" s="17"/>
      <c r="P43" s="18"/>
      <c r="Q43" s="17"/>
      <c r="R43" s="18"/>
      <c r="S43" s="17"/>
      <c r="T43" s="18"/>
      <c r="U43" s="17"/>
      <c r="V43" s="18"/>
      <c r="W43" s="17"/>
      <c r="X43" s="18"/>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row>
    <row r="44" spans="1:60" x14ac:dyDescent="0.2">
      <c r="A44" s="16">
        <v>1988</v>
      </c>
      <c r="B44" s="16">
        <v>1</v>
      </c>
      <c r="C44" s="17">
        <v>76919.109145292095</v>
      </c>
      <c r="D44" s="18">
        <v>6.3450577844978095E-2</v>
      </c>
      <c r="E44" s="17"/>
      <c r="F44" s="18"/>
      <c r="G44" s="17"/>
      <c r="H44" s="18"/>
      <c r="I44" s="17"/>
      <c r="J44" s="18"/>
      <c r="K44" s="17"/>
      <c r="L44" s="18"/>
      <c r="M44" s="17"/>
      <c r="N44" s="18"/>
      <c r="O44" s="17"/>
      <c r="P44" s="18"/>
      <c r="Q44" s="17"/>
      <c r="R44" s="18"/>
      <c r="S44" s="17"/>
      <c r="T44" s="18"/>
      <c r="U44" s="17"/>
      <c r="V44" s="18"/>
      <c r="W44" s="17"/>
      <c r="X44" s="18"/>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row>
    <row r="45" spans="1:60" x14ac:dyDescent="0.2">
      <c r="A45" s="16">
        <v>1988</v>
      </c>
      <c r="B45" s="16">
        <v>2</v>
      </c>
      <c r="C45" s="17">
        <v>78993.408755466604</v>
      </c>
      <c r="D45" s="18">
        <v>5.7330191238102297E-2</v>
      </c>
      <c r="E45" s="17"/>
      <c r="F45" s="18"/>
      <c r="G45" s="17"/>
      <c r="H45" s="18"/>
      <c r="I45" s="17"/>
      <c r="J45" s="18"/>
      <c r="K45" s="17"/>
      <c r="L45" s="18"/>
      <c r="M45" s="17"/>
      <c r="N45" s="18"/>
      <c r="O45" s="17"/>
      <c r="P45" s="18"/>
      <c r="Q45" s="17"/>
      <c r="R45" s="18"/>
      <c r="S45" s="17"/>
      <c r="T45" s="18"/>
      <c r="U45" s="17"/>
      <c r="V45" s="18"/>
      <c r="W45" s="17"/>
      <c r="X45" s="18"/>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row>
    <row r="46" spans="1:60" x14ac:dyDescent="0.2">
      <c r="A46" s="16">
        <v>1988</v>
      </c>
      <c r="B46" s="16">
        <v>3</v>
      </c>
      <c r="C46" s="17">
        <v>79881.724502039098</v>
      </c>
      <c r="D46" s="18">
        <v>5.84765465569392E-2</v>
      </c>
      <c r="E46" s="17"/>
      <c r="F46" s="18"/>
      <c r="G46" s="17"/>
      <c r="H46" s="18"/>
      <c r="I46" s="17"/>
      <c r="J46" s="18"/>
      <c r="K46" s="17"/>
      <c r="L46" s="18"/>
      <c r="M46" s="17"/>
      <c r="N46" s="18"/>
      <c r="O46" s="17"/>
      <c r="P46" s="18"/>
      <c r="Q46" s="17"/>
      <c r="R46" s="18"/>
      <c r="S46" s="17"/>
      <c r="T46" s="18"/>
      <c r="U46" s="17"/>
      <c r="V46" s="18"/>
      <c r="W46" s="17"/>
      <c r="X46" s="18"/>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row>
    <row r="47" spans="1:60" x14ac:dyDescent="0.2">
      <c r="A47" s="16">
        <v>1988</v>
      </c>
      <c r="B47" s="16">
        <v>4</v>
      </c>
      <c r="C47" s="17">
        <v>84358.975213079204</v>
      </c>
      <c r="D47" s="18">
        <v>6.6895594636750405E-2</v>
      </c>
      <c r="E47" s="17"/>
      <c r="F47" s="18"/>
      <c r="G47" s="17"/>
      <c r="H47" s="18"/>
      <c r="I47" s="17"/>
      <c r="J47" s="18"/>
      <c r="K47" s="17"/>
      <c r="L47" s="18"/>
      <c r="M47" s="17"/>
      <c r="N47" s="18"/>
      <c r="O47" s="17"/>
      <c r="P47" s="18"/>
      <c r="Q47" s="17"/>
      <c r="R47" s="18"/>
      <c r="S47" s="17"/>
      <c r="T47" s="18"/>
      <c r="U47" s="17"/>
      <c r="V47" s="18"/>
      <c r="W47" s="17"/>
      <c r="X47" s="18"/>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row>
    <row r="48" spans="1:60" x14ac:dyDescent="0.2">
      <c r="A48" s="16">
        <v>1989</v>
      </c>
      <c r="B48" s="16">
        <v>1</v>
      </c>
      <c r="C48" s="17">
        <v>82338.185100847695</v>
      </c>
      <c r="D48" s="18">
        <v>7.0451621395141606E-2</v>
      </c>
      <c r="E48" s="17"/>
      <c r="F48" s="18"/>
      <c r="G48" s="17"/>
      <c r="H48" s="18"/>
      <c r="I48" s="17"/>
      <c r="J48" s="18"/>
      <c r="K48" s="17"/>
      <c r="L48" s="18"/>
      <c r="M48" s="17"/>
      <c r="N48" s="18"/>
      <c r="O48" s="17"/>
      <c r="P48" s="18"/>
      <c r="Q48" s="17"/>
      <c r="R48" s="18"/>
      <c r="S48" s="17"/>
      <c r="T48" s="18"/>
      <c r="U48" s="17"/>
      <c r="V48" s="18"/>
      <c r="W48" s="17"/>
      <c r="X48" s="18"/>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row>
    <row r="49" spans="1:60" x14ac:dyDescent="0.2">
      <c r="A49" s="16">
        <v>1989</v>
      </c>
      <c r="B49" s="16">
        <v>2</v>
      </c>
      <c r="C49" s="17">
        <v>86210.865104414304</v>
      </c>
      <c r="D49" s="18">
        <v>9.1367830084282398E-2</v>
      </c>
      <c r="E49" s="17"/>
      <c r="F49" s="18"/>
      <c r="G49" s="17"/>
      <c r="H49" s="18"/>
      <c r="I49" s="17"/>
      <c r="J49" s="18"/>
      <c r="K49" s="17"/>
      <c r="L49" s="18"/>
      <c r="M49" s="17"/>
      <c r="N49" s="18"/>
      <c r="O49" s="17"/>
      <c r="P49" s="18"/>
      <c r="Q49" s="17"/>
      <c r="R49" s="18"/>
      <c r="S49" s="17"/>
      <c r="T49" s="18"/>
      <c r="U49" s="17"/>
      <c r="V49" s="18"/>
      <c r="W49" s="17"/>
      <c r="X49" s="18"/>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row>
    <row r="50" spans="1:60" x14ac:dyDescent="0.2">
      <c r="A50" s="16">
        <v>1989</v>
      </c>
      <c r="B50" s="16">
        <v>3</v>
      </c>
      <c r="C50" s="17">
        <v>86458.365482299894</v>
      </c>
      <c r="D50" s="18">
        <v>8.2329732129066593E-2</v>
      </c>
      <c r="E50" s="17"/>
      <c r="F50" s="18"/>
      <c r="G50" s="17"/>
      <c r="H50" s="18"/>
      <c r="I50" s="17"/>
      <c r="J50" s="18"/>
      <c r="K50" s="17"/>
      <c r="L50" s="18"/>
      <c r="M50" s="17"/>
      <c r="N50" s="18"/>
      <c r="O50" s="17"/>
      <c r="P50" s="18"/>
      <c r="Q50" s="17"/>
      <c r="R50" s="18"/>
      <c r="S50" s="17"/>
      <c r="T50" s="18"/>
      <c r="U50" s="17"/>
      <c r="V50" s="18"/>
      <c r="W50" s="17"/>
      <c r="X50" s="18"/>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row>
    <row r="51" spans="1:60" x14ac:dyDescent="0.2">
      <c r="A51" s="16">
        <v>1989</v>
      </c>
      <c r="B51" s="16">
        <v>4</v>
      </c>
      <c r="C51" s="17">
        <v>90562.872349383004</v>
      </c>
      <c r="D51" s="18">
        <v>7.3541637041389496E-2</v>
      </c>
      <c r="E51" s="17"/>
      <c r="F51" s="18"/>
      <c r="G51" s="17"/>
      <c r="H51" s="18"/>
      <c r="I51" s="17"/>
      <c r="J51" s="18"/>
      <c r="K51" s="17"/>
      <c r="L51" s="18"/>
      <c r="M51" s="17"/>
      <c r="N51" s="18"/>
      <c r="O51" s="17"/>
      <c r="P51" s="18"/>
      <c r="Q51" s="17"/>
      <c r="R51" s="18"/>
      <c r="S51" s="17"/>
      <c r="T51" s="18"/>
      <c r="U51" s="17"/>
      <c r="V51" s="18"/>
      <c r="W51" s="17"/>
      <c r="X51" s="18"/>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row>
    <row r="52" spans="1:60" x14ac:dyDescent="0.2">
      <c r="A52" s="16">
        <v>1990</v>
      </c>
      <c r="B52" s="16">
        <v>1</v>
      </c>
      <c r="C52" s="17">
        <v>90810.987888469404</v>
      </c>
      <c r="D52" s="18">
        <v>0.10290247200912001</v>
      </c>
      <c r="E52" s="17">
        <v>88272.516220386504</v>
      </c>
      <c r="F52" s="18"/>
      <c r="G52" s="17">
        <v>1951.9506152399399</v>
      </c>
      <c r="H52" s="18"/>
      <c r="I52" s="17">
        <v>129.408884761194</v>
      </c>
      <c r="J52" s="18"/>
      <c r="K52" s="17">
        <v>18024.623881006301</v>
      </c>
      <c r="L52" s="18"/>
      <c r="M52" s="17">
        <v>2949.9059413960099</v>
      </c>
      <c r="N52" s="18"/>
      <c r="O52" s="17">
        <v>15074.7179396103</v>
      </c>
      <c r="P52" s="18"/>
      <c r="Q52" s="17">
        <v>1493.4049553520299</v>
      </c>
      <c r="R52" s="18"/>
      <c r="S52" s="17">
        <v>720.45477163803105</v>
      </c>
      <c r="T52" s="18"/>
      <c r="U52" s="17">
        <v>7013.3950484806101</v>
      </c>
      <c r="V52" s="18"/>
      <c r="W52" s="17">
        <v>14302.4105777028</v>
      </c>
      <c r="X52" s="18"/>
      <c r="Y52" s="17">
        <v>4842.7938423804299</v>
      </c>
      <c r="Z52" s="18"/>
      <c r="AA52" s="17">
        <v>3683.93875124545</v>
      </c>
      <c r="AB52" s="18"/>
      <c r="AC52" s="17">
        <v>1913.67174352181</v>
      </c>
      <c r="AD52" s="18"/>
      <c r="AE52" s="17">
        <v>4076.92614360792</v>
      </c>
      <c r="AF52" s="18"/>
      <c r="AG52" s="17">
        <v>6958.1677370360503</v>
      </c>
      <c r="AH52" s="18"/>
      <c r="AI52" s="17">
        <v>2957.08579274058</v>
      </c>
      <c r="AJ52" s="18"/>
      <c r="AK52" s="17">
        <v>3787.8452922883898</v>
      </c>
      <c r="AL52" s="18"/>
      <c r="AM52" s="17">
        <v>12555.490452218501</v>
      </c>
      <c r="AN52" s="18"/>
      <c r="AO52" s="17">
        <v>5678.8524694197504</v>
      </c>
      <c r="AP52" s="18"/>
      <c r="AQ52" s="17">
        <v>3838.8594254659602</v>
      </c>
      <c r="AR52" s="18"/>
      <c r="AS52" s="17">
        <v>3850.4827901839199</v>
      </c>
      <c r="AT52" s="18"/>
      <c r="AU52" s="17">
        <v>298.94115762331302</v>
      </c>
      <c r="AV52" s="18"/>
      <c r="AW52" s="17">
        <v>1489.59802332411</v>
      </c>
      <c r="AX52" s="18"/>
      <c r="AY52" s="17">
        <v>291.93879255878198</v>
      </c>
      <c r="AZ52" s="18"/>
      <c r="BA52" s="17">
        <v>2538.4716680829702</v>
      </c>
      <c r="BB52" s="18"/>
      <c r="BC52" s="17">
        <v>4545.61881969162</v>
      </c>
      <c r="BD52" s="18"/>
      <c r="BE52" s="17">
        <v>-2007.1471516086499</v>
      </c>
      <c r="BF52" s="18"/>
      <c r="BG52" s="17"/>
      <c r="BH52" s="18"/>
    </row>
    <row r="53" spans="1:60" x14ac:dyDescent="0.2">
      <c r="A53" s="16">
        <v>1990</v>
      </c>
      <c r="B53" s="16">
        <v>2</v>
      </c>
      <c r="C53" s="17">
        <v>93568.517690094304</v>
      </c>
      <c r="D53" s="18">
        <v>8.5344841126101301E-2</v>
      </c>
      <c r="E53" s="17">
        <v>91113.437749553894</v>
      </c>
      <c r="F53" s="18"/>
      <c r="G53" s="17">
        <v>1947.68987366889</v>
      </c>
      <c r="H53" s="18"/>
      <c r="I53" s="17">
        <v>138.59223574054701</v>
      </c>
      <c r="J53" s="18"/>
      <c r="K53" s="17">
        <v>18553.484326203401</v>
      </c>
      <c r="L53" s="18"/>
      <c r="M53" s="17">
        <v>2960.5585575672499</v>
      </c>
      <c r="N53" s="18"/>
      <c r="O53" s="17">
        <v>15592.9257686362</v>
      </c>
      <c r="P53" s="18"/>
      <c r="Q53" s="17">
        <v>1601.2024312702599</v>
      </c>
      <c r="R53" s="18"/>
      <c r="S53" s="17">
        <v>736.64237114508705</v>
      </c>
      <c r="T53" s="18"/>
      <c r="U53" s="17">
        <v>7468.2587710205999</v>
      </c>
      <c r="V53" s="18"/>
      <c r="W53" s="17">
        <v>15337.666430450599</v>
      </c>
      <c r="X53" s="18"/>
      <c r="Y53" s="17">
        <v>5190.9114477153698</v>
      </c>
      <c r="Z53" s="18"/>
      <c r="AA53" s="17">
        <v>3691.7839579337901</v>
      </c>
      <c r="AB53" s="18"/>
      <c r="AC53" s="17">
        <v>1973.7204535053199</v>
      </c>
      <c r="AD53" s="18"/>
      <c r="AE53" s="17">
        <v>4109.7071312882499</v>
      </c>
      <c r="AF53" s="18"/>
      <c r="AG53" s="17">
        <v>6872.0729848028705</v>
      </c>
      <c r="AH53" s="18"/>
      <c r="AI53" s="17">
        <v>2785.0536594375299</v>
      </c>
      <c r="AJ53" s="18"/>
      <c r="AK53" s="17">
        <v>3879.2698372868899</v>
      </c>
      <c r="AL53" s="18"/>
      <c r="AM53" s="17">
        <v>12822.7305662414</v>
      </c>
      <c r="AN53" s="18"/>
      <c r="AO53" s="17">
        <v>5861.1524101241803</v>
      </c>
      <c r="AP53" s="18"/>
      <c r="AQ53" s="17">
        <v>3946.0732017396799</v>
      </c>
      <c r="AR53" s="18"/>
      <c r="AS53" s="17">
        <v>3925.6294702827399</v>
      </c>
      <c r="AT53" s="18"/>
      <c r="AU53" s="17">
        <v>298.86514242686502</v>
      </c>
      <c r="AV53" s="18"/>
      <c r="AW53" s="17">
        <v>1525.7536584924901</v>
      </c>
      <c r="AX53" s="18"/>
      <c r="AY53" s="17">
        <v>302.412333216864</v>
      </c>
      <c r="AZ53" s="18"/>
      <c r="BA53" s="17">
        <v>2455.07994054044</v>
      </c>
      <c r="BB53" s="18"/>
      <c r="BC53" s="17">
        <v>4425.47285601577</v>
      </c>
      <c r="BD53" s="18"/>
      <c r="BE53" s="17">
        <v>-1970.39291547533</v>
      </c>
      <c r="BF53" s="18"/>
      <c r="BG53" s="17"/>
      <c r="BH53" s="18"/>
    </row>
    <row r="54" spans="1:60" x14ac:dyDescent="0.2">
      <c r="A54" s="16">
        <v>1990</v>
      </c>
      <c r="B54" s="16">
        <v>3</v>
      </c>
      <c r="C54" s="17">
        <v>93527.045927184299</v>
      </c>
      <c r="D54" s="18">
        <v>8.17582012504212E-2</v>
      </c>
      <c r="E54" s="17">
        <v>90971.409418496303</v>
      </c>
      <c r="F54" s="18"/>
      <c r="G54" s="17">
        <v>1944.4447183704799</v>
      </c>
      <c r="H54" s="18"/>
      <c r="I54" s="17">
        <v>138.66314013371499</v>
      </c>
      <c r="J54" s="18"/>
      <c r="K54" s="17">
        <v>18060.8984493315</v>
      </c>
      <c r="L54" s="18"/>
      <c r="M54" s="17">
        <v>2920.42135394449</v>
      </c>
      <c r="N54" s="18"/>
      <c r="O54" s="17">
        <v>15140.477095386999</v>
      </c>
      <c r="P54" s="18"/>
      <c r="Q54" s="17">
        <v>1508.6509902917901</v>
      </c>
      <c r="R54" s="18"/>
      <c r="S54" s="17">
        <v>742.80553729830001</v>
      </c>
      <c r="T54" s="18"/>
      <c r="U54" s="17">
        <v>7699.9587977032197</v>
      </c>
      <c r="V54" s="18"/>
      <c r="W54" s="17">
        <v>14320.7375052718</v>
      </c>
      <c r="X54" s="18"/>
      <c r="Y54" s="17">
        <v>4946.4442060994998</v>
      </c>
      <c r="Z54" s="18"/>
      <c r="AA54" s="17">
        <v>3734.5053874468999</v>
      </c>
      <c r="AB54" s="18"/>
      <c r="AC54" s="17">
        <v>2320.8761846360399</v>
      </c>
      <c r="AD54" s="18"/>
      <c r="AE54" s="17">
        <v>4178.9785582310797</v>
      </c>
      <c r="AF54" s="18"/>
      <c r="AG54" s="17">
        <v>6954.9953677924404</v>
      </c>
      <c r="AH54" s="18"/>
      <c r="AI54" s="17">
        <v>2811.5135762344298</v>
      </c>
      <c r="AJ54" s="18"/>
      <c r="AK54" s="17">
        <v>3937.7473761948199</v>
      </c>
      <c r="AL54" s="18"/>
      <c r="AM54" s="17">
        <v>13085.081411205299</v>
      </c>
      <c r="AN54" s="18"/>
      <c r="AO54" s="17">
        <v>5998.2557522486004</v>
      </c>
      <c r="AP54" s="18"/>
      <c r="AQ54" s="17">
        <v>4098.9862946619796</v>
      </c>
      <c r="AR54" s="18"/>
      <c r="AS54" s="17">
        <v>3997.3805422938999</v>
      </c>
      <c r="AT54" s="18"/>
      <c r="AU54" s="17">
        <v>318.40034239686901</v>
      </c>
      <c r="AV54" s="18"/>
      <c r="AW54" s="17">
        <v>1556.8231323559</v>
      </c>
      <c r="AX54" s="18"/>
      <c r="AY54" s="17">
        <v>310.96730682656499</v>
      </c>
      <c r="AZ54" s="18"/>
      <c r="BA54" s="17">
        <v>2555.63650868794</v>
      </c>
      <c r="BB54" s="18"/>
      <c r="BC54" s="17">
        <v>4559.9426436447402</v>
      </c>
      <c r="BD54" s="18"/>
      <c r="BE54" s="17">
        <v>-2004.3061349568</v>
      </c>
      <c r="BF54" s="18"/>
      <c r="BG54" s="17"/>
      <c r="BH54" s="18"/>
    </row>
    <row r="55" spans="1:60" x14ac:dyDescent="0.2">
      <c r="A55" s="16">
        <v>1990</v>
      </c>
      <c r="B55" s="16">
        <v>4</v>
      </c>
      <c r="C55" s="17">
        <v>96855.485112819006</v>
      </c>
      <c r="D55" s="18">
        <v>6.9483361119109494E-2</v>
      </c>
      <c r="E55" s="17">
        <v>94516.167409316506</v>
      </c>
      <c r="F55" s="18"/>
      <c r="G55" s="17">
        <v>1933.8517642479501</v>
      </c>
      <c r="H55" s="18"/>
      <c r="I55" s="17">
        <v>139.69676109649501</v>
      </c>
      <c r="J55" s="18"/>
      <c r="K55" s="17">
        <v>19244.463341793798</v>
      </c>
      <c r="L55" s="18"/>
      <c r="M55" s="17">
        <v>2983.8601862893502</v>
      </c>
      <c r="N55" s="18"/>
      <c r="O55" s="17">
        <v>16260.603155504399</v>
      </c>
      <c r="P55" s="18"/>
      <c r="Q55" s="17">
        <v>1703.2632350927199</v>
      </c>
      <c r="R55" s="18"/>
      <c r="S55" s="17">
        <v>738.84543235114097</v>
      </c>
      <c r="T55" s="18"/>
      <c r="U55" s="17">
        <v>6674.0030459509699</v>
      </c>
      <c r="V55" s="18"/>
      <c r="W55" s="17">
        <v>17299.886876470799</v>
      </c>
      <c r="X55" s="18"/>
      <c r="Y55" s="17">
        <v>5993.6614964746104</v>
      </c>
      <c r="Z55" s="18"/>
      <c r="AA55" s="17">
        <v>3861.9269995435002</v>
      </c>
      <c r="AB55" s="18"/>
      <c r="AC55" s="17">
        <v>1891.6142741471899</v>
      </c>
      <c r="AD55" s="18"/>
      <c r="AE55" s="17">
        <v>4233.1918077618902</v>
      </c>
      <c r="AF55" s="18"/>
      <c r="AG55" s="17">
        <v>6841.2457969117404</v>
      </c>
      <c r="AH55" s="18"/>
      <c r="AI55" s="17">
        <v>2677.4674331707602</v>
      </c>
      <c r="AJ55" s="18"/>
      <c r="AK55" s="17">
        <v>3962.77740508955</v>
      </c>
      <c r="AL55" s="18"/>
      <c r="AM55" s="17">
        <v>13382.2244978612</v>
      </c>
      <c r="AN55" s="18"/>
      <c r="AO55" s="17">
        <v>6154.8709291701798</v>
      </c>
      <c r="AP55" s="18"/>
      <c r="AQ55" s="17">
        <v>4203.3974372365701</v>
      </c>
      <c r="AR55" s="18"/>
      <c r="AS55" s="17">
        <v>4014.77750326963</v>
      </c>
      <c r="AT55" s="18"/>
      <c r="AU55" s="17">
        <v>334.20289194009803</v>
      </c>
      <c r="AV55" s="18"/>
      <c r="AW55" s="17">
        <v>1546.91416033267</v>
      </c>
      <c r="AX55" s="18"/>
      <c r="AY55" s="17">
        <v>317.79065413800998</v>
      </c>
      <c r="AZ55" s="18"/>
      <c r="BA55" s="17">
        <v>2339.3177035024701</v>
      </c>
      <c r="BB55" s="18"/>
      <c r="BC55" s="17">
        <v>4381.08503236047</v>
      </c>
      <c r="BD55" s="18"/>
      <c r="BE55" s="17">
        <v>-2041.7673288579999</v>
      </c>
      <c r="BF55" s="18"/>
      <c r="BG55" s="17"/>
      <c r="BH55" s="18"/>
    </row>
    <row r="56" spans="1:60" x14ac:dyDescent="0.2">
      <c r="A56" s="16">
        <v>1991</v>
      </c>
      <c r="B56" s="16">
        <v>1</v>
      </c>
      <c r="C56" s="17">
        <v>95642.069279736301</v>
      </c>
      <c r="D56" s="18">
        <v>5.3199304441001703E-2</v>
      </c>
      <c r="E56" s="17">
        <v>93139.096065426696</v>
      </c>
      <c r="F56" s="18">
        <v>5.5131314404701599E-2</v>
      </c>
      <c r="G56" s="17">
        <v>1918.42702821138</v>
      </c>
      <c r="H56" s="18">
        <v>-1.7174403269646601E-2</v>
      </c>
      <c r="I56" s="17">
        <v>139.81937146724599</v>
      </c>
      <c r="J56" s="18">
        <v>8.0446460266336201E-2</v>
      </c>
      <c r="K56" s="17">
        <v>18726.292267666799</v>
      </c>
      <c r="L56" s="18">
        <v>3.8928323347699398E-2</v>
      </c>
      <c r="M56" s="17">
        <v>3117.86164464067</v>
      </c>
      <c r="N56" s="18">
        <v>5.6935952054519803E-2</v>
      </c>
      <c r="O56" s="17">
        <v>15608.430623026101</v>
      </c>
      <c r="P56" s="18">
        <v>3.5404488863663999E-2</v>
      </c>
      <c r="Q56" s="17">
        <v>1811.8162195934599</v>
      </c>
      <c r="R56" s="18">
        <v>0.21321160285447999</v>
      </c>
      <c r="S56" s="17">
        <v>732.58470564165395</v>
      </c>
      <c r="T56" s="18">
        <v>1.6836496170389698E-2</v>
      </c>
      <c r="U56" s="17">
        <v>7270.6177769165997</v>
      </c>
      <c r="V56" s="18">
        <v>3.6675921812176999E-2</v>
      </c>
      <c r="W56" s="17">
        <v>13991.105220163399</v>
      </c>
      <c r="X56" s="18">
        <v>-2.1765936297809499E-2</v>
      </c>
      <c r="Y56" s="17">
        <v>4872.3806050961803</v>
      </c>
      <c r="Z56" s="18">
        <v>6.1094408886111003E-3</v>
      </c>
      <c r="AA56" s="17">
        <v>4149.2908042351901</v>
      </c>
      <c r="AB56" s="18">
        <v>0.126319161205495</v>
      </c>
      <c r="AC56" s="17">
        <v>2194.69554573494</v>
      </c>
      <c r="AD56" s="18">
        <v>0.14685057830030501</v>
      </c>
      <c r="AE56" s="17">
        <v>4406.9815763415399</v>
      </c>
      <c r="AF56" s="18">
        <v>8.0956932038395199E-2</v>
      </c>
      <c r="AG56" s="17">
        <v>7333.9570372244198</v>
      </c>
      <c r="AH56" s="18">
        <v>5.4006933202856502E-2</v>
      </c>
      <c r="AI56" s="17">
        <v>3161.7735774186599</v>
      </c>
      <c r="AJ56" s="18">
        <v>6.9219427174067802E-2</v>
      </c>
      <c r="AK56" s="17">
        <v>3953.24164530092</v>
      </c>
      <c r="AL56" s="18">
        <v>4.3665023317940498E-2</v>
      </c>
      <c r="AM56" s="17">
        <v>13675.7145848904</v>
      </c>
      <c r="AN56" s="18">
        <v>8.9221853732838002E-2</v>
      </c>
      <c r="AO56" s="17">
        <v>6295.7151691405898</v>
      </c>
      <c r="AP56" s="18">
        <v>0.10862453339695</v>
      </c>
      <c r="AQ56" s="17">
        <v>4172.7684057960496</v>
      </c>
      <c r="AR56" s="18">
        <v>8.6981299214820895E-2</v>
      </c>
      <c r="AS56" s="17">
        <v>4095.0335846170601</v>
      </c>
      <c r="AT56" s="18">
        <v>6.3511722492714001E-2</v>
      </c>
      <c r="AU56" s="17">
        <v>366.59189621889101</v>
      </c>
      <c r="AV56" s="18">
        <v>0.22630118627165599</v>
      </c>
      <c r="AW56" s="17">
        <v>1534.9562398660601</v>
      </c>
      <c r="AX56" s="18">
        <v>3.0449970953057699E-2</v>
      </c>
      <c r="AY56" s="17">
        <v>322.72863170108297</v>
      </c>
      <c r="AZ56" s="18">
        <v>0.105466761962102</v>
      </c>
      <c r="BA56" s="17">
        <v>2502.9732143095298</v>
      </c>
      <c r="BB56" s="18">
        <v>-1.39841835620111E-2</v>
      </c>
      <c r="BC56" s="17">
        <v>4685.0348991717201</v>
      </c>
      <c r="BD56" s="18">
        <v>3.06704290461286E-2</v>
      </c>
      <c r="BE56" s="17">
        <v>-2182.0616848621898</v>
      </c>
      <c r="BF56" s="18">
        <v>8.7145844345965395E-2</v>
      </c>
      <c r="BG56" s="17"/>
      <c r="BH56" s="18"/>
    </row>
    <row r="57" spans="1:60" x14ac:dyDescent="0.2">
      <c r="A57" s="16">
        <v>1991</v>
      </c>
      <c r="B57" s="16">
        <v>2</v>
      </c>
      <c r="C57" s="17">
        <v>97602.376101816</v>
      </c>
      <c r="D57" s="18">
        <v>4.3111278358411803E-2</v>
      </c>
      <c r="E57" s="17">
        <v>95412.978895067994</v>
      </c>
      <c r="F57" s="18">
        <v>4.7188880715185198E-2</v>
      </c>
      <c r="G57" s="17">
        <v>1939.29148910513</v>
      </c>
      <c r="H57" s="18">
        <v>-4.31197218679291E-3</v>
      </c>
      <c r="I57" s="17">
        <v>152.30201710702201</v>
      </c>
      <c r="J57" s="18">
        <v>9.8921712989318095E-2</v>
      </c>
      <c r="K57" s="17">
        <v>19405.177037621401</v>
      </c>
      <c r="L57" s="18">
        <v>4.5904731232346598E-2</v>
      </c>
      <c r="M57" s="17">
        <v>3155.3363685324198</v>
      </c>
      <c r="N57" s="18">
        <v>6.5790899648755494E-2</v>
      </c>
      <c r="O57" s="17">
        <v>16249.840669088901</v>
      </c>
      <c r="P57" s="18">
        <v>4.2129034037606802E-2</v>
      </c>
      <c r="Q57" s="17">
        <v>1761.5229868507799</v>
      </c>
      <c r="R57" s="18">
        <v>0.10012510126738799</v>
      </c>
      <c r="S57" s="17">
        <v>727.12183541980198</v>
      </c>
      <c r="T57" s="18">
        <v>-1.2924230397561401E-2</v>
      </c>
      <c r="U57" s="17">
        <v>7611.9823020866197</v>
      </c>
      <c r="V57" s="18">
        <v>1.9244583707210799E-2</v>
      </c>
      <c r="W57" s="17">
        <v>14398.7609055087</v>
      </c>
      <c r="X57" s="18">
        <v>-6.1215669880380498E-2</v>
      </c>
      <c r="Y57" s="17">
        <v>4981.8761579922202</v>
      </c>
      <c r="Z57" s="18">
        <v>-4.0269477109871103E-2</v>
      </c>
      <c r="AA57" s="17">
        <v>4450.0656461623503</v>
      </c>
      <c r="AB57" s="18">
        <v>0.205397091722819</v>
      </c>
      <c r="AC57" s="17">
        <v>2129.5180196924498</v>
      </c>
      <c r="AD57" s="18">
        <v>7.8935984024703504E-2</v>
      </c>
      <c r="AE57" s="17">
        <v>4517.7464647179804</v>
      </c>
      <c r="AF57" s="18">
        <v>9.92867181029089E-2</v>
      </c>
      <c r="AG57" s="17">
        <v>7420.1429853663903</v>
      </c>
      <c r="AH57" s="18">
        <v>7.9753227559651294E-2</v>
      </c>
      <c r="AI57" s="17">
        <v>3227.1742310037898</v>
      </c>
      <c r="AJ57" s="18">
        <v>0.158747595425344</v>
      </c>
      <c r="AK57" s="17">
        <v>3953.10932668548</v>
      </c>
      <c r="AL57" s="18">
        <v>1.9034378245322201E-2</v>
      </c>
      <c r="AM57" s="17">
        <v>13913.111051472901</v>
      </c>
      <c r="AN57" s="18">
        <v>8.5034968144935594E-2</v>
      </c>
      <c r="AO57" s="17">
        <v>6403.9119157909099</v>
      </c>
      <c r="AP57" s="18">
        <v>9.26028650490658E-2</v>
      </c>
      <c r="AQ57" s="17">
        <v>4121.0556213198797</v>
      </c>
      <c r="AR57" s="18">
        <v>4.4343429691840602E-2</v>
      </c>
      <c r="AS57" s="17">
        <v>4223.0560890764</v>
      </c>
      <c r="AT57" s="18">
        <v>7.5765331660870405E-2</v>
      </c>
      <c r="AU57" s="17">
        <v>381.71975985690199</v>
      </c>
      <c r="AV57" s="18">
        <v>0.27723078294523001</v>
      </c>
      <c r="AW57" s="17">
        <v>1528.26929682425</v>
      </c>
      <c r="AX57" s="18">
        <v>1.6487840732086799E-3</v>
      </c>
      <c r="AY57" s="17">
        <v>328.22347108819901</v>
      </c>
      <c r="AZ57" s="18">
        <v>8.5350810916914099E-2</v>
      </c>
      <c r="BA57" s="17">
        <v>2189.3972067479499</v>
      </c>
      <c r="BB57" s="18">
        <v>-0.10821754901146199</v>
      </c>
      <c r="BC57" s="17">
        <v>4461.9865616417301</v>
      </c>
      <c r="BD57" s="18">
        <v>8.2508032054295893E-3</v>
      </c>
      <c r="BE57" s="17">
        <v>-2272.5893548937802</v>
      </c>
      <c r="BF57" s="18">
        <v>0.15336861853542999</v>
      </c>
      <c r="BG57" s="17"/>
      <c r="BH57" s="18"/>
    </row>
    <row r="58" spans="1:60" x14ac:dyDescent="0.2">
      <c r="A58" s="16">
        <v>1991</v>
      </c>
      <c r="B58" s="16">
        <v>3</v>
      </c>
      <c r="C58" s="17">
        <v>97494.693818346597</v>
      </c>
      <c r="D58" s="18">
        <v>4.2422465628299398E-2</v>
      </c>
      <c r="E58" s="17">
        <v>95231.687713327294</v>
      </c>
      <c r="F58" s="18">
        <v>4.68309584523681E-2</v>
      </c>
      <c r="G58" s="17">
        <v>1911.04840815168</v>
      </c>
      <c r="H58" s="18">
        <v>-1.7175242835803E-2</v>
      </c>
      <c r="I58" s="17">
        <v>148.468285723874</v>
      </c>
      <c r="J58" s="18">
        <v>7.07119828723317E-2</v>
      </c>
      <c r="K58" s="17">
        <v>18878.050910565202</v>
      </c>
      <c r="L58" s="18">
        <v>4.5244286352983602E-2</v>
      </c>
      <c r="M58" s="17">
        <v>3146.9897679792098</v>
      </c>
      <c r="N58" s="18">
        <v>7.7580727770226496E-2</v>
      </c>
      <c r="O58" s="17">
        <v>15731.061142586001</v>
      </c>
      <c r="P58" s="18">
        <v>3.9006964145068497E-2</v>
      </c>
      <c r="Q58" s="17">
        <v>1795.11991922172</v>
      </c>
      <c r="R58" s="18">
        <v>0.18988416192569499</v>
      </c>
      <c r="S58" s="17">
        <v>723.62255426338902</v>
      </c>
      <c r="T58" s="18">
        <v>-2.5825040433439399E-2</v>
      </c>
      <c r="U58" s="17">
        <v>7675.5016577275601</v>
      </c>
      <c r="V58" s="18">
        <v>-3.17626894093959E-3</v>
      </c>
      <c r="W58" s="17">
        <v>13528.559613551701</v>
      </c>
      <c r="X58" s="18">
        <v>-5.5316836261289699E-2</v>
      </c>
      <c r="Y58" s="17">
        <v>4777.1049675373497</v>
      </c>
      <c r="Z58" s="18">
        <v>-3.4234539298621601E-2</v>
      </c>
      <c r="AA58" s="17">
        <v>4614.2218479315197</v>
      </c>
      <c r="AB58" s="18">
        <v>0.23556438382487699</v>
      </c>
      <c r="AC58" s="17">
        <v>2496.3819481230798</v>
      </c>
      <c r="AD58" s="18">
        <v>7.5620476718606194E-2</v>
      </c>
      <c r="AE58" s="17">
        <v>4568.0865417657096</v>
      </c>
      <c r="AF58" s="18">
        <v>9.3110787268394501E-2</v>
      </c>
      <c r="AG58" s="17">
        <v>7386.61206299071</v>
      </c>
      <c r="AH58" s="18">
        <v>6.2058516558763002E-2</v>
      </c>
      <c r="AI58" s="17">
        <v>3180.1818949721901</v>
      </c>
      <c r="AJ58" s="18">
        <v>0.131128059225499</v>
      </c>
      <c r="AK58" s="17">
        <v>3960.3218676332699</v>
      </c>
      <c r="AL58" s="18">
        <v>5.7328440049035896E-3</v>
      </c>
      <c r="AM58" s="17">
        <v>14165.489685513699</v>
      </c>
      <c r="AN58" s="18">
        <v>8.2567944390717005E-2</v>
      </c>
      <c r="AO58" s="17">
        <v>6509.8711930008603</v>
      </c>
      <c r="AP58" s="18">
        <v>8.5294035780396196E-2</v>
      </c>
      <c r="AQ58" s="17">
        <v>4166.3677033145996</v>
      </c>
      <c r="AR58" s="18">
        <v>1.6438554268982199E-2</v>
      </c>
      <c r="AS58" s="17">
        <v>4392.9414822989302</v>
      </c>
      <c r="AT58" s="18">
        <v>9.8955037134904805E-2</v>
      </c>
      <c r="AU58" s="17">
        <v>401.27688555114702</v>
      </c>
      <c r="AV58" s="18">
        <v>0.26029037070248001</v>
      </c>
      <c r="AW58" s="17">
        <v>1535.8993029544899</v>
      </c>
      <c r="AX58" s="18">
        <v>-1.34400812568527E-2</v>
      </c>
      <c r="AY58" s="17">
        <v>334.16771067740098</v>
      </c>
      <c r="AZ58" s="18">
        <v>7.4607212210173995E-2</v>
      </c>
      <c r="BA58" s="17">
        <v>2263.0061050193299</v>
      </c>
      <c r="BB58" s="18">
        <v>-0.114503922085089</v>
      </c>
      <c r="BC58" s="17">
        <v>4609.4528054728898</v>
      </c>
      <c r="BD58" s="18">
        <v>1.0857628197836301E-2</v>
      </c>
      <c r="BE58" s="17">
        <v>-2346.44670045356</v>
      </c>
      <c r="BF58" s="18">
        <v>0.17070274821273301</v>
      </c>
      <c r="BG58" s="17"/>
      <c r="BH58" s="18"/>
    </row>
    <row r="59" spans="1:60" x14ac:dyDescent="0.2">
      <c r="A59" s="16">
        <v>1991</v>
      </c>
      <c r="B59" s="16">
        <v>4</v>
      </c>
      <c r="C59" s="17">
        <v>100676.388351384</v>
      </c>
      <c r="D59" s="18">
        <v>3.9449528688174203E-2</v>
      </c>
      <c r="E59" s="17">
        <v>98639.380178689098</v>
      </c>
      <c r="F59" s="18">
        <v>4.3624417730739398E-2</v>
      </c>
      <c r="G59" s="17">
        <v>1873.86641793802</v>
      </c>
      <c r="H59" s="18">
        <v>-3.1018585508417101E-2</v>
      </c>
      <c r="I59" s="17">
        <v>140.49172842057601</v>
      </c>
      <c r="J59" s="18">
        <v>5.6906639627209996E-3</v>
      </c>
      <c r="K59" s="17">
        <v>19843.494761408401</v>
      </c>
      <c r="L59" s="18">
        <v>3.1127468143715298E-2</v>
      </c>
      <c r="M59" s="17">
        <v>3237.7625180370001</v>
      </c>
      <c r="N59" s="18">
        <v>8.5091899719130795E-2</v>
      </c>
      <c r="O59" s="17">
        <v>16605.7322433714</v>
      </c>
      <c r="P59" s="18">
        <v>2.12248638360082E-2</v>
      </c>
      <c r="Q59" s="17">
        <v>1973.0223852605</v>
      </c>
      <c r="R59" s="18">
        <v>0.158377838850666</v>
      </c>
      <c r="S59" s="17">
        <v>720.44549558818505</v>
      </c>
      <c r="T59" s="18">
        <v>-2.4903634721547E-2</v>
      </c>
      <c r="U59" s="17">
        <v>6575.9439751284199</v>
      </c>
      <c r="V59" s="18">
        <v>-1.46926919492552E-2</v>
      </c>
      <c r="W59" s="17">
        <v>17041.765055048902</v>
      </c>
      <c r="X59" s="18">
        <v>-1.4920434062085E-2</v>
      </c>
      <c r="Y59" s="17">
        <v>6001.6702332756504</v>
      </c>
      <c r="Z59" s="18">
        <v>1.33620105268784E-3</v>
      </c>
      <c r="AA59" s="17">
        <v>4548.4120859839604</v>
      </c>
      <c r="AB59" s="18">
        <v>0.17775713692195699</v>
      </c>
      <c r="AC59" s="17">
        <v>2000.3719955824899</v>
      </c>
      <c r="AD59" s="18">
        <v>5.7494661000235099E-2</v>
      </c>
      <c r="AE59" s="17">
        <v>4565.0013150868099</v>
      </c>
      <c r="AF59" s="18">
        <v>7.83828190153157E-2</v>
      </c>
      <c r="AG59" s="17">
        <v>7340.0366489555399</v>
      </c>
      <c r="AH59" s="18">
        <v>7.2909359910583393E-2</v>
      </c>
      <c r="AI59" s="17">
        <v>3123.5775909721601</v>
      </c>
      <c r="AJ59" s="18">
        <v>0.16661646460181201</v>
      </c>
      <c r="AK59" s="17">
        <v>3973.01067040099</v>
      </c>
      <c r="AL59" s="18">
        <v>2.5823467395111898E-3</v>
      </c>
      <c r="AM59" s="17">
        <v>14411.800817927</v>
      </c>
      <c r="AN59" s="18">
        <v>7.6936111797430304E-2</v>
      </c>
      <c r="AO59" s="17">
        <v>6640.8895541791499</v>
      </c>
      <c r="AP59" s="18">
        <v>7.8964876859651603E-2</v>
      </c>
      <c r="AQ59" s="17">
        <v>4298.6547712342799</v>
      </c>
      <c r="AR59" s="18">
        <v>2.2661986029171501E-2</v>
      </c>
      <c r="AS59" s="17">
        <v>4413.5902532632199</v>
      </c>
      <c r="AT59" s="18">
        <v>9.9336202235068102E-2</v>
      </c>
      <c r="AU59" s="17">
        <v>400.770943305537</v>
      </c>
      <c r="AV59" s="18">
        <v>0.19918454618690401</v>
      </c>
      <c r="AW59" s="17">
        <v>1510.9039091956099</v>
      </c>
      <c r="AX59" s="18">
        <v>-2.3278764950547801E-2</v>
      </c>
      <c r="AY59" s="17">
        <v>339.91806518253998</v>
      </c>
      <c r="AZ59" s="18">
        <v>6.9628891713475097E-2</v>
      </c>
      <c r="BA59" s="17">
        <v>2037.00817269512</v>
      </c>
      <c r="BB59" s="18">
        <v>-0.12922978796540599</v>
      </c>
      <c r="BC59" s="17">
        <v>4384.6192946186602</v>
      </c>
      <c r="BD59" s="18">
        <v>8.0670934987225895E-4</v>
      </c>
      <c r="BE59" s="17">
        <v>-2347.6111219235399</v>
      </c>
      <c r="BF59" s="18">
        <v>0.14979365608548501</v>
      </c>
      <c r="BG59" s="17"/>
      <c r="BH59" s="18"/>
    </row>
    <row r="60" spans="1:60" x14ac:dyDescent="0.2">
      <c r="A60" s="16">
        <v>1992</v>
      </c>
      <c r="B60" s="16">
        <v>1</v>
      </c>
      <c r="C60" s="17">
        <v>98942.184140785204</v>
      </c>
      <c r="D60" s="18">
        <v>3.4504845889486997E-2</v>
      </c>
      <c r="E60" s="17">
        <v>96581.358126480001</v>
      </c>
      <c r="F60" s="18">
        <v>3.6958293632517E-2</v>
      </c>
      <c r="G60" s="17">
        <v>1816.50359237673</v>
      </c>
      <c r="H60" s="18">
        <v>-5.31286488022805E-2</v>
      </c>
      <c r="I60" s="17">
        <v>125.622297289814</v>
      </c>
      <c r="J60" s="18">
        <v>-0.101538678285061</v>
      </c>
      <c r="K60" s="17">
        <v>19347.074474847799</v>
      </c>
      <c r="L60" s="18">
        <v>3.3150300033121201E-2</v>
      </c>
      <c r="M60" s="17">
        <v>3407.52822633498</v>
      </c>
      <c r="N60" s="18">
        <v>9.2905527797303405E-2</v>
      </c>
      <c r="O60" s="17">
        <v>15939.546248512799</v>
      </c>
      <c r="P60" s="18">
        <v>2.1213896097810499E-2</v>
      </c>
      <c r="Q60" s="17">
        <v>1992.92599844496</v>
      </c>
      <c r="R60" s="18">
        <v>9.99603474640125E-2</v>
      </c>
      <c r="S60" s="17">
        <v>721.82974746886202</v>
      </c>
      <c r="T60" s="18">
        <v>-1.46808390756291E-2</v>
      </c>
      <c r="U60" s="17">
        <v>6878.7515211318496</v>
      </c>
      <c r="V60" s="18">
        <v>-5.3897243371654198E-2</v>
      </c>
      <c r="W60" s="17">
        <v>14144.6471906887</v>
      </c>
      <c r="X60" s="18">
        <v>1.0974256008314601E-2</v>
      </c>
      <c r="Y60" s="17">
        <v>4866.0188798598201</v>
      </c>
      <c r="Z60" s="18">
        <v>-1.3056708315648501E-3</v>
      </c>
      <c r="AA60" s="17">
        <v>4457.32066206953</v>
      </c>
      <c r="AB60" s="18">
        <v>7.4236748487219298E-2</v>
      </c>
      <c r="AC60" s="17">
        <v>2282.5076342192701</v>
      </c>
      <c r="AD60" s="18">
        <v>4.0011056957298702E-2</v>
      </c>
      <c r="AE60" s="17">
        <v>4597.2487272089602</v>
      </c>
      <c r="AF60" s="18">
        <v>4.3174029110729401E-2</v>
      </c>
      <c r="AG60" s="17">
        <v>7762.8221556185099</v>
      </c>
      <c r="AH60" s="18">
        <v>5.8476633585025098E-2</v>
      </c>
      <c r="AI60" s="17">
        <v>3526.3437556901699</v>
      </c>
      <c r="AJ60" s="18">
        <v>0.115305593314861</v>
      </c>
      <c r="AK60" s="17">
        <v>3989.3235498808099</v>
      </c>
      <c r="AL60" s="18">
        <v>9.1271689963046097E-3</v>
      </c>
      <c r="AM60" s="17">
        <v>14652.244896169999</v>
      </c>
      <c r="AN60" s="18">
        <v>7.1406163474525997E-2</v>
      </c>
      <c r="AO60" s="17">
        <v>6786.7911525374202</v>
      </c>
      <c r="AP60" s="18">
        <v>7.8001620181915601E-2</v>
      </c>
      <c r="AQ60" s="17">
        <v>4285.3107248240603</v>
      </c>
      <c r="AR60" s="18">
        <v>2.6970660262785499E-2</v>
      </c>
      <c r="AS60" s="17">
        <v>4484.7413714016802</v>
      </c>
      <c r="AT60" s="18">
        <v>9.5165956208162594E-2</v>
      </c>
      <c r="AU60" s="17">
        <v>393.76360602396198</v>
      </c>
      <c r="AV60" s="18">
        <v>7.4119777565532702E-2</v>
      </c>
      <c r="AW60" s="17">
        <v>1507.27306835536</v>
      </c>
      <c r="AX60" s="18">
        <v>-1.80351535709686E-2</v>
      </c>
      <c r="AY60" s="17">
        <v>343.97930580238</v>
      </c>
      <c r="AZ60" s="18">
        <v>6.5846881912168295E-2</v>
      </c>
      <c r="BA60" s="17">
        <v>2360.8260143052198</v>
      </c>
      <c r="BB60" s="18">
        <v>-5.6791338873167299E-2</v>
      </c>
      <c r="BC60" s="17">
        <v>4729.1993426895497</v>
      </c>
      <c r="BD60" s="18">
        <v>9.4267053433552093E-3</v>
      </c>
      <c r="BE60" s="17">
        <v>-2368.3733283843299</v>
      </c>
      <c r="BF60" s="18">
        <v>8.5383307362325106E-2</v>
      </c>
      <c r="BG60" s="17"/>
      <c r="BH60" s="18"/>
    </row>
    <row r="61" spans="1:60" x14ac:dyDescent="0.2">
      <c r="A61" s="16">
        <v>1992</v>
      </c>
      <c r="B61" s="16">
        <v>2</v>
      </c>
      <c r="C61" s="17">
        <v>100200.68982937701</v>
      </c>
      <c r="D61" s="18">
        <v>2.6621418774179999E-2</v>
      </c>
      <c r="E61" s="17">
        <v>98124.428434898102</v>
      </c>
      <c r="F61" s="18">
        <v>2.8418036741227899E-2</v>
      </c>
      <c r="G61" s="17">
        <v>1798.14831649045</v>
      </c>
      <c r="H61" s="18">
        <v>-7.2780793092539195E-2</v>
      </c>
      <c r="I61" s="17">
        <v>129.300959150631</v>
      </c>
      <c r="J61" s="18">
        <v>-0.151022674507507</v>
      </c>
      <c r="K61" s="17">
        <v>19512.0255286539</v>
      </c>
      <c r="L61" s="18">
        <v>5.5061848096194001E-3</v>
      </c>
      <c r="M61" s="17">
        <v>3393.1935387126</v>
      </c>
      <c r="N61" s="18">
        <v>7.53825083602115E-2</v>
      </c>
      <c r="O61" s="17">
        <v>16118.8319899413</v>
      </c>
      <c r="P61" s="18">
        <v>-8.0621516121606208E-3</v>
      </c>
      <c r="Q61" s="17">
        <v>2025.3121799671201</v>
      </c>
      <c r="R61" s="18">
        <v>0.14975063912616801</v>
      </c>
      <c r="S61" s="17">
        <v>721.10747979722203</v>
      </c>
      <c r="T61" s="18">
        <v>-8.27145511193139E-3</v>
      </c>
      <c r="U61" s="17">
        <v>7134.6633990193804</v>
      </c>
      <c r="V61" s="18">
        <v>-6.2706254970718495E-2</v>
      </c>
      <c r="W61" s="17">
        <v>15093.8361203443</v>
      </c>
      <c r="X61" s="18">
        <v>4.8273265970382E-2</v>
      </c>
      <c r="Y61" s="17">
        <v>5180.0268433354404</v>
      </c>
      <c r="Z61" s="18">
        <v>3.9774309729745203E-2</v>
      </c>
      <c r="AA61" s="17">
        <v>4509.7677964470904</v>
      </c>
      <c r="AB61" s="18">
        <v>1.34160156347864E-2</v>
      </c>
      <c r="AC61" s="17">
        <v>2201.4918568356702</v>
      </c>
      <c r="AD61" s="18">
        <v>3.3798181784634E-2</v>
      </c>
      <c r="AE61" s="17">
        <v>4579.78304923822</v>
      </c>
      <c r="AF61" s="18">
        <v>1.3731754317052799E-2</v>
      </c>
      <c r="AG61" s="17">
        <v>7563.3485760364001</v>
      </c>
      <c r="AH61" s="18">
        <v>1.9299572926347899E-2</v>
      </c>
      <c r="AI61" s="17">
        <v>3290.6071756926099</v>
      </c>
      <c r="AJ61" s="18">
        <v>1.9655878532810301E-2</v>
      </c>
      <c r="AK61" s="17">
        <v>4020.96004255866</v>
      </c>
      <c r="AL61" s="18">
        <v>1.7163885505303102E-2</v>
      </c>
      <c r="AM61" s="17">
        <v>14848.7426016261</v>
      </c>
      <c r="AN61" s="18">
        <v>6.7248191054595202E-2</v>
      </c>
      <c r="AO61" s="17">
        <v>6870.4665015678802</v>
      </c>
      <c r="AP61" s="18">
        <v>7.2854622598185204E-2</v>
      </c>
      <c r="AQ61" s="17">
        <v>4247.6365893698603</v>
      </c>
      <c r="AR61" s="18">
        <v>3.07156660043921E-2</v>
      </c>
      <c r="AS61" s="17">
        <v>4608.1007022236399</v>
      </c>
      <c r="AT61" s="18">
        <v>9.1176769861810905E-2</v>
      </c>
      <c r="AU61" s="17">
        <v>389.74480527265598</v>
      </c>
      <c r="AV61" s="18">
        <v>2.1023395327406599E-2</v>
      </c>
      <c r="AW61" s="17">
        <v>1543.18998641284</v>
      </c>
      <c r="AX61" s="18">
        <v>9.7631285399701895E-3</v>
      </c>
      <c r="AY61" s="17">
        <v>347.76198644474101</v>
      </c>
      <c r="AZ61" s="18">
        <v>5.9528087043146299E-2</v>
      </c>
      <c r="BA61" s="17">
        <v>2076.2613944793502</v>
      </c>
      <c r="BB61" s="18">
        <v>-5.1674411532042698E-2</v>
      </c>
      <c r="BC61" s="17">
        <v>4447.7936113440101</v>
      </c>
      <c r="BD61" s="18">
        <v>-3.1808590415147702E-3</v>
      </c>
      <c r="BE61" s="17">
        <v>-2371.5322168646599</v>
      </c>
      <c r="BF61" s="18">
        <v>4.3537501290244099E-2</v>
      </c>
      <c r="BG61" s="17"/>
      <c r="BH61" s="18"/>
    </row>
    <row r="62" spans="1:60" x14ac:dyDescent="0.2">
      <c r="A62" s="16">
        <v>1992</v>
      </c>
      <c r="B62" s="16">
        <v>3</v>
      </c>
      <c r="C62" s="17">
        <v>98954.020189139803</v>
      </c>
      <c r="D62" s="18">
        <v>1.4968264565373901E-2</v>
      </c>
      <c r="E62" s="17">
        <v>96896.7750100556</v>
      </c>
      <c r="F62" s="18">
        <v>1.74845929617535E-2</v>
      </c>
      <c r="G62" s="17">
        <v>1790.9087267969801</v>
      </c>
      <c r="H62" s="18">
        <v>-6.2865849364274501E-2</v>
      </c>
      <c r="I62" s="17">
        <v>127.717396063248</v>
      </c>
      <c r="J62" s="18">
        <v>-0.139766479820606</v>
      </c>
      <c r="K62" s="17">
        <v>18906.952081024501</v>
      </c>
      <c r="L62" s="18">
        <v>1.53094038130197E-3</v>
      </c>
      <c r="M62" s="17">
        <v>3326.5891033089101</v>
      </c>
      <c r="N62" s="18">
        <v>5.7070199959699197E-2</v>
      </c>
      <c r="O62" s="17">
        <v>15580.3629777155</v>
      </c>
      <c r="P62" s="18">
        <v>-9.5796566744301703E-3</v>
      </c>
      <c r="Q62" s="17">
        <v>2141.1375693519399</v>
      </c>
      <c r="R62" s="18">
        <v>0.19275461568062499</v>
      </c>
      <c r="S62" s="17">
        <v>715.57693286045799</v>
      </c>
      <c r="T62" s="18">
        <v>-1.11185332125545E-2</v>
      </c>
      <c r="U62" s="17">
        <v>7096.2613582557296</v>
      </c>
      <c r="V62" s="18">
        <v>-7.5466116131792105E-2</v>
      </c>
      <c r="W62" s="17">
        <v>14178.809367343199</v>
      </c>
      <c r="X62" s="18">
        <v>4.80649656996801E-2</v>
      </c>
      <c r="Y62" s="17">
        <v>4916.1376890451402</v>
      </c>
      <c r="Z62" s="18">
        <v>2.91039703863709E-2</v>
      </c>
      <c r="AA62" s="17">
        <v>4513.5845464376098</v>
      </c>
      <c r="AB62" s="18">
        <v>-2.18102433759279E-2</v>
      </c>
      <c r="AC62" s="17">
        <v>2525.1089337951998</v>
      </c>
      <c r="AD62" s="18">
        <v>1.1507448086507201E-2</v>
      </c>
      <c r="AE62" s="17">
        <v>4541.8570067154596</v>
      </c>
      <c r="AF62" s="18">
        <v>-5.7419085235007597E-3</v>
      </c>
      <c r="AG62" s="17">
        <v>7634.84026980206</v>
      </c>
      <c r="AH62" s="18">
        <v>3.3605150059937E-2</v>
      </c>
      <c r="AI62" s="17">
        <v>3316.79320332209</v>
      </c>
      <c r="AJ62" s="18">
        <v>4.2957073796902501E-2</v>
      </c>
      <c r="AK62" s="17">
        <v>4072.1505885207298</v>
      </c>
      <c r="AL62" s="18">
        <v>2.8237280863813798E-2</v>
      </c>
      <c r="AM62" s="17">
        <v>14841.471036492399</v>
      </c>
      <c r="AN62" s="18">
        <v>4.7720295308250699E-2</v>
      </c>
      <c r="AO62" s="17">
        <v>6866.1323257448103</v>
      </c>
      <c r="AP62" s="18">
        <v>5.4726295218710898E-2</v>
      </c>
      <c r="AQ62" s="17">
        <v>4347.5472896302299</v>
      </c>
      <c r="AR62" s="18">
        <v>4.3486220904481301E-2</v>
      </c>
      <c r="AS62" s="17">
        <v>4465.0026632787503</v>
      </c>
      <c r="AT62" s="18">
        <v>1.64038563386701E-2</v>
      </c>
      <c r="AU62" s="17">
        <v>344.67896981918602</v>
      </c>
      <c r="AV62" s="18">
        <v>-0.141044544976031</v>
      </c>
      <c r="AW62" s="17">
        <v>1508.1761815304601</v>
      </c>
      <c r="AX62" s="18">
        <v>-1.8050090504439099E-2</v>
      </c>
      <c r="AY62" s="17">
        <v>351.01235511351501</v>
      </c>
      <c r="AZ62" s="18">
        <v>5.04077560395291E-2</v>
      </c>
      <c r="BA62" s="17">
        <v>2057.2451790841301</v>
      </c>
      <c r="BB62" s="18">
        <v>-9.0923716678809705E-2</v>
      </c>
      <c r="BC62" s="17">
        <v>4440.6637789185797</v>
      </c>
      <c r="BD62" s="18">
        <v>-3.6618018163436801E-2</v>
      </c>
      <c r="BE62" s="17">
        <v>-2383.4185998344501</v>
      </c>
      <c r="BF62" s="18">
        <v>1.5756547708386501E-2</v>
      </c>
      <c r="BG62" s="17"/>
      <c r="BH62" s="18"/>
    </row>
    <row r="63" spans="1:60" x14ac:dyDescent="0.2">
      <c r="A63" s="16">
        <v>1992</v>
      </c>
      <c r="B63" s="16">
        <v>4</v>
      </c>
      <c r="C63" s="17">
        <v>101459.970091453</v>
      </c>
      <c r="D63" s="18">
        <v>7.7831729256556698E-3</v>
      </c>
      <c r="E63" s="17">
        <v>99432.564372712295</v>
      </c>
      <c r="F63" s="18">
        <v>8.0412528199831391E-3</v>
      </c>
      <c r="G63" s="17">
        <v>1729.59009076196</v>
      </c>
      <c r="H63" s="18">
        <v>-7.6993923256718402E-2</v>
      </c>
      <c r="I63" s="17">
        <v>125.589331859837</v>
      </c>
      <c r="J63" s="18">
        <v>-0.10607312422072</v>
      </c>
      <c r="K63" s="17">
        <v>19452.709342233498</v>
      </c>
      <c r="L63" s="18">
        <v>-1.96933767904049E-2</v>
      </c>
      <c r="M63" s="17">
        <v>3368.8889029274101</v>
      </c>
      <c r="N63" s="18">
        <v>4.0499074332947603E-2</v>
      </c>
      <c r="O63" s="17">
        <v>16083.820439306101</v>
      </c>
      <c r="P63" s="18">
        <v>-3.1429616979015702E-2</v>
      </c>
      <c r="Q63" s="17">
        <v>2154.7631569871101</v>
      </c>
      <c r="R63" s="18">
        <v>9.2112878740914006E-2</v>
      </c>
      <c r="S63" s="17">
        <v>711.20116303932798</v>
      </c>
      <c r="T63" s="18">
        <v>-1.28314114051187E-2</v>
      </c>
      <c r="U63" s="17">
        <v>6394.5509333028504</v>
      </c>
      <c r="V63" s="18">
        <v>-2.7584335041726901E-2</v>
      </c>
      <c r="W63" s="17">
        <v>17076.218522093601</v>
      </c>
      <c r="X63" s="18">
        <v>2.0217076654596199E-3</v>
      </c>
      <c r="Y63" s="17">
        <v>6012.3373751319004</v>
      </c>
      <c r="Z63" s="18">
        <v>1.77736220779123E-3</v>
      </c>
      <c r="AA63" s="17">
        <v>4364.6752920182298</v>
      </c>
      <c r="AB63" s="18">
        <v>-4.0395810777989601E-2</v>
      </c>
      <c r="AC63" s="17">
        <v>2007.11145012105</v>
      </c>
      <c r="AD63" s="18">
        <v>3.3691006240035301E-3</v>
      </c>
      <c r="AE63" s="17">
        <v>4460.1878060403897</v>
      </c>
      <c r="AF63" s="18">
        <v>-2.29602363311536E-2</v>
      </c>
      <c r="AG63" s="17">
        <v>8132.8548555856496</v>
      </c>
      <c r="AH63" s="18">
        <v>0.10801284033682899</v>
      </c>
      <c r="AI63" s="17">
        <v>3727.0206054556302</v>
      </c>
      <c r="AJ63" s="18">
        <v>0.19318969896171501</v>
      </c>
      <c r="AK63" s="17">
        <v>4145.7835046741602</v>
      </c>
      <c r="AL63" s="18">
        <v>4.3486627297614697E-2</v>
      </c>
      <c r="AM63" s="17">
        <v>14810.49907629</v>
      </c>
      <c r="AN63" s="18">
        <v>2.7664707790513401E-2</v>
      </c>
      <c r="AO63" s="17">
        <v>6847.5246123803799</v>
      </c>
      <c r="AP63" s="18">
        <v>3.1115569159134299E-2</v>
      </c>
      <c r="AQ63" s="17">
        <v>4528.2697121104902</v>
      </c>
      <c r="AR63" s="18">
        <v>5.3415534183565802E-2</v>
      </c>
      <c r="AS63" s="17">
        <v>4488.0920848053202</v>
      </c>
      <c r="AT63" s="18">
        <v>1.6880096988392001E-2</v>
      </c>
      <c r="AU63" s="17">
        <v>328.60912494900202</v>
      </c>
      <c r="AV63" s="18">
        <v>-0.18005751056039099</v>
      </c>
      <c r="AW63" s="17">
        <v>1467.3697848536699</v>
      </c>
      <c r="AX63" s="18">
        <v>-2.8813297839119501E-2</v>
      </c>
      <c r="AY63" s="17">
        <v>352.74803327990298</v>
      </c>
      <c r="AZ63" s="18">
        <v>3.77442960863918E-2</v>
      </c>
      <c r="BA63" s="17">
        <v>2027.4057187411299</v>
      </c>
      <c r="BB63" s="18">
        <v>-4.7139987373204803E-3</v>
      </c>
      <c r="BC63" s="17">
        <v>4387.4381973379604</v>
      </c>
      <c r="BD63" s="18">
        <v>6.42907064419163E-4</v>
      </c>
      <c r="BE63" s="17">
        <v>-2360.0324785968301</v>
      </c>
      <c r="BF63" s="18">
        <v>5.2910622876578602E-3</v>
      </c>
      <c r="BG63" s="17"/>
      <c r="BH63" s="18"/>
    </row>
    <row r="64" spans="1:60" x14ac:dyDescent="0.2">
      <c r="A64" s="16">
        <v>1993</v>
      </c>
      <c r="B64" s="16">
        <v>1</v>
      </c>
      <c r="C64" s="17">
        <v>98779.554404440103</v>
      </c>
      <c r="D64" s="18">
        <v>-1.64368451896824E-3</v>
      </c>
      <c r="E64" s="17">
        <v>96371.296723701496</v>
      </c>
      <c r="F64" s="18">
        <v>-2.17496840853426E-3</v>
      </c>
      <c r="G64" s="17">
        <v>1715.39072588405</v>
      </c>
      <c r="H64" s="18">
        <v>-5.5663455286859898E-2</v>
      </c>
      <c r="I64" s="17">
        <v>122.39516466624499</v>
      </c>
      <c r="J64" s="18">
        <v>-2.5689170578723702E-2</v>
      </c>
      <c r="K64" s="17">
        <v>18929.3778332115</v>
      </c>
      <c r="L64" s="18">
        <v>-2.1589653886914799E-2</v>
      </c>
      <c r="M64" s="17">
        <v>3543.9363426733498</v>
      </c>
      <c r="N64" s="18">
        <v>4.00313973290507E-2</v>
      </c>
      <c r="O64" s="17">
        <v>15385.4414905381</v>
      </c>
      <c r="P64" s="18">
        <v>-3.4762894083411898E-2</v>
      </c>
      <c r="Q64" s="17">
        <v>2142.3481852240302</v>
      </c>
      <c r="R64" s="18">
        <v>7.4976284566342005E-2</v>
      </c>
      <c r="S64" s="17">
        <v>701.30329298313598</v>
      </c>
      <c r="T64" s="18">
        <v>-2.8436697930090599E-2</v>
      </c>
      <c r="U64" s="17">
        <v>6340.1253057257099</v>
      </c>
      <c r="V64" s="18">
        <v>-7.8302903332305399E-2</v>
      </c>
      <c r="W64" s="17">
        <v>13710.959230741801</v>
      </c>
      <c r="X64" s="18">
        <v>-3.06609245250337E-2</v>
      </c>
      <c r="Y64" s="17">
        <v>4790.7948555002304</v>
      </c>
      <c r="Z64" s="18">
        <v>-1.5459049012517901E-2</v>
      </c>
      <c r="AA64" s="17">
        <v>4207.1979105272403</v>
      </c>
      <c r="AB64" s="18">
        <v>-5.61150454511311E-2</v>
      </c>
      <c r="AC64" s="17">
        <v>2311.5997582661098</v>
      </c>
      <c r="AD64" s="18">
        <v>1.2745685320258099E-2</v>
      </c>
      <c r="AE64" s="17">
        <v>4425.0902351843697</v>
      </c>
      <c r="AF64" s="18">
        <v>-3.74481569826021E-2</v>
      </c>
      <c r="AG64" s="17">
        <v>8818.8223839774892</v>
      </c>
      <c r="AH64" s="18">
        <v>0.13603303118243801</v>
      </c>
      <c r="AI64" s="17">
        <v>4290.3093559532499</v>
      </c>
      <c r="AJ64" s="18">
        <v>0.216645243116282</v>
      </c>
      <c r="AK64" s="17">
        <v>4243.61589598503</v>
      </c>
      <c r="AL64" s="18">
        <v>6.3743224364897003E-2</v>
      </c>
      <c r="AM64" s="17">
        <v>14797.380071518901</v>
      </c>
      <c r="AN64" s="18">
        <v>9.9053200637366796E-3</v>
      </c>
      <c r="AO64" s="17">
        <v>6890.8524963520904</v>
      </c>
      <c r="AP64" s="18">
        <v>1.53329226545842E-2</v>
      </c>
      <c r="AQ64" s="17">
        <v>4603.0193385988596</v>
      </c>
      <c r="AR64" s="18">
        <v>7.4138991120147504E-2</v>
      </c>
      <c r="AS64" s="17">
        <v>4516.7392199981796</v>
      </c>
      <c r="AT64" s="18">
        <v>7.1348258342265299E-3</v>
      </c>
      <c r="AU64" s="17">
        <v>328.98996445148498</v>
      </c>
      <c r="AV64" s="18">
        <v>-0.164498802280205</v>
      </c>
      <c r="AW64" s="17">
        <v>1455.2974531157199</v>
      </c>
      <c r="AX64" s="18">
        <v>-3.4483210992651898E-2</v>
      </c>
      <c r="AY64" s="17">
        <v>354.408153274646</v>
      </c>
      <c r="AZ64" s="18">
        <v>3.0318240941672701E-2</v>
      </c>
      <c r="BA64" s="17">
        <v>2408.2576807385399</v>
      </c>
      <c r="BB64" s="18">
        <v>2.0091131725045199E-2</v>
      </c>
      <c r="BC64" s="17">
        <v>4776.48846921118</v>
      </c>
      <c r="BD64" s="18">
        <v>9.9993937863345206E-3</v>
      </c>
      <c r="BE64" s="17">
        <v>-2368.2307884726401</v>
      </c>
      <c r="BF64" s="18">
        <v>-6.0184731006551798E-5</v>
      </c>
      <c r="BG64" s="17"/>
      <c r="BH64" s="18"/>
    </row>
    <row r="65" spans="1:60" x14ac:dyDescent="0.2">
      <c r="A65" s="16">
        <v>1993</v>
      </c>
      <c r="B65" s="16">
        <v>2</v>
      </c>
      <c r="C65" s="17">
        <v>101557.582148256</v>
      </c>
      <c r="D65" s="18">
        <v>1.3541746281283001E-2</v>
      </c>
      <c r="E65" s="17">
        <v>99295.673945768402</v>
      </c>
      <c r="F65" s="18">
        <v>1.1936329510927201E-2</v>
      </c>
      <c r="G65" s="17">
        <v>1664.3749497460799</v>
      </c>
      <c r="H65" s="18">
        <v>-7.4395068258588506E-2</v>
      </c>
      <c r="I65" s="17">
        <v>130.96422451328499</v>
      </c>
      <c r="J65" s="18">
        <v>1.2863519138448999E-2</v>
      </c>
      <c r="K65" s="17">
        <v>19485.240311722198</v>
      </c>
      <c r="L65" s="18">
        <v>-1.3727542992586501E-3</v>
      </c>
      <c r="M65" s="17">
        <v>3625.02141941944</v>
      </c>
      <c r="N65" s="18">
        <v>6.83214435197841E-2</v>
      </c>
      <c r="O65" s="17">
        <v>15860.218892302701</v>
      </c>
      <c r="P65" s="18">
        <v>-1.6044158646230499E-2</v>
      </c>
      <c r="Q65" s="17">
        <v>2158.0186563165698</v>
      </c>
      <c r="R65" s="18">
        <v>6.5523961027873098E-2</v>
      </c>
      <c r="S65" s="17">
        <v>692.38522935458502</v>
      </c>
      <c r="T65" s="18">
        <v>-3.9830748185712202E-2</v>
      </c>
      <c r="U65" s="17">
        <v>6702.0479793099603</v>
      </c>
      <c r="V65" s="18">
        <v>-6.0635715452095403E-2</v>
      </c>
      <c r="W65" s="17">
        <v>14678.2744531516</v>
      </c>
      <c r="X65" s="18">
        <v>-2.75318788331433E-2</v>
      </c>
      <c r="Y65" s="17">
        <v>5109.66499002208</v>
      </c>
      <c r="Z65" s="18">
        <v>-1.3583298975349E-2</v>
      </c>
      <c r="AA65" s="17">
        <v>4173.64506043029</v>
      </c>
      <c r="AB65" s="18">
        <v>-7.4532160232640296E-2</v>
      </c>
      <c r="AC65" s="17">
        <v>2223.6782637790898</v>
      </c>
      <c r="AD65" s="18">
        <v>1.00778964385122E-2</v>
      </c>
      <c r="AE65" s="17">
        <v>4456.7757607407302</v>
      </c>
      <c r="AF65" s="18">
        <v>-2.6858758848402699E-2</v>
      </c>
      <c r="AG65" s="17">
        <v>9351.1606882872002</v>
      </c>
      <c r="AH65" s="18">
        <v>0.23637838376447201</v>
      </c>
      <c r="AI65" s="17">
        <v>4782.7648290677598</v>
      </c>
      <c r="AJ65" s="18">
        <v>0.45345967285234401</v>
      </c>
      <c r="AK65" s="17">
        <v>4265.2977565536503</v>
      </c>
      <c r="AL65" s="18">
        <v>6.0766013939176598E-2</v>
      </c>
      <c r="AM65" s="17">
        <v>15244.359104343899</v>
      </c>
      <c r="AN65" s="18">
        <v>2.6643097892642902E-2</v>
      </c>
      <c r="AO65" s="17">
        <v>6969.0115622821604</v>
      </c>
      <c r="AP65" s="18">
        <v>1.43432852327849E-2</v>
      </c>
      <c r="AQ65" s="17">
        <v>4563.8610436708204</v>
      </c>
      <c r="AR65" s="18">
        <v>7.4447153763657306E-2</v>
      </c>
      <c r="AS65" s="17">
        <v>4603.6517677460797</v>
      </c>
      <c r="AT65" s="18">
        <v>-9.6545947344828199E-4</v>
      </c>
      <c r="AU65" s="17">
        <v>348.17923999650299</v>
      </c>
      <c r="AV65" s="18">
        <v>-0.10664815723990199</v>
      </c>
      <c r="AW65" s="17">
        <v>1492.2035713206501</v>
      </c>
      <c r="AX65" s="18">
        <v>-3.3039622820976097E-2</v>
      </c>
      <c r="AY65" s="17">
        <v>357.84207905671298</v>
      </c>
      <c r="AZ65" s="18">
        <v>2.89856079873008E-2</v>
      </c>
      <c r="BA65" s="17">
        <v>2261.9082024879799</v>
      </c>
      <c r="BB65" s="18">
        <v>8.9413986361374306E-2</v>
      </c>
      <c r="BC65" s="17">
        <v>4626.3508481461704</v>
      </c>
      <c r="BD65" s="18">
        <v>4.0145126416556001E-2</v>
      </c>
      <c r="BE65" s="17">
        <v>-2364.44264565819</v>
      </c>
      <c r="BF65" s="18">
        <v>-2.9894475630788402E-3</v>
      </c>
      <c r="BG65" s="17"/>
      <c r="BH65" s="18"/>
    </row>
    <row r="66" spans="1:60" x14ac:dyDescent="0.2">
      <c r="A66" s="16">
        <v>1993</v>
      </c>
      <c r="B66" s="16">
        <v>3</v>
      </c>
      <c r="C66" s="17">
        <v>102202.90030377499</v>
      </c>
      <c r="D66" s="18">
        <v>3.2832219534139298E-2</v>
      </c>
      <c r="E66" s="17">
        <v>99895.237425981104</v>
      </c>
      <c r="F66" s="18">
        <v>3.09449144784677E-2</v>
      </c>
      <c r="G66" s="17">
        <v>1668.9875952258001</v>
      </c>
      <c r="H66" s="18">
        <v>-6.8077803043170695E-2</v>
      </c>
      <c r="I66" s="17">
        <v>129.83548207485899</v>
      </c>
      <c r="J66" s="18">
        <v>1.6584162196368699E-2</v>
      </c>
      <c r="K66" s="17">
        <v>19239.643517897799</v>
      </c>
      <c r="L66" s="18">
        <v>1.7596249011876602E-2</v>
      </c>
      <c r="M66" s="17">
        <v>3563.49966693646</v>
      </c>
      <c r="N66" s="18">
        <v>7.1217260764756096E-2</v>
      </c>
      <c r="O66" s="17">
        <v>15676.1438509613</v>
      </c>
      <c r="P66" s="18">
        <v>6.1475379862954097E-3</v>
      </c>
      <c r="Q66" s="17">
        <v>2358.54804959991</v>
      </c>
      <c r="R66" s="18">
        <v>0.101539706443888</v>
      </c>
      <c r="S66" s="17">
        <v>728.64717937342402</v>
      </c>
      <c r="T66" s="18">
        <v>1.8265326777261E-2</v>
      </c>
      <c r="U66" s="17">
        <v>6844.8511656136698</v>
      </c>
      <c r="V66" s="18">
        <v>-3.5428541868679601E-2</v>
      </c>
      <c r="W66" s="17">
        <v>14155.844373800001</v>
      </c>
      <c r="X66" s="18">
        <v>-1.61967009698749E-3</v>
      </c>
      <c r="Y66" s="17">
        <v>4971.2306615642001</v>
      </c>
      <c r="Z66" s="18">
        <v>1.12065560413046E-2</v>
      </c>
      <c r="AA66" s="17">
        <v>4145.0816464008103</v>
      </c>
      <c r="AB66" s="18">
        <v>-8.1643070212927604E-2</v>
      </c>
      <c r="AC66" s="17">
        <v>2551.4072614389502</v>
      </c>
      <c r="AD66" s="18">
        <v>1.04147299515611E-2</v>
      </c>
      <c r="AE66" s="17">
        <v>4425.9943488948002</v>
      </c>
      <c r="AF66" s="18">
        <v>-2.55099748075166E-2</v>
      </c>
      <c r="AG66" s="17">
        <v>9766.6479396003306</v>
      </c>
      <c r="AH66" s="18">
        <v>0.27922099146332802</v>
      </c>
      <c r="AI66" s="17">
        <v>5232.2711972882198</v>
      </c>
      <c r="AJ66" s="18">
        <v>0.57750902047423303</v>
      </c>
      <c r="AK66" s="17">
        <v>4209.05836320055</v>
      </c>
      <c r="AL66" s="18">
        <v>3.3620508795955101E-2</v>
      </c>
      <c r="AM66" s="17">
        <v>15479.1015491701</v>
      </c>
      <c r="AN66" s="18">
        <v>4.2962756933587802E-2</v>
      </c>
      <c r="AO66" s="17">
        <v>6999.70262223598</v>
      </c>
      <c r="AP66" s="18">
        <v>1.94534987317894E-2</v>
      </c>
      <c r="AQ66" s="17">
        <v>4549.8958232733903</v>
      </c>
      <c r="AR66" s="18">
        <v>4.6543147242077899E-2</v>
      </c>
      <c r="AS66" s="17">
        <v>4644.9232166125303</v>
      </c>
      <c r="AT66" s="18">
        <v>4.0295732590149201E-2</v>
      </c>
      <c r="AU66" s="17">
        <v>344.54962615142801</v>
      </c>
      <c r="AV66" s="18">
        <v>-3.7525836817464702E-4</v>
      </c>
      <c r="AW66" s="17">
        <v>1499.0710554746299</v>
      </c>
      <c r="AX66" s="18">
        <v>-6.0371766689699697E-3</v>
      </c>
      <c r="AY66" s="17">
        <v>362.50497314273599</v>
      </c>
      <c r="AZ66" s="18">
        <v>3.2741349020334799E-2</v>
      </c>
      <c r="BA66" s="17">
        <v>2307.6628777941301</v>
      </c>
      <c r="BB66" s="18">
        <v>0.121724771192065</v>
      </c>
      <c r="BC66" s="17">
        <v>4681.7425521270598</v>
      </c>
      <c r="BD66" s="18">
        <v>5.4288904814853801E-2</v>
      </c>
      <c r="BE66" s="17">
        <v>-2374.0796743329302</v>
      </c>
      <c r="BF66" s="18">
        <v>-3.9182900990043503E-3</v>
      </c>
      <c r="BG66" s="17"/>
      <c r="BH66" s="18"/>
    </row>
    <row r="67" spans="1:60" x14ac:dyDescent="0.2">
      <c r="A67" s="16">
        <v>1993</v>
      </c>
      <c r="B67" s="16">
        <v>4</v>
      </c>
      <c r="C67" s="17">
        <v>105779.569349952</v>
      </c>
      <c r="D67" s="18">
        <v>4.2574418803841899E-2</v>
      </c>
      <c r="E67" s="17">
        <v>103448.723022733</v>
      </c>
      <c r="F67" s="18">
        <v>4.0390778165656699E-2</v>
      </c>
      <c r="G67" s="17">
        <v>1614.9369117372801</v>
      </c>
      <c r="H67" s="18">
        <v>-6.6289220571432897E-2</v>
      </c>
      <c r="I67" s="17">
        <v>124.11648562614199</v>
      </c>
      <c r="J67" s="18">
        <v>-1.17274788541587E-2</v>
      </c>
      <c r="K67" s="17">
        <v>20351.959666173101</v>
      </c>
      <c r="L67" s="18">
        <v>4.62275104263878E-2</v>
      </c>
      <c r="M67" s="17">
        <v>3629.8265725688402</v>
      </c>
      <c r="N67" s="18">
        <v>7.7455112697450298E-2</v>
      </c>
      <c r="O67" s="17">
        <v>16722.133093604301</v>
      </c>
      <c r="P67" s="18">
        <v>3.9686631463395003E-2</v>
      </c>
      <c r="Q67" s="17">
        <v>2596.4109963420601</v>
      </c>
      <c r="R67" s="18">
        <v>0.20496351904052901</v>
      </c>
      <c r="S67" s="17">
        <v>712.79484747945503</v>
      </c>
      <c r="T67" s="18">
        <v>2.2408349746161301E-3</v>
      </c>
      <c r="U67" s="17">
        <v>6512.07730671645</v>
      </c>
      <c r="V67" s="18">
        <v>1.8379144155615101E-2</v>
      </c>
      <c r="W67" s="17">
        <v>16993.995994762601</v>
      </c>
      <c r="X67" s="18">
        <v>-4.8150313387396197E-3</v>
      </c>
      <c r="Y67" s="17">
        <v>5977.55471481729</v>
      </c>
      <c r="Z67" s="18">
        <v>-5.7852143258752004E-3</v>
      </c>
      <c r="AA67" s="17">
        <v>4087.05480413743</v>
      </c>
      <c r="AB67" s="18">
        <v>-6.36062179444358E-2</v>
      </c>
      <c r="AC67" s="17">
        <v>2018.2404630700501</v>
      </c>
      <c r="AD67" s="18">
        <v>5.5447907231744899E-3</v>
      </c>
      <c r="AE67" s="17">
        <v>4408.8349314974303</v>
      </c>
      <c r="AF67" s="18">
        <v>-1.15136126047006E-2</v>
      </c>
      <c r="AG67" s="17">
        <v>9831.8181995379291</v>
      </c>
      <c r="AH67" s="18">
        <v>0.20890122523033</v>
      </c>
      <c r="AI67" s="17">
        <v>5405.6065960486703</v>
      </c>
      <c r="AJ67" s="18">
        <v>0.45038280393081798</v>
      </c>
      <c r="AK67" s="17">
        <v>4071.9024394685098</v>
      </c>
      <c r="AL67" s="18">
        <v>-1.7820772628951299E-2</v>
      </c>
      <c r="AM67" s="17">
        <v>15676.143627155299</v>
      </c>
      <c r="AN67" s="18">
        <v>5.8448033817515302E-2</v>
      </c>
      <c r="AO67" s="17">
        <v>7087.1168543860604</v>
      </c>
      <c r="AP67" s="18">
        <v>3.4989613848557498E-2</v>
      </c>
      <c r="AQ67" s="17">
        <v>4516.9846739549303</v>
      </c>
      <c r="AR67" s="18">
        <v>-2.4921302998767202E-3</v>
      </c>
      <c r="AS67" s="17">
        <v>4670.3504859783197</v>
      </c>
      <c r="AT67" s="18">
        <v>4.0609327466796699E-2</v>
      </c>
      <c r="AU67" s="17">
        <v>381.45545405271901</v>
      </c>
      <c r="AV67" s="18">
        <v>0.16081820342608599</v>
      </c>
      <c r="AW67" s="17">
        <v>1495.46337187637</v>
      </c>
      <c r="AX67" s="18">
        <v>1.9145540076320501E-2</v>
      </c>
      <c r="AY67" s="17">
        <v>368.96794824931601</v>
      </c>
      <c r="AZ67" s="18">
        <v>4.5981588667120897E-2</v>
      </c>
      <c r="BA67" s="17">
        <v>2330.8463272193399</v>
      </c>
      <c r="BB67" s="18">
        <v>0.1496694054245</v>
      </c>
      <c r="BC67" s="17">
        <v>4659.6969974596004</v>
      </c>
      <c r="BD67" s="18">
        <v>6.2054161876702797E-2</v>
      </c>
      <c r="BE67" s="17">
        <v>-2328.8506702402601</v>
      </c>
      <c r="BF67" s="18">
        <v>-1.32124488282956E-2</v>
      </c>
      <c r="BG67" s="17"/>
      <c r="BH67" s="18"/>
    </row>
    <row r="68" spans="1:60" x14ac:dyDescent="0.2">
      <c r="A68" s="16">
        <v>1994</v>
      </c>
      <c r="B68" s="16">
        <v>1</v>
      </c>
      <c r="C68" s="17">
        <v>103613.996138203</v>
      </c>
      <c r="D68" s="18">
        <v>4.8941724458174699E-2</v>
      </c>
      <c r="E68" s="17">
        <v>100986.499774</v>
      </c>
      <c r="F68" s="18">
        <v>4.7889809592690298E-2</v>
      </c>
      <c r="G68" s="17">
        <v>1592.2087400435901</v>
      </c>
      <c r="H68" s="18">
        <v>-7.1809870475416496E-2</v>
      </c>
      <c r="I68" s="17">
        <v>113.788392544345</v>
      </c>
      <c r="J68" s="18">
        <v>-7.0319543630414802E-2</v>
      </c>
      <c r="K68" s="17">
        <v>20022.718315019902</v>
      </c>
      <c r="L68" s="18">
        <v>5.7758923269527501E-2</v>
      </c>
      <c r="M68" s="17">
        <v>3866.5165810009798</v>
      </c>
      <c r="N68" s="18">
        <v>9.1023146901191704E-2</v>
      </c>
      <c r="O68" s="17">
        <v>16156.2017340189</v>
      </c>
      <c r="P68" s="18">
        <v>5.0096725788125102E-2</v>
      </c>
      <c r="Q68" s="17">
        <v>2575.61609347377</v>
      </c>
      <c r="R68" s="18">
        <v>0.20223972519407499</v>
      </c>
      <c r="S68" s="17">
        <v>706.81112847425095</v>
      </c>
      <c r="T68" s="18">
        <v>7.8537140010930297E-3</v>
      </c>
      <c r="U68" s="17">
        <v>6710.4164987713402</v>
      </c>
      <c r="V68" s="18">
        <v>5.8404396630966603E-2</v>
      </c>
      <c r="W68" s="17">
        <v>14273.0457768209</v>
      </c>
      <c r="X68" s="18">
        <v>4.0995421007364599E-2</v>
      </c>
      <c r="Y68" s="17">
        <v>4969.6274118154697</v>
      </c>
      <c r="Z68" s="18">
        <v>3.7328368612972201E-2</v>
      </c>
      <c r="AA68" s="17">
        <v>4019.8641541570501</v>
      </c>
      <c r="AB68" s="18">
        <v>-4.45269655371913E-2</v>
      </c>
      <c r="AC68" s="17">
        <v>2339.10549997008</v>
      </c>
      <c r="AD68" s="18">
        <v>1.18990069996356E-2</v>
      </c>
      <c r="AE68" s="17">
        <v>4396.38990236268</v>
      </c>
      <c r="AF68" s="18">
        <v>-6.4858186604860304E-3</v>
      </c>
      <c r="AG68" s="17">
        <v>9802.1221210399108</v>
      </c>
      <c r="AH68" s="18">
        <v>0.111500118071199</v>
      </c>
      <c r="AI68" s="17">
        <v>5581.8394847363397</v>
      </c>
      <c r="AJ68" s="18">
        <v>0.30103426620995399</v>
      </c>
      <c r="AK68" s="17">
        <v>3849.80049323107</v>
      </c>
      <c r="AL68" s="18">
        <v>-9.2801849273530093E-2</v>
      </c>
      <c r="AM68" s="17">
        <v>15967.459490494801</v>
      </c>
      <c r="AN68" s="18">
        <v>7.9073417951063693E-2</v>
      </c>
      <c r="AO68" s="17">
        <v>7165.78469537822</v>
      </c>
      <c r="AP68" s="18">
        <v>3.9898140204230902E-2</v>
      </c>
      <c r="AQ68" s="17">
        <v>4299.4998956585996</v>
      </c>
      <c r="AR68" s="18">
        <v>-6.5939206554072302E-2</v>
      </c>
      <c r="AS68" s="17">
        <v>4790.4141546255496</v>
      </c>
      <c r="AT68" s="18">
        <v>6.0591263143033397E-2</v>
      </c>
      <c r="AU68" s="17">
        <v>366.07361070150802</v>
      </c>
      <c r="AV68" s="18">
        <v>0.11271968830979701</v>
      </c>
      <c r="AW68" s="17">
        <v>1468.86607609725</v>
      </c>
      <c r="AX68" s="18">
        <v>9.3236080036267505E-3</v>
      </c>
      <c r="AY68" s="17">
        <v>376.31522836657001</v>
      </c>
      <c r="AZ68" s="18">
        <v>6.1813123906739403E-2</v>
      </c>
      <c r="BA68" s="17">
        <v>2627.4963642031898</v>
      </c>
      <c r="BB68" s="18">
        <v>9.10362230828312E-2</v>
      </c>
      <c r="BC68" s="17">
        <v>4955.78810435778</v>
      </c>
      <c r="BD68" s="18">
        <v>3.75379604289547E-2</v>
      </c>
      <c r="BE68" s="17">
        <v>-2328.2917401545901</v>
      </c>
      <c r="BF68" s="18">
        <v>-1.6864508523599601E-2</v>
      </c>
      <c r="BG68" s="17"/>
      <c r="BH68" s="18"/>
    </row>
    <row r="69" spans="1:60" x14ac:dyDescent="0.2">
      <c r="A69" s="16">
        <v>1994</v>
      </c>
      <c r="B69" s="16">
        <v>2</v>
      </c>
      <c r="C69" s="17">
        <v>103532.204743637</v>
      </c>
      <c r="D69" s="18">
        <v>1.9443379348063901E-2</v>
      </c>
      <c r="E69" s="17">
        <v>101043.970694438</v>
      </c>
      <c r="F69" s="18">
        <v>1.76069780202537E-2</v>
      </c>
      <c r="G69" s="17">
        <v>1543.46801008945</v>
      </c>
      <c r="H69" s="18">
        <v>-7.2644051555252803E-2</v>
      </c>
      <c r="I69" s="17">
        <v>121.041603842675</v>
      </c>
      <c r="J69" s="18">
        <v>-7.5765887267963794E-2</v>
      </c>
      <c r="K69" s="17">
        <v>20332.890191078</v>
      </c>
      <c r="L69" s="18">
        <v>4.3502151669429397E-2</v>
      </c>
      <c r="M69" s="17">
        <v>3857.1523252626798</v>
      </c>
      <c r="N69" s="18">
        <v>6.4035733582069598E-2</v>
      </c>
      <c r="O69" s="17">
        <v>16475.737865815299</v>
      </c>
      <c r="P69" s="18">
        <v>3.8808983513544101E-2</v>
      </c>
      <c r="Q69" s="17">
        <v>2748.5148760147899</v>
      </c>
      <c r="R69" s="18">
        <v>0.273628876177614</v>
      </c>
      <c r="S69" s="17">
        <v>711.43436048054605</v>
      </c>
      <c r="T69" s="18">
        <v>2.75123303016125E-2</v>
      </c>
      <c r="U69" s="17">
        <v>7047.6934398206304</v>
      </c>
      <c r="V69" s="18">
        <v>5.1573110425010601E-2</v>
      </c>
      <c r="W69" s="17">
        <v>14522.512129274501</v>
      </c>
      <c r="X69" s="18">
        <v>-1.0611759875061501E-2</v>
      </c>
      <c r="Y69" s="17">
        <v>4997.8815552828501</v>
      </c>
      <c r="Z69" s="18">
        <v>-2.1876861782037599E-2</v>
      </c>
      <c r="AA69" s="17">
        <v>4014.5438175341401</v>
      </c>
      <c r="AB69" s="18">
        <v>-3.81204536065066E-2</v>
      </c>
      <c r="AC69" s="17">
        <v>2172.16956800658</v>
      </c>
      <c r="AD69" s="18">
        <v>-2.31637357847648E-2</v>
      </c>
      <c r="AE69" s="17">
        <v>4397.2138232060197</v>
      </c>
      <c r="AF69" s="18">
        <v>-1.33643559228137E-2</v>
      </c>
      <c r="AG69" s="17">
        <v>8919.2610982375008</v>
      </c>
      <c r="AH69" s="18">
        <v>-4.61867360049407E-2</v>
      </c>
      <c r="AI69" s="17">
        <v>4848.06950317666</v>
      </c>
      <c r="AJ69" s="18">
        <v>1.3654167922287699E-2</v>
      </c>
      <c r="AK69" s="17">
        <v>3724.2520657289901</v>
      </c>
      <c r="AL69" s="18">
        <v>-0.12684828157503</v>
      </c>
      <c r="AM69" s="17">
        <v>16154.406072452601</v>
      </c>
      <c r="AN69" s="18">
        <v>5.9697292741508E-2</v>
      </c>
      <c r="AO69" s="17">
        <v>7112.2834533293499</v>
      </c>
      <c r="AP69" s="18">
        <v>2.0558423496182199E-2</v>
      </c>
      <c r="AQ69" s="17">
        <v>4156.1533834243201</v>
      </c>
      <c r="AR69" s="18">
        <v>-8.9333933777829E-2</v>
      </c>
      <c r="AS69" s="17">
        <v>4851.6823113422397</v>
      </c>
      <c r="AT69" s="18">
        <v>5.3876912527117501E-2</v>
      </c>
      <c r="AU69" s="17">
        <v>374.18427192956398</v>
      </c>
      <c r="AV69" s="18">
        <v>7.4688634317548602E-2</v>
      </c>
      <c r="AW69" s="17">
        <v>1483.26630781369</v>
      </c>
      <c r="AX69" s="18">
        <v>-5.9893058016524704E-3</v>
      </c>
      <c r="AY69" s="17">
        <v>381.25197656120002</v>
      </c>
      <c r="AZ69" s="18">
        <v>6.5419633057678006E-2</v>
      </c>
      <c r="BA69" s="17">
        <v>2488.23404919928</v>
      </c>
      <c r="BB69" s="18">
        <v>0.10005969581893601</v>
      </c>
      <c r="BC69" s="17">
        <v>4809.1660101651296</v>
      </c>
      <c r="BD69" s="18">
        <v>3.9516060934336801E-2</v>
      </c>
      <c r="BE69" s="17">
        <v>-2320.9319609658501</v>
      </c>
      <c r="BF69" s="18">
        <v>-1.8402089292475401E-2</v>
      </c>
      <c r="BG69" s="17"/>
      <c r="BH69" s="18"/>
    </row>
    <row r="70" spans="1:60" x14ac:dyDescent="0.2">
      <c r="A70" s="16">
        <v>1994</v>
      </c>
      <c r="B70" s="16">
        <v>3</v>
      </c>
      <c r="C70" s="17">
        <v>104057.660913859</v>
      </c>
      <c r="D70" s="18">
        <v>1.8147827552555298E-2</v>
      </c>
      <c r="E70" s="17">
        <v>101696.49165635199</v>
      </c>
      <c r="F70" s="18">
        <v>1.80314324965287E-2</v>
      </c>
      <c r="G70" s="17">
        <v>1580.9606817205099</v>
      </c>
      <c r="H70" s="18">
        <v>-5.27427008787189E-2</v>
      </c>
      <c r="I70" s="17">
        <v>123.88908844769099</v>
      </c>
      <c r="J70" s="18">
        <v>-4.5799449673855602E-2</v>
      </c>
      <c r="K70" s="17">
        <v>20163.328862697901</v>
      </c>
      <c r="L70" s="18">
        <v>4.8009483332726498E-2</v>
      </c>
      <c r="M70" s="17">
        <v>3784.8697423928202</v>
      </c>
      <c r="N70" s="18">
        <v>6.2121536732645297E-2</v>
      </c>
      <c r="O70" s="17">
        <v>16378.4591203051</v>
      </c>
      <c r="P70" s="18">
        <v>4.4801532572098998E-2</v>
      </c>
      <c r="Q70" s="17">
        <v>2917.06170469264</v>
      </c>
      <c r="R70" s="18">
        <v>0.236804018127792</v>
      </c>
      <c r="S70" s="17">
        <v>674.41846340270195</v>
      </c>
      <c r="T70" s="18">
        <v>-7.4423832968590301E-2</v>
      </c>
      <c r="U70" s="17">
        <v>7215.9066454252297</v>
      </c>
      <c r="V70" s="18">
        <v>5.4209429954536099E-2</v>
      </c>
      <c r="W70" s="17">
        <v>14487.094161049101</v>
      </c>
      <c r="X70" s="18">
        <v>2.3400213968316701E-2</v>
      </c>
      <c r="Y70" s="17">
        <v>4982.3103980006999</v>
      </c>
      <c r="Z70" s="18">
        <v>2.2287713427118199E-3</v>
      </c>
      <c r="AA70" s="17">
        <v>4052.06436388265</v>
      </c>
      <c r="AB70" s="18">
        <v>-2.2440398152093002E-2</v>
      </c>
      <c r="AC70" s="17">
        <v>2510.4043189404201</v>
      </c>
      <c r="AD70" s="18">
        <v>-1.6070716391786501E-2</v>
      </c>
      <c r="AE70" s="17">
        <v>4422.1907937762498</v>
      </c>
      <c r="AF70" s="18">
        <v>-8.5936736894143295E-4</v>
      </c>
      <c r="AG70" s="17">
        <v>8621.9124502596496</v>
      </c>
      <c r="AH70" s="18">
        <v>-0.117208636619242</v>
      </c>
      <c r="AI70" s="17">
        <v>4602.04596661713</v>
      </c>
      <c r="AJ70" s="18">
        <v>-0.120449649283798</v>
      </c>
      <c r="AK70" s="17">
        <v>3689.0863496452698</v>
      </c>
      <c r="AL70" s="18">
        <v>-0.123536422802152</v>
      </c>
      <c r="AM70" s="17">
        <v>16308.3553112708</v>
      </c>
      <c r="AN70" s="18">
        <v>5.3572473794203601E-2</v>
      </c>
      <c r="AO70" s="17">
        <v>7220.7339948441804</v>
      </c>
      <c r="AP70" s="18">
        <v>3.1577251854392002E-2</v>
      </c>
      <c r="AQ70" s="17">
        <v>4121.6943425787003</v>
      </c>
      <c r="AR70" s="18">
        <v>-9.4112370332606901E-2</v>
      </c>
      <c r="AS70" s="17">
        <v>5032.0959924323697</v>
      </c>
      <c r="AT70" s="18">
        <v>8.3353966850325797E-2</v>
      </c>
      <c r="AU70" s="17">
        <v>385.511064462852</v>
      </c>
      <c r="AV70" s="18">
        <v>0.11888400161381001</v>
      </c>
      <c r="AW70" s="17">
        <v>1474.6269810460201</v>
      </c>
      <c r="AX70" s="18">
        <v>-1.6306147956987399E-2</v>
      </c>
      <c r="AY70" s="17">
        <v>384.24243542273001</v>
      </c>
      <c r="AZ70" s="18">
        <v>5.9964590531106803E-2</v>
      </c>
      <c r="BA70" s="17">
        <v>2361.16925750676</v>
      </c>
      <c r="BB70" s="18">
        <v>2.3186393570528301E-2</v>
      </c>
      <c r="BC70" s="17">
        <v>4692.4060658159897</v>
      </c>
      <c r="BD70" s="18">
        <v>2.2776804940039001E-3</v>
      </c>
      <c r="BE70" s="17">
        <v>-2331.2368083092301</v>
      </c>
      <c r="BF70" s="18">
        <v>-1.80460944453107E-2</v>
      </c>
      <c r="BG70" s="17"/>
      <c r="BH70" s="18"/>
    </row>
    <row r="71" spans="1:60" x14ac:dyDescent="0.2">
      <c r="A71" s="16">
        <v>1994</v>
      </c>
      <c r="B71" s="16">
        <v>4</v>
      </c>
      <c r="C71" s="17">
        <v>107197.905315187</v>
      </c>
      <c r="D71" s="18">
        <v>1.34084112267716E-2</v>
      </c>
      <c r="E71" s="17">
        <v>104900.99452848001</v>
      </c>
      <c r="F71" s="18">
        <v>1.40385638731162E-2</v>
      </c>
      <c r="G71" s="17">
        <v>1574.6065711133399</v>
      </c>
      <c r="H71" s="18">
        <v>-2.4973322691936101E-2</v>
      </c>
      <c r="I71" s="17">
        <v>130.65918600631301</v>
      </c>
      <c r="J71" s="18">
        <v>5.2714193019275803E-2</v>
      </c>
      <c r="K71" s="17">
        <v>21219.562563129501</v>
      </c>
      <c r="L71" s="18">
        <v>4.2629943808233997E-2</v>
      </c>
      <c r="M71" s="17">
        <v>3821.93765209811</v>
      </c>
      <c r="N71" s="18">
        <v>5.29256909906064E-2</v>
      </c>
      <c r="O71" s="17">
        <v>17397.624911031398</v>
      </c>
      <c r="P71" s="18">
        <v>4.0395074817667402E-2</v>
      </c>
      <c r="Q71" s="17">
        <v>2898.18162320801</v>
      </c>
      <c r="R71" s="18">
        <v>0.11622606254984</v>
      </c>
      <c r="S71" s="17">
        <v>675.97027641697105</v>
      </c>
      <c r="T71" s="18">
        <v>-5.1662229592007197E-2</v>
      </c>
      <c r="U71" s="17">
        <v>6750.2053606332902</v>
      </c>
      <c r="V71" s="18">
        <v>3.6567141743117697E-2</v>
      </c>
      <c r="W71" s="17">
        <v>17592.6929544866</v>
      </c>
      <c r="X71" s="18">
        <v>3.52299106053999E-2</v>
      </c>
      <c r="Y71" s="17">
        <v>6002.9118367716801</v>
      </c>
      <c r="Z71" s="18">
        <v>4.2420560185805201E-3</v>
      </c>
      <c r="AA71" s="17">
        <v>4061.5389563971598</v>
      </c>
      <c r="AB71" s="18">
        <v>-6.2430892080123099E-3</v>
      </c>
      <c r="AC71" s="17">
        <v>1963.69005461899</v>
      </c>
      <c r="AD71" s="18">
        <v>-2.7028696257572898E-2</v>
      </c>
      <c r="AE71" s="17">
        <v>4436.8470520413603</v>
      </c>
      <c r="AF71" s="18">
        <v>6.35363332471539E-3</v>
      </c>
      <c r="AG71" s="17">
        <v>8534.0594486173195</v>
      </c>
      <c r="AH71" s="18">
        <v>-0.131995804294021</v>
      </c>
      <c r="AI71" s="17">
        <v>4467.1318145456698</v>
      </c>
      <c r="AJ71" s="18">
        <v>-0.173611372716062</v>
      </c>
      <c r="AK71" s="17">
        <v>3743.7800393819002</v>
      </c>
      <c r="AL71" s="18">
        <v>-8.0582087848214398E-2</v>
      </c>
      <c r="AM71" s="17">
        <v>16314.666019898001</v>
      </c>
      <c r="AN71" s="18">
        <v>4.0732109116212299E-2</v>
      </c>
      <c r="AO71" s="17">
        <v>7242.4113098587204</v>
      </c>
      <c r="AP71" s="18">
        <v>2.19122188420737E-2</v>
      </c>
      <c r="AQ71" s="17">
        <v>4195.0109142297197</v>
      </c>
      <c r="AR71" s="18">
        <v>-7.1280684564132807E-2</v>
      </c>
      <c r="AS71" s="17">
        <v>5072.35358355073</v>
      </c>
      <c r="AT71" s="18">
        <v>8.6075573723928295E-2</v>
      </c>
      <c r="AU71" s="17">
        <v>395.727159225891</v>
      </c>
      <c r="AV71" s="18">
        <v>3.7413818629525197E-2</v>
      </c>
      <c r="AW71" s="17">
        <v>1457.1979578722501</v>
      </c>
      <c r="AX71" s="18">
        <v>-2.5587663812926799E-2</v>
      </c>
      <c r="AY71" s="17">
        <v>385.61353717567903</v>
      </c>
      <c r="AZ71" s="18">
        <v>4.5113915735346399E-2</v>
      </c>
      <c r="BA71" s="17">
        <v>2296.9107867073799</v>
      </c>
      <c r="BB71" s="18">
        <v>-1.45593212712779E-2</v>
      </c>
      <c r="BC71" s="17">
        <v>4614.0616523044</v>
      </c>
      <c r="BD71" s="18">
        <v>-9.7936293239845301E-3</v>
      </c>
      <c r="BE71" s="17">
        <v>-2317.1508655970201</v>
      </c>
      <c r="BF71" s="18">
        <v>-5.0238535225753901E-3</v>
      </c>
      <c r="BG71" s="17"/>
      <c r="BH71" s="18"/>
    </row>
    <row r="72" spans="1:60" x14ac:dyDescent="0.2">
      <c r="A72" s="16">
        <v>1995</v>
      </c>
      <c r="B72" s="16">
        <v>1</v>
      </c>
      <c r="C72" s="17">
        <v>103647.486476338</v>
      </c>
      <c r="D72" s="18">
        <v>3.23222145487634E-4</v>
      </c>
      <c r="E72" s="17">
        <v>100463.661625425</v>
      </c>
      <c r="F72" s="18">
        <v>-5.1773073603483804E-3</v>
      </c>
      <c r="G72" s="17">
        <v>1516.4573438949999</v>
      </c>
      <c r="H72" s="18">
        <v>-4.7576297154678503E-2</v>
      </c>
      <c r="I72" s="17">
        <v>130.20466955465801</v>
      </c>
      <c r="J72" s="18">
        <v>0.14427022513667101</v>
      </c>
      <c r="K72" s="17">
        <v>19722.813073756399</v>
      </c>
      <c r="L72" s="18">
        <v>-1.4978248035308299E-2</v>
      </c>
      <c r="M72" s="17">
        <v>3725.3305424661999</v>
      </c>
      <c r="N72" s="18">
        <v>-3.65150479965686E-2</v>
      </c>
      <c r="O72" s="17">
        <v>15997.482531290199</v>
      </c>
      <c r="P72" s="18">
        <v>-9.8240418968338298E-3</v>
      </c>
      <c r="Q72" s="17">
        <v>3022.2357645372699</v>
      </c>
      <c r="R72" s="18">
        <v>0.17340304410861901</v>
      </c>
      <c r="S72" s="17">
        <v>690.78006332606606</v>
      </c>
      <c r="T72" s="18">
        <v>-2.26808329727212E-2</v>
      </c>
      <c r="U72" s="17">
        <v>6175.7578760484803</v>
      </c>
      <c r="V72" s="18">
        <v>-7.9675922175733702E-2</v>
      </c>
      <c r="W72" s="17">
        <v>14598.4247158082</v>
      </c>
      <c r="X72" s="18">
        <v>2.2796741779927999E-2</v>
      </c>
      <c r="Y72" s="17">
        <v>4959.6990957995304</v>
      </c>
      <c r="Z72" s="18">
        <v>-1.9977988676445099E-3</v>
      </c>
      <c r="AA72" s="17">
        <v>4162.8337507652896</v>
      </c>
      <c r="AB72" s="18">
        <v>3.5565778127202997E-2</v>
      </c>
      <c r="AC72" s="17">
        <v>2297.90786483795</v>
      </c>
      <c r="AD72" s="18">
        <v>-1.7612559644124101E-2</v>
      </c>
      <c r="AE72" s="17">
        <v>4582.5253321585897</v>
      </c>
      <c r="AF72" s="18">
        <v>4.2338244316291899E-2</v>
      </c>
      <c r="AG72" s="17">
        <v>8571.8086272993605</v>
      </c>
      <c r="AH72" s="18">
        <v>-0.12551501384580099</v>
      </c>
      <c r="AI72" s="17">
        <v>4330.3745297290798</v>
      </c>
      <c r="AJ72" s="18">
        <v>-0.22420296363401601</v>
      </c>
      <c r="AK72" s="17">
        <v>3951.8730789475399</v>
      </c>
      <c r="AL72" s="18">
        <v>2.6513733866453601E-2</v>
      </c>
      <c r="AM72" s="17">
        <v>16045.4142846819</v>
      </c>
      <c r="AN72" s="18">
        <v>4.8821037707000902E-3</v>
      </c>
      <c r="AO72" s="17">
        <v>7225.9524234553901</v>
      </c>
      <c r="AP72" s="18">
        <v>8.3965302663890906E-3</v>
      </c>
      <c r="AQ72" s="17">
        <v>4343.3661586278304</v>
      </c>
      <c r="AR72" s="18">
        <v>1.02026431058944E-2</v>
      </c>
      <c r="AS72" s="17">
        <v>5116.9942669063203</v>
      </c>
      <c r="AT72" s="18">
        <v>6.8173669695225106E-2</v>
      </c>
      <c r="AU72" s="17">
        <v>439.41871578274498</v>
      </c>
      <c r="AV72" s="18">
        <v>0.200356165910689</v>
      </c>
      <c r="AW72" s="17">
        <v>1439.78338915527</v>
      </c>
      <c r="AX72" s="18">
        <v>-1.9799413585243501E-2</v>
      </c>
      <c r="AY72" s="17">
        <v>380.98330482789203</v>
      </c>
      <c r="AZ72" s="18">
        <v>1.24046972044798E-2</v>
      </c>
      <c r="BA72" s="17">
        <v>3183.82485091328</v>
      </c>
      <c r="BB72" s="18">
        <v>0.21173330410251501</v>
      </c>
      <c r="BC72" s="17">
        <v>5512.89670189342</v>
      </c>
      <c r="BD72" s="18">
        <v>0.112415742118948</v>
      </c>
      <c r="BE72" s="17">
        <v>-2329.07185098014</v>
      </c>
      <c r="BF72" s="18">
        <v>3.3505716319615102E-4</v>
      </c>
      <c r="BG72" s="17"/>
      <c r="BH72" s="18"/>
    </row>
    <row r="73" spans="1:60" x14ac:dyDescent="0.2">
      <c r="A73" s="16">
        <v>1995</v>
      </c>
      <c r="B73" s="16">
        <v>2</v>
      </c>
      <c r="C73" s="17">
        <v>105210.540632602</v>
      </c>
      <c r="D73" s="18">
        <v>1.6210761599450899E-2</v>
      </c>
      <c r="E73" s="17">
        <v>102255.673541432</v>
      </c>
      <c r="F73" s="18">
        <v>1.19918372038119E-2</v>
      </c>
      <c r="G73" s="17">
        <v>1461.7379961090601</v>
      </c>
      <c r="H73" s="18">
        <v>-5.2952191717695198E-2</v>
      </c>
      <c r="I73" s="17">
        <v>157.098621630341</v>
      </c>
      <c r="J73" s="18">
        <v>0.297889458194321</v>
      </c>
      <c r="K73" s="17">
        <v>20171.372809930799</v>
      </c>
      <c r="L73" s="18">
        <v>-7.9436508843246899E-3</v>
      </c>
      <c r="M73" s="17">
        <v>3819.58157116045</v>
      </c>
      <c r="N73" s="18">
        <v>-9.7405419682701205E-3</v>
      </c>
      <c r="O73" s="17">
        <v>16351.7912387703</v>
      </c>
      <c r="P73" s="18">
        <v>-7.5229788222216402E-3</v>
      </c>
      <c r="Q73" s="17">
        <v>3026.2813497863599</v>
      </c>
      <c r="R73" s="18">
        <v>0.10106056772532999</v>
      </c>
      <c r="S73" s="17">
        <v>687.08883511635804</v>
      </c>
      <c r="T73" s="18">
        <v>-3.4220339523302098E-2</v>
      </c>
      <c r="U73" s="17">
        <v>6822.1917675104796</v>
      </c>
      <c r="V73" s="18">
        <v>-3.1996521164788003E-2</v>
      </c>
      <c r="W73" s="17">
        <v>15294.8172464166</v>
      </c>
      <c r="X73" s="18">
        <v>5.31798569191924E-2</v>
      </c>
      <c r="Y73" s="17">
        <v>5148.3129016906596</v>
      </c>
      <c r="Z73" s="18">
        <v>3.0099021904351101E-2</v>
      </c>
      <c r="AA73" s="17">
        <v>4104.2495827150296</v>
      </c>
      <c r="AB73" s="18">
        <v>2.2345195184839201E-2</v>
      </c>
      <c r="AC73" s="17">
        <v>2225.9963534049102</v>
      </c>
      <c r="AD73" s="18">
        <v>2.4780194967798801E-2</v>
      </c>
      <c r="AE73" s="17">
        <v>4297.5064884281701</v>
      </c>
      <c r="AF73" s="18">
        <v>-2.2675116286510599E-2</v>
      </c>
      <c r="AG73" s="17">
        <v>8747.2195908758604</v>
      </c>
      <c r="AH73" s="18">
        <v>-1.9288762316380301E-2</v>
      </c>
      <c r="AI73" s="17">
        <v>4437.0391467133804</v>
      </c>
      <c r="AJ73" s="18">
        <v>-8.4782273891485599E-2</v>
      </c>
      <c r="AK73" s="17">
        <v>3983.1339823487301</v>
      </c>
      <c r="AL73" s="18">
        <v>6.9512458354256998E-2</v>
      </c>
      <c r="AM73" s="17">
        <v>16242.998463190601</v>
      </c>
      <c r="AN73" s="18">
        <v>5.4841007673513999E-3</v>
      </c>
      <c r="AO73" s="17">
        <v>7219.9792504651004</v>
      </c>
      <c r="AP73" s="18">
        <v>1.5142225115526001E-2</v>
      </c>
      <c r="AQ73" s="17">
        <v>4352.0156703005496</v>
      </c>
      <c r="AR73" s="18">
        <v>4.7125856244231802E-2</v>
      </c>
      <c r="AS73" s="17">
        <v>5140.2826293835697</v>
      </c>
      <c r="AT73" s="18">
        <v>5.9484586896105397E-2</v>
      </c>
      <c r="AU73" s="17">
        <v>453.58501596932899</v>
      </c>
      <c r="AV73" s="18">
        <v>0.21219690402890801</v>
      </c>
      <c r="AW73" s="17">
        <v>1464.83012239455</v>
      </c>
      <c r="AX73" s="18">
        <v>-1.24294506805851E-2</v>
      </c>
      <c r="AY73" s="17">
        <v>386.42174780462301</v>
      </c>
      <c r="AZ73" s="18">
        <v>1.3559985419755199E-2</v>
      </c>
      <c r="BA73" s="17">
        <v>2954.8670911694599</v>
      </c>
      <c r="BB73" s="18">
        <v>0.18753583173590399</v>
      </c>
      <c r="BC73" s="17">
        <v>5299.5875602102697</v>
      </c>
      <c r="BD73" s="18">
        <v>0.10197642356461301</v>
      </c>
      <c r="BE73" s="17">
        <v>-2344.7204690408098</v>
      </c>
      <c r="BF73" s="18">
        <v>1.0249549954517901E-2</v>
      </c>
      <c r="BG73" s="17"/>
      <c r="BH73" s="18"/>
    </row>
    <row r="74" spans="1:60" x14ac:dyDescent="0.2">
      <c r="A74" s="16">
        <v>1995</v>
      </c>
      <c r="B74" s="16">
        <v>3</v>
      </c>
      <c r="C74" s="17">
        <v>105925.53384225701</v>
      </c>
      <c r="D74" s="18">
        <v>1.7950364365232799E-2</v>
      </c>
      <c r="E74" s="17">
        <v>102660.177258436</v>
      </c>
      <c r="F74" s="18">
        <v>9.47609486215217E-3</v>
      </c>
      <c r="G74" s="17">
        <v>1456.7211840075599</v>
      </c>
      <c r="H74" s="18">
        <v>-7.8584811848540007E-2</v>
      </c>
      <c r="I74" s="17">
        <v>149.926939222915</v>
      </c>
      <c r="J74" s="18">
        <v>0.21017065426402201</v>
      </c>
      <c r="K74" s="17">
        <v>19741.3647217449</v>
      </c>
      <c r="L74" s="18">
        <v>-2.09273053981485E-2</v>
      </c>
      <c r="M74" s="17">
        <v>3806.7117713519501</v>
      </c>
      <c r="N74" s="18">
        <v>5.7708799630489197E-3</v>
      </c>
      <c r="O74" s="17">
        <v>15934.652950393</v>
      </c>
      <c r="P74" s="18">
        <v>-2.70969427985993E-2</v>
      </c>
      <c r="Q74" s="17">
        <v>3074.0959349994801</v>
      </c>
      <c r="R74" s="18">
        <v>5.3833016303433699E-2</v>
      </c>
      <c r="S74" s="17">
        <v>687.22180100912897</v>
      </c>
      <c r="T74" s="18">
        <v>1.8984263185544401E-2</v>
      </c>
      <c r="U74" s="17">
        <v>7031.8456214236303</v>
      </c>
      <c r="V74" s="18">
        <v>-2.5507678112533402E-2</v>
      </c>
      <c r="W74" s="17">
        <v>14729.274068827101</v>
      </c>
      <c r="X74" s="18">
        <v>1.6716941650670301E-2</v>
      </c>
      <c r="Y74" s="17">
        <v>5048.6451325258004</v>
      </c>
      <c r="Z74" s="18">
        <v>1.3314050957507199E-2</v>
      </c>
      <c r="AA74" s="17">
        <v>4078.3892887847501</v>
      </c>
      <c r="AB74" s="18">
        <v>6.4966699780839602E-3</v>
      </c>
      <c r="AC74" s="17">
        <v>2503.95034909488</v>
      </c>
      <c r="AD74" s="18">
        <v>-2.5708886002321399E-3</v>
      </c>
      <c r="AE74" s="17">
        <v>4457.1891964259903</v>
      </c>
      <c r="AF74" s="18">
        <v>7.9142679006525309E-3</v>
      </c>
      <c r="AG74" s="17">
        <v>9089.0949814724609</v>
      </c>
      <c r="AH74" s="18">
        <v>5.4185487721897498E-2</v>
      </c>
      <c r="AI74" s="17">
        <v>4765.8266034133203</v>
      </c>
      <c r="AJ74" s="18">
        <v>3.5588657302476803E-2</v>
      </c>
      <c r="AK74" s="17">
        <v>3980.6059525464402</v>
      </c>
      <c r="AL74" s="18">
        <v>7.9022168437234794E-2</v>
      </c>
      <c r="AM74" s="17">
        <v>16519.408054433901</v>
      </c>
      <c r="AN74" s="18">
        <v>1.29413873523581E-2</v>
      </c>
      <c r="AO74" s="17">
        <v>7218.9873729288502</v>
      </c>
      <c r="AP74" s="18">
        <v>-2.4188980186390401E-4</v>
      </c>
      <c r="AQ74" s="17">
        <v>4369.1922229313996</v>
      </c>
      <c r="AR74" s="18">
        <v>6.0047606586433003E-2</v>
      </c>
      <c r="AS74" s="17">
        <v>5244.5402172824397</v>
      </c>
      <c r="AT74" s="18">
        <v>4.2217840273628397E-2</v>
      </c>
      <c r="AU74" s="17">
        <v>449.373478849045</v>
      </c>
      <c r="AV74" s="18">
        <v>0.16565650190916001</v>
      </c>
      <c r="AW74" s="17">
        <v>1471.3393603163499</v>
      </c>
      <c r="AX74" s="18">
        <v>-2.2294592272670299E-3</v>
      </c>
      <c r="AY74" s="17">
        <v>388.26246468127903</v>
      </c>
      <c r="AZ74" s="18">
        <v>1.04622209520544E-2</v>
      </c>
      <c r="BA74" s="17">
        <v>3265.3565838207001</v>
      </c>
      <c r="BB74" s="18">
        <v>0.38294049587478601</v>
      </c>
      <c r="BC74" s="17">
        <v>5639.8986955166201</v>
      </c>
      <c r="BD74" s="18">
        <v>0.201920425558027</v>
      </c>
      <c r="BE74" s="17">
        <v>-2374.5421116959201</v>
      </c>
      <c r="BF74" s="18">
        <v>1.8576106568127599E-2</v>
      </c>
      <c r="BG74" s="17"/>
      <c r="BH74" s="18"/>
    </row>
    <row r="75" spans="1:60" x14ac:dyDescent="0.2">
      <c r="A75" s="16">
        <v>1995</v>
      </c>
      <c r="B75" s="16">
        <v>4</v>
      </c>
      <c r="C75" s="17">
        <v>108731.79454673801</v>
      </c>
      <c r="D75" s="18">
        <v>1.43089478011755E-2</v>
      </c>
      <c r="E75" s="17">
        <v>105718.872330331</v>
      </c>
      <c r="F75" s="18">
        <v>7.7966639451558803E-3</v>
      </c>
      <c r="G75" s="17">
        <v>1416.4458712764299</v>
      </c>
      <c r="H75" s="18">
        <v>-0.10044458262681399</v>
      </c>
      <c r="I75" s="17">
        <v>140.306647964436</v>
      </c>
      <c r="J75" s="18">
        <v>7.3836844182215894E-2</v>
      </c>
      <c r="K75" s="17">
        <v>20647.767238501201</v>
      </c>
      <c r="L75" s="18">
        <v>-2.6946612255892202E-2</v>
      </c>
      <c r="M75" s="17">
        <v>3757.5834853406</v>
      </c>
      <c r="N75" s="18">
        <v>-1.6838099575534799E-2</v>
      </c>
      <c r="O75" s="17">
        <v>16890.183753160702</v>
      </c>
      <c r="P75" s="18">
        <v>-2.9167266248453901E-2</v>
      </c>
      <c r="Q75" s="17">
        <v>3037.7554881126798</v>
      </c>
      <c r="R75" s="18">
        <v>4.8159115973613401E-2</v>
      </c>
      <c r="S75" s="17">
        <v>661.07676732151697</v>
      </c>
      <c r="T75" s="18">
        <v>-2.2032786965720599E-2</v>
      </c>
      <c r="U75" s="17">
        <v>6399.4288375505103</v>
      </c>
      <c r="V75" s="18">
        <v>-5.1965311326449701E-2</v>
      </c>
      <c r="W75" s="17">
        <v>17033.730205117001</v>
      </c>
      <c r="X75" s="18">
        <v>-3.1772438183035899E-2</v>
      </c>
      <c r="Y75" s="17">
        <v>5683.2683521365097</v>
      </c>
      <c r="Z75" s="18">
        <v>-5.32480724899453E-2</v>
      </c>
      <c r="AA75" s="17">
        <v>4351.6082475538396</v>
      </c>
      <c r="AB75" s="18">
        <v>7.1418566772528003E-2</v>
      </c>
      <c r="AC75" s="17">
        <v>2013.0335275003299</v>
      </c>
      <c r="AD75" s="18">
        <v>2.51279333850432E-2</v>
      </c>
      <c r="AE75" s="17">
        <v>4983.2520842301501</v>
      </c>
      <c r="AF75" s="18">
        <v>0.123151649308577</v>
      </c>
      <c r="AG75" s="17">
        <v>9233.4074834111507</v>
      </c>
      <c r="AH75" s="18">
        <v>8.1947874748767205E-2</v>
      </c>
      <c r="AI75" s="17">
        <v>4933.4279234554297</v>
      </c>
      <c r="AJ75" s="18">
        <v>0.104383780973606</v>
      </c>
      <c r="AK75" s="17">
        <v>3941.7253358794601</v>
      </c>
      <c r="AL75" s="18">
        <v>5.2873110710383003E-2</v>
      </c>
      <c r="AM75" s="17">
        <v>16607.512648342701</v>
      </c>
      <c r="AN75" s="18">
        <v>1.7949900297530502E-2</v>
      </c>
      <c r="AO75" s="17">
        <v>7205.0880880293998</v>
      </c>
      <c r="AP75" s="18">
        <v>-5.1534247686969596E-3</v>
      </c>
      <c r="AQ75" s="17">
        <v>4393.1879609185198</v>
      </c>
      <c r="AR75" s="18">
        <v>4.7241127792198898E-2</v>
      </c>
      <c r="AS75" s="17">
        <v>5277.9859687848902</v>
      </c>
      <c r="AT75" s="18">
        <v>4.0539836556546603E-2</v>
      </c>
      <c r="AU75" s="17">
        <v>463.63177182565403</v>
      </c>
      <c r="AV75" s="18">
        <v>0.17159452167143599</v>
      </c>
      <c r="AW75" s="17">
        <v>1466.08105402404</v>
      </c>
      <c r="AX75" s="18">
        <v>6.0960119411397297E-3</v>
      </c>
      <c r="AY75" s="17">
        <v>387.57243986658801</v>
      </c>
      <c r="AZ75" s="18">
        <v>5.07996349209328E-3</v>
      </c>
      <c r="BA75" s="17">
        <v>3012.92221640656</v>
      </c>
      <c r="BB75" s="18">
        <v>0.31172801044031201</v>
      </c>
      <c r="BC75" s="17">
        <v>5406.6526506296896</v>
      </c>
      <c r="BD75" s="18">
        <v>0.17177728822272001</v>
      </c>
      <c r="BE75" s="17">
        <v>-2393.73043422313</v>
      </c>
      <c r="BF75" s="18">
        <v>3.3049021435372902E-2</v>
      </c>
      <c r="BG75" s="17"/>
      <c r="BH75" s="18"/>
    </row>
    <row r="76" spans="1:60" x14ac:dyDescent="0.2">
      <c r="A76" s="16">
        <v>1996</v>
      </c>
      <c r="B76" s="16">
        <v>1</v>
      </c>
      <c r="C76" s="17">
        <v>105630.649058576</v>
      </c>
      <c r="D76" s="18">
        <v>1.91337257627648E-2</v>
      </c>
      <c r="E76" s="17">
        <v>102807.998120199</v>
      </c>
      <c r="F76" s="18">
        <v>2.33351687251417E-2</v>
      </c>
      <c r="G76" s="17">
        <v>1315.2926417112501</v>
      </c>
      <c r="H76" s="18">
        <v>-0.13265437566945501</v>
      </c>
      <c r="I76" s="17">
        <v>112.604071937757</v>
      </c>
      <c r="J76" s="18">
        <v>-0.13517639326685099</v>
      </c>
      <c r="K76" s="17">
        <v>19874.394113657701</v>
      </c>
      <c r="L76" s="18">
        <v>7.6855689568469101E-3</v>
      </c>
      <c r="M76" s="17">
        <v>3869.3558377312502</v>
      </c>
      <c r="N76" s="18">
        <v>3.8661078157564498E-2</v>
      </c>
      <c r="O76" s="17">
        <v>16005.038275926499</v>
      </c>
      <c r="P76" s="18">
        <v>4.72308353613338E-4</v>
      </c>
      <c r="Q76" s="17">
        <v>2978.7461324456299</v>
      </c>
      <c r="R76" s="18">
        <v>-1.43898873151934E-2</v>
      </c>
      <c r="S76" s="17">
        <v>648.07733624362197</v>
      </c>
      <c r="T76" s="18">
        <v>-6.1818123234235203E-2</v>
      </c>
      <c r="U76" s="17">
        <v>5850.8398680657901</v>
      </c>
      <c r="V76" s="18">
        <v>-5.2611843680404502E-2</v>
      </c>
      <c r="W76" s="17">
        <v>14616.280215004699</v>
      </c>
      <c r="X76" s="18">
        <v>1.22311136606235E-3</v>
      </c>
      <c r="Y76" s="17">
        <v>4953.2432453932697</v>
      </c>
      <c r="Z76" s="18">
        <v>-1.30166171002755E-3</v>
      </c>
      <c r="AA76" s="17">
        <v>4361.0033582188098</v>
      </c>
      <c r="AB76" s="18">
        <v>4.7604497157034603E-2</v>
      </c>
      <c r="AC76" s="17">
        <v>2234.57642095547</v>
      </c>
      <c r="AD76" s="18">
        <v>-2.7560480057344999E-2</v>
      </c>
      <c r="AE76" s="17">
        <v>4735.9990032948699</v>
      </c>
      <c r="AF76" s="18">
        <v>3.3491068791099601E-2</v>
      </c>
      <c r="AG76" s="17">
        <v>10008.704839268899</v>
      </c>
      <c r="AH76" s="18">
        <v>0.167630458686781</v>
      </c>
      <c r="AI76" s="17">
        <v>5773.7289700557803</v>
      </c>
      <c r="AJ76" s="18">
        <v>0.33330937784196801</v>
      </c>
      <c r="AK76" s="17">
        <v>3862.24107677439</v>
      </c>
      <c r="AL76" s="18">
        <v>-2.2680890904782001E-2</v>
      </c>
      <c r="AM76" s="17">
        <v>16730.3231971266</v>
      </c>
      <c r="AN76" s="18">
        <v>4.2685648391054001E-2</v>
      </c>
      <c r="AO76" s="17">
        <v>7230.70971837463</v>
      </c>
      <c r="AP76" s="18">
        <v>6.5836233626370699E-4</v>
      </c>
      <c r="AQ76" s="17">
        <v>4435.8631903867399</v>
      </c>
      <c r="AR76" s="18">
        <v>2.1296162557043599E-2</v>
      </c>
      <c r="AS76" s="17">
        <v>5353.2755358254699</v>
      </c>
      <c r="AT76" s="18">
        <v>4.61757931696887E-2</v>
      </c>
      <c r="AU76" s="17">
        <v>495.84785341348601</v>
      </c>
      <c r="AV76" s="18">
        <v>0.128417692747162</v>
      </c>
      <c r="AW76" s="17">
        <v>1445.44789148582</v>
      </c>
      <c r="AX76" s="18">
        <v>3.9342739840000397E-3</v>
      </c>
      <c r="AY76" s="17">
        <v>380.01273278216598</v>
      </c>
      <c r="AZ76" s="18">
        <v>-2.5475448226375298E-3</v>
      </c>
      <c r="BA76" s="17">
        <v>2822.6509383765701</v>
      </c>
      <c r="BB76" s="18">
        <v>-0.113440258007004</v>
      </c>
      <c r="BC76" s="17">
        <v>5250.9798822303801</v>
      </c>
      <c r="BD76" s="18">
        <v>-4.75098362668539E-2</v>
      </c>
      <c r="BE76" s="17">
        <v>-2428.32894385382</v>
      </c>
      <c r="BF76" s="18">
        <v>4.2616586874255603E-2</v>
      </c>
      <c r="BG76" s="17"/>
      <c r="BH76" s="18"/>
    </row>
    <row r="77" spans="1:60" x14ac:dyDescent="0.2">
      <c r="A77" s="16">
        <v>1996</v>
      </c>
      <c r="B77" s="16">
        <v>2</v>
      </c>
      <c r="C77" s="17">
        <v>106798.651404466</v>
      </c>
      <c r="D77" s="18">
        <v>1.50945975784851E-2</v>
      </c>
      <c r="E77" s="17">
        <v>103347.181792413</v>
      </c>
      <c r="F77" s="18">
        <v>1.06743050353897E-2</v>
      </c>
      <c r="G77" s="17">
        <v>1283.73509023578</v>
      </c>
      <c r="H77" s="18">
        <v>-0.12177483676767401</v>
      </c>
      <c r="I77" s="17">
        <v>137.47819251182199</v>
      </c>
      <c r="J77" s="18">
        <v>-0.12489243326836399</v>
      </c>
      <c r="K77" s="17">
        <v>20099.221550071299</v>
      </c>
      <c r="L77" s="18">
        <v>-3.5769137053460699E-3</v>
      </c>
      <c r="M77" s="17">
        <v>3879.6280933077301</v>
      </c>
      <c r="N77" s="18">
        <v>1.57207068440848E-2</v>
      </c>
      <c r="O77" s="17">
        <v>16219.593456763499</v>
      </c>
      <c r="P77" s="18">
        <v>-8.0846055380970894E-3</v>
      </c>
      <c r="Q77" s="17">
        <v>2843.32752016732</v>
      </c>
      <c r="R77" s="18">
        <v>-6.0454996899728199E-2</v>
      </c>
      <c r="S77" s="17">
        <v>650.36765212936598</v>
      </c>
      <c r="T77" s="18">
        <v>-5.34445927661941E-2</v>
      </c>
      <c r="U77" s="17">
        <v>6368.5637086693996</v>
      </c>
      <c r="V77" s="18">
        <v>-6.6493009035805406E-2</v>
      </c>
      <c r="W77" s="17">
        <v>14985.1227979167</v>
      </c>
      <c r="X77" s="18">
        <v>-2.0248326182020701E-2</v>
      </c>
      <c r="Y77" s="17">
        <v>5035.1423762818204</v>
      </c>
      <c r="Z77" s="18">
        <v>-2.19820604477402E-2</v>
      </c>
      <c r="AA77" s="17">
        <v>4280.3732448686796</v>
      </c>
      <c r="AB77" s="18">
        <v>4.2912512654052798E-2</v>
      </c>
      <c r="AC77" s="17">
        <v>2230.6911975788998</v>
      </c>
      <c r="AD77" s="18">
        <v>2.10909787287261E-3</v>
      </c>
      <c r="AE77" s="17">
        <v>4403.7131814915501</v>
      </c>
      <c r="AF77" s="18">
        <v>2.4713562003771301E-2</v>
      </c>
      <c r="AG77" s="17">
        <v>9903.1349853362208</v>
      </c>
      <c r="AH77" s="18">
        <v>0.132146607553568</v>
      </c>
      <c r="AI77" s="17">
        <v>5676.60762365145</v>
      </c>
      <c r="AJ77" s="18">
        <v>0.27936838868240399</v>
      </c>
      <c r="AK77" s="17">
        <v>3827.7483351536698</v>
      </c>
      <c r="AL77" s="18">
        <v>-3.9010901436820802E-2</v>
      </c>
      <c r="AM77" s="17">
        <v>16788.3116655505</v>
      </c>
      <c r="AN77" s="18">
        <v>3.3572200575877197E-2</v>
      </c>
      <c r="AO77" s="17">
        <v>7210.7180724800901</v>
      </c>
      <c r="AP77" s="18">
        <v>-1.2827153186632E-3</v>
      </c>
      <c r="AQ77" s="17">
        <v>4425.38192491681</v>
      </c>
      <c r="AR77" s="18">
        <v>1.6857994128316001E-2</v>
      </c>
      <c r="AS77" s="17">
        <v>5359.2444347704204</v>
      </c>
      <c r="AT77" s="18">
        <v>4.2597230769995102E-2</v>
      </c>
      <c r="AU77" s="17">
        <v>567.20955264453698</v>
      </c>
      <c r="AV77" s="18">
        <v>0.25050328532654098</v>
      </c>
      <c r="AW77" s="17">
        <v>1432.8397312152399</v>
      </c>
      <c r="AX77" s="18">
        <v>-2.1838976882189502E-2</v>
      </c>
      <c r="AY77" s="17">
        <v>377.74728985803802</v>
      </c>
      <c r="AZ77" s="18">
        <v>-2.2448161874601899E-2</v>
      </c>
      <c r="BA77" s="17">
        <v>3451.4696120529802</v>
      </c>
      <c r="BB77" s="18">
        <v>0.168062557658719</v>
      </c>
      <c r="BC77" s="17">
        <v>5890.4175535814702</v>
      </c>
      <c r="BD77" s="18">
        <v>0.111486032952299</v>
      </c>
      <c r="BE77" s="17">
        <v>-2438.94794152849</v>
      </c>
      <c r="BF77" s="18">
        <v>4.0187081458893603E-2</v>
      </c>
      <c r="BG77" s="17"/>
      <c r="BH77" s="18"/>
    </row>
    <row r="78" spans="1:60" x14ac:dyDescent="0.2">
      <c r="A78" s="16">
        <v>1996</v>
      </c>
      <c r="B78" s="16">
        <v>3</v>
      </c>
      <c r="C78" s="17">
        <v>105562.178742319</v>
      </c>
      <c r="D78" s="18">
        <v>-3.4302881161648599E-3</v>
      </c>
      <c r="E78" s="17">
        <v>102535.304868173</v>
      </c>
      <c r="F78" s="18">
        <v>-1.2163664002762301E-3</v>
      </c>
      <c r="G78" s="17">
        <v>1270.7693633307299</v>
      </c>
      <c r="H78" s="18">
        <v>-0.12765093465948399</v>
      </c>
      <c r="I78" s="17">
        <v>136.75704169496001</v>
      </c>
      <c r="J78" s="18">
        <v>-8.7842102268054903E-2</v>
      </c>
      <c r="K78" s="17">
        <v>19581.4807976624</v>
      </c>
      <c r="L78" s="18">
        <v>-8.0989296503087803E-3</v>
      </c>
      <c r="M78" s="17">
        <v>3733.64423278093</v>
      </c>
      <c r="N78" s="18">
        <v>-1.91943974116713E-2</v>
      </c>
      <c r="O78" s="17">
        <v>15847.8365648815</v>
      </c>
      <c r="P78" s="18">
        <v>-5.4482758916530897E-3</v>
      </c>
      <c r="Q78" s="17">
        <v>2785.6456394379102</v>
      </c>
      <c r="R78" s="18">
        <v>-9.3832561397151307E-2</v>
      </c>
      <c r="S78" s="17">
        <v>642.822055879034</v>
      </c>
      <c r="T78" s="18">
        <v>-6.4607591122542996E-2</v>
      </c>
      <c r="U78" s="17">
        <v>6364.6727368452703</v>
      </c>
      <c r="V78" s="18">
        <v>-9.4878773013121601E-2</v>
      </c>
      <c r="W78" s="17">
        <v>14258.4739866912</v>
      </c>
      <c r="X78" s="18">
        <v>-3.1963563169238401E-2</v>
      </c>
      <c r="Y78" s="17">
        <v>4859.0813680612</v>
      </c>
      <c r="Z78" s="18">
        <v>-3.7547452730106498E-2</v>
      </c>
      <c r="AA78" s="17">
        <v>4244.3807836442102</v>
      </c>
      <c r="AB78" s="18">
        <v>4.0700257652188203E-2</v>
      </c>
      <c r="AC78" s="17">
        <v>2594.3581356257</v>
      </c>
      <c r="AD78" s="18">
        <v>3.6106061992604403E-2</v>
      </c>
      <c r="AE78" s="17">
        <v>4474.5611097751698</v>
      </c>
      <c r="AF78" s="18">
        <v>3.8975041407498501E-3</v>
      </c>
      <c r="AG78" s="17">
        <v>9896.1788576299896</v>
      </c>
      <c r="AH78" s="18">
        <v>8.8796945988870904E-2</v>
      </c>
      <c r="AI78" s="17">
        <v>5641.8142238216196</v>
      </c>
      <c r="AJ78" s="18">
        <v>0.18380602008913099</v>
      </c>
      <c r="AK78" s="17">
        <v>3833.4108963605399</v>
      </c>
      <c r="AL78" s="18">
        <v>-3.6978052573060999E-2</v>
      </c>
      <c r="AM78" s="17">
        <v>16782.979469971699</v>
      </c>
      <c r="AN78" s="18">
        <v>1.5955257880267699E-2</v>
      </c>
      <c r="AO78" s="17">
        <v>7191.9880381650601</v>
      </c>
      <c r="AP78" s="18">
        <v>-3.7400446030758602E-3</v>
      </c>
      <c r="AQ78" s="17">
        <v>4443.68355026269</v>
      </c>
      <c r="AR78" s="18">
        <v>1.7049221808171498E-2</v>
      </c>
      <c r="AS78" s="17">
        <v>5397.0501891411104</v>
      </c>
      <c r="AT78" s="18">
        <v>2.9079760196347702E-2</v>
      </c>
      <c r="AU78" s="17">
        <v>664.44154046010397</v>
      </c>
      <c r="AV78" s="18">
        <v>0.47859535939214798</v>
      </c>
      <c r="AW78" s="17">
        <v>1427.6259875083699</v>
      </c>
      <c r="AX78" s="18">
        <v>-2.9709918722341199E-2</v>
      </c>
      <c r="AY78" s="17">
        <v>377.43558444692297</v>
      </c>
      <c r="AZ78" s="18">
        <v>-2.78854672270283E-2</v>
      </c>
      <c r="BA78" s="17">
        <v>3026.87387414675</v>
      </c>
      <c r="BB78" s="18">
        <v>-7.3034201182067604E-2</v>
      </c>
      <c r="BC78" s="17">
        <v>5464.6890710949301</v>
      </c>
      <c r="BD78" s="18">
        <v>-3.10660942475742E-2</v>
      </c>
      <c r="BE78" s="17">
        <v>-2437.8151969481801</v>
      </c>
      <c r="BF78" s="18">
        <v>2.6646436355289401E-2</v>
      </c>
      <c r="BG78" s="17"/>
      <c r="BH78" s="18"/>
    </row>
    <row r="79" spans="1:60" x14ac:dyDescent="0.2">
      <c r="A79" s="16">
        <v>1996</v>
      </c>
      <c r="B79" s="16">
        <v>4</v>
      </c>
      <c r="C79" s="17">
        <v>108890.348796437</v>
      </c>
      <c r="D79" s="18">
        <v>1.4582142266723599E-3</v>
      </c>
      <c r="E79" s="17">
        <v>105995.388622934</v>
      </c>
      <c r="F79" s="18">
        <v>2.6155811777721599E-3</v>
      </c>
      <c r="G79" s="17">
        <v>1293.9430792712501</v>
      </c>
      <c r="H79" s="18">
        <v>-8.6486038393251405E-2</v>
      </c>
      <c r="I79" s="17">
        <v>133.00054637471001</v>
      </c>
      <c r="J79" s="18">
        <v>-5.2072383566442601E-2</v>
      </c>
      <c r="K79" s="17">
        <v>20477.951446425799</v>
      </c>
      <c r="L79" s="18">
        <v>-8.2244142969034595E-3</v>
      </c>
      <c r="M79" s="17">
        <v>3660.15963548538</v>
      </c>
      <c r="N79" s="18">
        <v>-2.5927261559268399E-2</v>
      </c>
      <c r="O79" s="17">
        <v>16817.791810940402</v>
      </c>
      <c r="P79" s="18">
        <v>-4.2860363912087304E-3</v>
      </c>
      <c r="Q79" s="17">
        <v>2850.2850660159702</v>
      </c>
      <c r="R79" s="18">
        <v>-6.1713466679695801E-2</v>
      </c>
      <c r="S79" s="17">
        <v>621.10200422736796</v>
      </c>
      <c r="T79" s="18">
        <v>-6.04691694976889E-2</v>
      </c>
      <c r="U79" s="17">
        <v>5618.7613197990404</v>
      </c>
      <c r="V79" s="18">
        <v>-0.121990186557069</v>
      </c>
      <c r="W79" s="17">
        <v>17158.624986545499</v>
      </c>
      <c r="X79" s="18">
        <v>7.3322038053047498E-3</v>
      </c>
      <c r="Y79" s="17">
        <v>5689.7954368890096</v>
      </c>
      <c r="Z79" s="18">
        <v>1.1484737915015101E-3</v>
      </c>
      <c r="AA79" s="17">
        <v>4302.4710896473098</v>
      </c>
      <c r="AB79" s="18">
        <v>-1.1291723682651999E-2</v>
      </c>
      <c r="AC79" s="17">
        <v>2193.0065451443502</v>
      </c>
      <c r="AD79" s="18">
        <v>8.94038848262491E-2</v>
      </c>
      <c r="AE79" s="17">
        <v>4934.5090248736096</v>
      </c>
      <c r="AF79" s="18">
        <v>-9.7813754015747493E-3</v>
      </c>
      <c r="AG79" s="17">
        <v>10393.8311206301</v>
      </c>
      <c r="AH79" s="18">
        <v>0.125676640969627</v>
      </c>
      <c r="AI79" s="17">
        <v>6058.9941496711499</v>
      </c>
      <c r="AJ79" s="18">
        <v>0.22815094163316901</v>
      </c>
      <c r="AK79" s="17">
        <v>3877.9637582329901</v>
      </c>
      <c r="AL79" s="18">
        <v>-1.6176057998278901E-2</v>
      </c>
      <c r="AM79" s="17">
        <v>16674.335647153501</v>
      </c>
      <c r="AN79" s="18">
        <v>4.0236608711816703E-3</v>
      </c>
      <c r="AO79" s="17">
        <v>7152.2632443352204</v>
      </c>
      <c r="AP79" s="18">
        <v>-7.3316027574935596E-3</v>
      </c>
      <c r="AQ79" s="17">
        <v>4441.7767698620601</v>
      </c>
      <c r="AR79" s="18">
        <v>1.1060034165572399E-2</v>
      </c>
      <c r="AS79" s="17">
        <v>5422.03790742411</v>
      </c>
      <c r="AT79" s="18">
        <v>2.7292974913378801E-2</v>
      </c>
      <c r="AU79" s="17">
        <v>522.70492631299101</v>
      </c>
      <c r="AV79" s="18">
        <v>0.12741394804485301</v>
      </c>
      <c r="AW79" s="17">
        <v>1429.3028206526801</v>
      </c>
      <c r="AX79" s="18">
        <v>-2.50860846134064E-2</v>
      </c>
      <c r="AY79" s="17">
        <v>375.48107823808903</v>
      </c>
      <c r="AZ79" s="18">
        <v>-3.1197681735734201E-2</v>
      </c>
      <c r="BA79" s="17">
        <v>2894.9601735036999</v>
      </c>
      <c r="BB79" s="18">
        <v>-3.9152037268175503E-2</v>
      </c>
      <c r="BC79" s="17">
        <v>5293.0514086732201</v>
      </c>
      <c r="BD79" s="18">
        <v>-2.1011381588058702E-2</v>
      </c>
      <c r="BE79" s="17">
        <v>-2398.0912351695201</v>
      </c>
      <c r="BF79" s="18">
        <v>1.8217594111884501E-3</v>
      </c>
      <c r="BG79" s="17"/>
      <c r="BH79" s="18"/>
    </row>
    <row r="80" spans="1:60" x14ac:dyDescent="0.2">
      <c r="A80" s="16">
        <v>1997</v>
      </c>
      <c r="B80" s="16">
        <v>1</v>
      </c>
      <c r="C80" s="17">
        <v>105123.232566288</v>
      </c>
      <c r="D80" s="18">
        <v>-4.8036862104884302E-3</v>
      </c>
      <c r="E80" s="17">
        <v>101891.756859671</v>
      </c>
      <c r="F80" s="18">
        <v>-8.9121593385894596E-3</v>
      </c>
      <c r="G80" s="17">
        <v>1324.82598806343</v>
      </c>
      <c r="H80" s="18">
        <v>7.2480800468697204E-3</v>
      </c>
      <c r="I80" s="17">
        <v>125.510687360075</v>
      </c>
      <c r="J80" s="18">
        <v>0.114619437825054</v>
      </c>
      <c r="K80" s="17">
        <v>19513.758823306202</v>
      </c>
      <c r="L80" s="18">
        <v>-1.8145725011246901E-2</v>
      </c>
      <c r="M80" s="17">
        <v>3786.7245370997398</v>
      </c>
      <c r="N80" s="18">
        <v>-2.1355311865026299E-2</v>
      </c>
      <c r="O80" s="17">
        <v>15727.034286206401</v>
      </c>
      <c r="P80" s="18">
        <v>-1.7369779748556999E-2</v>
      </c>
      <c r="Q80" s="17">
        <v>2850.89615166064</v>
      </c>
      <c r="R80" s="18">
        <v>-4.29207374849436E-2</v>
      </c>
      <c r="S80" s="17">
        <v>629.18448927869599</v>
      </c>
      <c r="T80" s="18">
        <v>-2.9152148838336299E-2</v>
      </c>
      <c r="U80" s="17">
        <v>5189.6559898696396</v>
      </c>
      <c r="V80" s="18">
        <v>-0.113006661112865</v>
      </c>
      <c r="W80" s="17">
        <v>14133.179122138799</v>
      </c>
      <c r="X80" s="18">
        <v>-3.3052259929301601E-2</v>
      </c>
      <c r="Y80" s="17">
        <v>4874.2037377648503</v>
      </c>
      <c r="Z80" s="18">
        <v>-1.5957122174836101E-2</v>
      </c>
      <c r="AA80" s="17">
        <v>4028.4368686060702</v>
      </c>
      <c r="AB80" s="18">
        <v>-7.6259168428745902E-2</v>
      </c>
      <c r="AC80" s="17">
        <v>2626.7120767783299</v>
      </c>
      <c r="AD80" s="18">
        <v>0.175485453146947</v>
      </c>
      <c r="AE80" s="17">
        <v>4535.0999142804103</v>
      </c>
      <c r="AF80" s="18">
        <v>-4.2419580087473999E-2</v>
      </c>
      <c r="AG80" s="17">
        <v>11217.4702636029</v>
      </c>
      <c r="AH80" s="18">
        <v>0.120771412859688</v>
      </c>
      <c r="AI80" s="17">
        <v>6731.7148825635604</v>
      </c>
      <c r="AJ80" s="18">
        <v>0.16592152445606101</v>
      </c>
      <c r="AK80" s="17">
        <v>3963.5831422988899</v>
      </c>
      <c r="AL80" s="18">
        <v>2.6239186915058901E-2</v>
      </c>
      <c r="AM80" s="17">
        <v>16525.3010033832</v>
      </c>
      <c r="AN80" s="18">
        <v>-1.2254526785146699E-2</v>
      </c>
      <c r="AO80" s="17">
        <v>7122.3623616681198</v>
      </c>
      <c r="AP80" s="18">
        <v>-1.4984332233829599E-2</v>
      </c>
      <c r="AQ80" s="17">
        <v>4433.4193217316297</v>
      </c>
      <c r="AR80" s="18">
        <v>-5.5093418128981898E-4</v>
      </c>
      <c r="AS80" s="17">
        <v>5414.8754796880203</v>
      </c>
      <c r="AT80" s="18">
        <v>1.1506963064073001E-2</v>
      </c>
      <c r="AU80" s="17">
        <v>439.74053632200901</v>
      </c>
      <c r="AV80" s="18">
        <v>-0.113154300669501</v>
      </c>
      <c r="AW80" s="17">
        <v>1408.03486843822</v>
      </c>
      <c r="AX80" s="18">
        <v>-2.5883342642766899E-2</v>
      </c>
      <c r="AY80" s="17">
        <v>373.29291349427598</v>
      </c>
      <c r="AZ80" s="18">
        <v>-1.7683142453394599E-2</v>
      </c>
      <c r="BA80" s="17">
        <v>3231.4757066175698</v>
      </c>
      <c r="BB80" s="18">
        <v>0.14483716802621499</v>
      </c>
      <c r="BC80" s="17">
        <v>5577.8357369414298</v>
      </c>
      <c r="BD80" s="18">
        <v>6.22466400637227E-2</v>
      </c>
      <c r="BE80" s="17">
        <v>-2346.36003032386</v>
      </c>
      <c r="BF80" s="18">
        <v>-3.37552759223263E-2</v>
      </c>
      <c r="BG80" s="17"/>
      <c r="BH80" s="18"/>
    </row>
    <row r="81" spans="1:60" x14ac:dyDescent="0.2">
      <c r="A81" s="16">
        <v>1997</v>
      </c>
      <c r="B81" s="16">
        <v>2</v>
      </c>
      <c r="C81" s="17">
        <v>107801.777831809</v>
      </c>
      <c r="D81" s="18">
        <v>9.3926881486912101E-3</v>
      </c>
      <c r="E81" s="17">
        <v>104510.601869388</v>
      </c>
      <c r="F81" s="18">
        <v>1.1257395284487199E-2</v>
      </c>
      <c r="G81" s="17">
        <v>1336.28762699606</v>
      </c>
      <c r="H81" s="18">
        <v>4.0937212949936803E-2</v>
      </c>
      <c r="I81" s="17">
        <v>157.65190332802999</v>
      </c>
      <c r="J81" s="18">
        <v>0.14674116998209299</v>
      </c>
      <c r="K81" s="17">
        <v>20486.600682372798</v>
      </c>
      <c r="L81" s="18">
        <v>1.92733400811811E-2</v>
      </c>
      <c r="M81" s="17">
        <v>3881.5698178583798</v>
      </c>
      <c r="N81" s="18">
        <v>5.0049244513727898E-4</v>
      </c>
      <c r="O81" s="17">
        <v>16605.0308645144</v>
      </c>
      <c r="P81" s="18">
        <v>2.37636910430798E-2</v>
      </c>
      <c r="Q81" s="17">
        <v>2844.3894386696502</v>
      </c>
      <c r="R81" s="18">
        <v>3.7347737634552098E-4</v>
      </c>
      <c r="S81" s="17">
        <v>641.06851139278899</v>
      </c>
      <c r="T81" s="18">
        <v>-1.42982829882921E-2</v>
      </c>
      <c r="U81" s="17">
        <v>5675.52670746082</v>
      </c>
      <c r="V81" s="18">
        <v>-0.108821554264295</v>
      </c>
      <c r="W81" s="17">
        <v>15163.902676303</v>
      </c>
      <c r="X81" s="18">
        <v>1.1930491381168201E-2</v>
      </c>
      <c r="Y81" s="17">
        <v>5093.18365380041</v>
      </c>
      <c r="Z81" s="18">
        <v>1.1527236606456E-2</v>
      </c>
      <c r="AA81" s="17">
        <v>4049.6833082765802</v>
      </c>
      <c r="AB81" s="18">
        <v>-5.3894817903707197E-2</v>
      </c>
      <c r="AC81" s="17">
        <v>2658.63612204335</v>
      </c>
      <c r="AD81" s="18">
        <v>0.19184409071454001</v>
      </c>
      <c r="AE81" s="17">
        <v>4164.8876492028303</v>
      </c>
      <c r="AF81" s="18">
        <v>-5.4232762772218501E-2</v>
      </c>
      <c r="AG81" s="17">
        <v>11754.700711379</v>
      </c>
      <c r="AH81" s="18">
        <v>0.18696763487364801</v>
      </c>
      <c r="AI81" s="17">
        <v>7117.1037727145604</v>
      </c>
      <c r="AJ81" s="18">
        <v>0.253760034965482</v>
      </c>
      <c r="AK81" s="17">
        <v>4039.2529502821899</v>
      </c>
      <c r="AL81" s="18">
        <v>5.5255622002647699E-2</v>
      </c>
      <c r="AM81" s="17">
        <v>16437.8350955569</v>
      </c>
      <c r="AN81" s="18">
        <v>-2.0876224898350601E-2</v>
      </c>
      <c r="AO81" s="17">
        <v>7105.3256443444197</v>
      </c>
      <c r="AP81" s="18">
        <v>-1.4616079435681001E-2</v>
      </c>
      <c r="AQ81" s="17">
        <v>4416.0826714093801</v>
      </c>
      <c r="AR81" s="18">
        <v>-2.10134484779234E-3</v>
      </c>
      <c r="AS81" s="17">
        <v>5435.7176363836998</v>
      </c>
      <c r="AT81" s="18">
        <v>1.4269399827542901E-2</v>
      </c>
      <c r="AU81" s="17">
        <v>432.54285781914803</v>
      </c>
      <c r="AV81" s="18">
        <v>-0.23741965239746801</v>
      </c>
      <c r="AW81" s="17">
        <v>1376.1731209677801</v>
      </c>
      <c r="AX81" s="18">
        <v>-3.95484638043931E-2</v>
      </c>
      <c r="AY81" s="17">
        <v>373.58950548143002</v>
      </c>
      <c r="AZ81" s="18">
        <v>-1.10067881047414E-2</v>
      </c>
      <c r="BA81" s="17">
        <v>3291.1759624209499</v>
      </c>
      <c r="BB81" s="18">
        <v>-4.6442144260017797E-2</v>
      </c>
      <c r="BC81" s="17">
        <v>5635.2063260216401</v>
      </c>
      <c r="BD81" s="18">
        <v>-4.3326508730209601E-2</v>
      </c>
      <c r="BE81" s="17">
        <v>-2344.0303636006902</v>
      </c>
      <c r="BF81" s="18">
        <v>-3.8917426777182698E-2</v>
      </c>
      <c r="BG81" s="17"/>
      <c r="BH81" s="18"/>
    </row>
    <row r="82" spans="1:60" x14ac:dyDescent="0.2">
      <c r="A82" s="16">
        <v>1997</v>
      </c>
      <c r="B82" s="16">
        <v>3</v>
      </c>
      <c r="C82" s="17">
        <v>108474.32851150499</v>
      </c>
      <c r="D82" s="18">
        <v>2.7587056310147198E-2</v>
      </c>
      <c r="E82" s="17">
        <v>105041.726545538</v>
      </c>
      <c r="F82" s="18">
        <v>2.4444474813704001E-2</v>
      </c>
      <c r="G82" s="17">
        <v>1352.305656648</v>
      </c>
      <c r="H82" s="18">
        <v>6.4162935989862599E-2</v>
      </c>
      <c r="I82" s="17">
        <v>159.438777031478</v>
      </c>
      <c r="J82" s="18">
        <v>0.165854240888823</v>
      </c>
      <c r="K82" s="17">
        <v>20197.946296419901</v>
      </c>
      <c r="L82" s="18">
        <v>3.1482067425209197E-2</v>
      </c>
      <c r="M82" s="17">
        <v>3792.9984864830399</v>
      </c>
      <c r="N82" s="18">
        <v>1.5897136952948601E-2</v>
      </c>
      <c r="O82" s="17">
        <v>16404.947809936799</v>
      </c>
      <c r="P82" s="18">
        <v>3.5153772742072098E-2</v>
      </c>
      <c r="Q82" s="17">
        <v>2898.2726927775898</v>
      </c>
      <c r="R82" s="18">
        <v>4.04312205921546E-2</v>
      </c>
      <c r="S82" s="17">
        <v>638.945230356926</v>
      </c>
      <c r="T82" s="18">
        <v>-6.0309466463565097E-3</v>
      </c>
      <c r="U82" s="17">
        <v>5650.8685720813201</v>
      </c>
      <c r="V82" s="18">
        <v>-0.11215096113767301</v>
      </c>
      <c r="W82" s="17">
        <v>14488.7285276119</v>
      </c>
      <c r="X82" s="18">
        <v>1.61486103727277E-2</v>
      </c>
      <c r="Y82" s="17">
        <v>4920.58349316163</v>
      </c>
      <c r="Z82" s="18">
        <v>1.26571506920388E-2</v>
      </c>
      <c r="AA82" s="17">
        <v>4210.8600429906501</v>
      </c>
      <c r="AB82" s="18">
        <v>-7.8976751526953493E-3</v>
      </c>
      <c r="AC82" s="17">
        <v>3109.97756921054</v>
      </c>
      <c r="AD82" s="18">
        <v>0.198746436162516</v>
      </c>
      <c r="AE82" s="17">
        <v>4312.4497812874097</v>
      </c>
      <c r="AF82" s="18">
        <v>-3.6229548442998499E-2</v>
      </c>
      <c r="AG82" s="17">
        <v>12269.5455015719</v>
      </c>
      <c r="AH82" s="18">
        <v>0.23982657125402099</v>
      </c>
      <c r="AI82" s="17">
        <v>7494.5793670434896</v>
      </c>
      <c r="AJ82" s="18">
        <v>0.32839882167670198</v>
      </c>
      <c r="AK82" s="17">
        <v>4108.4220583445403</v>
      </c>
      <c r="AL82" s="18">
        <v>7.17405906695507E-2</v>
      </c>
      <c r="AM82" s="17">
        <v>16465.572786840501</v>
      </c>
      <c r="AN82" s="18">
        <v>-1.8912415623168501E-2</v>
      </c>
      <c r="AO82" s="17">
        <v>7113.6421513126697</v>
      </c>
      <c r="AP82" s="18">
        <v>-1.0893495155530701E-2</v>
      </c>
      <c r="AQ82" s="17">
        <v>4448.2583951777096</v>
      </c>
      <c r="AR82" s="18">
        <v>1.0295163603064601E-3</v>
      </c>
      <c r="AS82" s="17">
        <v>5474.0996405280403</v>
      </c>
      <c r="AT82" s="18">
        <v>1.4276215467098801E-2</v>
      </c>
      <c r="AU82" s="17">
        <v>464.680654630871</v>
      </c>
      <c r="AV82" s="18">
        <v>-0.30064478763760799</v>
      </c>
      <c r="AW82" s="17">
        <v>1409.9184550561999</v>
      </c>
      <c r="AX82" s="18">
        <v>-1.24034814489975E-2</v>
      </c>
      <c r="AY82" s="17">
        <v>376.21581400439402</v>
      </c>
      <c r="AZ82" s="18">
        <v>-3.2317314339009901E-3</v>
      </c>
      <c r="BA82" s="17">
        <v>3432.6019659674398</v>
      </c>
      <c r="BB82" s="18">
        <v>0.13404195506331101</v>
      </c>
      <c r="BC82" s="17">
        <v>5834.5271215329903</v>
      </c>
      <c r="BD82" s="18">
        <v>6.7677784705865801E-2</v>
      </c>
      <c r="BE82" s="17">
        <v>-2401.9251555655501</v>
      </c>
      <c r="BF82" s="18">
        <v>-1.4722215788775601E-2</v>
      </c>
      <c r="BG82" s="17"/>
      <c r="BH82" s="18"/>
    </row>
    <row r="83" spans="1:60" x14ac:dyDescent="0.2">
      <c r="A83" s="16">
        <v>1997</v>
      </c>
      <c r="B83" s="16">
        <v>4</v>
      </c>
      <c r="C83" s="17">
        <v>112348.15315963099</v>
      </c>
      <c r="D83" s="18">
        <v>3.1754920444398801E-2</v>
      </c>
      <c r="E83" s="17">
        <v>109200.836110897</v>
      </c>
      <c r="F83" s="18">
        <v>3.0241386249041199E-2</v>
      </c>
      <c r="G83" s="17">
        <v>1380.4344253040599</v>
      </c>
      <c r="H83" s="18">
        <v>6.6843238638847099E-2</v>
      </c>
      <c r="I83" s="17">
        <v>156.77290901610201</v>
      </c>
      <c r="J83" s="18">
        <v>0.178738834458742</v>
      </c>
      <c r="K83" s="17">
        <v>21351.798987277802</v>
      </c>
      <c r="L83" s="18">
        <v>4.2672605369640702E-2</v>
      </c>
      <c r="M83" s="17">
        <v>3865.8762313933398</v>
      </c>
      <c r="N83" s="18">
        <v>5.6204268773834901E-2</v>
      </c>
      <c r="O83" s="17">
        <v>17485.9227558844</v>
      </c>
      <c r="P83" s="18">
        <v>3.9727626103052999E-2</v>
      </c>
      <c r="Q83" s="17">
        <v>2738.9180749621</v>
      </c>
      <c r="R83" s="18">
        <v>-3.9072229083927601E-2</v>
      </c>
      <c r="S83" s="17">
        <v>634.91796238454901</v>
      </c>
      <c r="T83" s="18">
        <v>2.2244265938842E-2</v>
      </c>
      <c r="U83" s="17">
        <v>5206.2678355480102</v>
      </c>
      <c r="V83" s="18">
        <v>-7.3413597904133696E-2</v>
      </c>
      <c r="W83" s="17">
        <v>17821.2895373506</v>
      </c>
      <c r="X83" s="18">
        <v>3.8619909889324303E-2</v>
      </c>
      <c r="Y83" s="17">
        <v>5877.6692618301104</v>
      </c>
      <c r="Z83" s="18">
        <v>3.3019434006896997E-2</v>
      </c>
      <c r="AA83" s="17">
        <v>4326.7096639814999</v>
      </c>
      <c r="AB83" s="18">
        <v>5.6336402567629404E-3</v>
      </c>
      <c r="AC83" s="17">
        <v>2657.1516226567401</v>
      </c>
      <c r="AD83" s="18">
        <v>0.21164783048189501</v>
      </c>
      <c r="AE83" s="17">
        <v>4954.4804039819601</v>
      </c>
      <c r="AF83" s="18">
        <v>4.0472879890733901E-3</v>
      </c>
      <c r="AG83" s="17">
        <v>12163.9863285146</v>
      </c>
      <c r="AH83" s="18">
        <v>0.17030825182169901</v>
      </c>
      <c r="AI83" s="17">
        <v>7290.3938052172898</v>
      </c>
      <c r="AJ83" s="18">
        <v>0.20323499662282599</v>
      </c>
      <c r="AK83" s="17">
        <v>4174.2552010170903</v>
      </c>
      <c r="AL83" s="18">
        <v>7.6403871014799798E-2</v>
      </c>
      <c r="AM83" s="17">
        <v>16479.3441770994</v>
      </c>
      <c r="AN83" s="18">
        <v>-1.16941072904069E-2</v>
      </c>
      <c r="AO83" s="17">
        <v>7118.7443276174699</v>
      </c>
      <c r="AP83" s="18">
        <v>-4.6864769336202299E-3</v>
      </c>
      <c r="AQ83" s="17">
        <v>4463.0620343098899</v>
      </c>
      <c r="AR83" s="18">
        <v>4.7920608240041903E-3</v>
      </c>
      <c r="AS83" s="17">
        <v>5516.8686738699698</v>
      </c>
      <c r="AT83" s="18">
        <v>1.74898752212738E-2</v>
      </c>
      <c r="AU83" s="17">
        <v>448.01168275853598</v>
      </c>
      <c r="AV83" s="18">
        <v>-0.142897531273177</v>
      </c>
      <c r="AW83" s="17">
        <v>1403.87873321352</v>
      </c>
      <c r="AX83" s="18">
        <v>-1.7787754331548701E-2</v>
      </c>
      <c r="AY83" s="17">
        <v>378.19873105019599</v>
      </c>
      <c r="AZ83" s="18">
        <v>7.2377889848942402E-3</v>
      </c>
      <c r="BA83" s="17">
        <v>3147.3170487340499</v>
      </c>
      <c r="BB83" s="18">
        <v>8.7171104300523605E-2</v>
      </c>
      <c r="BC83" s="17">
        <v>5636.6808309839398</v>
      </c>
      <c r="BD83" s="18">
        <v>6.4920854867883904E-2</v>
      </c>
      <c r="BE83" s="17">
        <v>-2489.3637822498899</v>
      </c>
      <c r="BF83" s="18">
        <v>3.8060498175298801E-2</v>
      </c>
      <c r="BG83" s="17"/>
      <c r="BH83" s="18"/>
    </row>
    <row r="84" spans="1:60" x14ac:dyDescent="0.2">
      <c r="A84" s="16">
        <v>1998</v>
      </c>
      <c r="B84" s="16">
        <v>1</v>
      </c>
      <c r="C84" s="17">
        <v>109152.280583389</v>
      </c>
      <c r="D84" s="18">
        <v>3.8326903756118899E-2</v>
      </c>
      <c r="E84" s="17">
        <v>105718.156157625</v>
      </c>
      <c r="F84" s="18">
        <v>3.7553570729224703E-2</v>
      </c>
      <c r="G84" s="17">
        <v>1335.1300569821501</v>
      </c>
      <c r="H84" s="18">
        <v>7.77767722822564E-3</v>
      </c>
      <c r="I84" s="17">
        <v>143.36261556488</v>
      </c>
      <c r="J84" s="18">
        <v>0.142234327452849</v>
      </c>
      <c r="K84" s="17">
        <v>20315.471459403299</v>
      </c>
      <c r="L84" s="18">
        <v>4.1084480102297101E-2</v>
      </c>
      <c r="M84" s="17">
        <v>4123.2400285380199</v>
      </c>
      <c r="N84" s="18">
        <v>8.88671695396199E-2</v>
      </c>
      <c r="O84" s="17">
        <v>16192.2314308653</v>
      </c>
      <c r="P84" s="18">
        <v>2.9579457651903101E-2</v>
      </c>
      <c r="Q84" s="17">
        <v>2715.7995300309999</v>
      </c>
      <c r="R84" s="18">
        <v>-4.7387422916454897E-2</v>
      </c>
      <c r="S84" s="17">
        <v>648.87546117453098</v>
      </c>
      <c r="T84" s="18">
        <v>3.12960224407468E-2</v>
      </c>
      <c r="U84" s="17">
        <v>5015.5501754810202</v>
      </c>
      <c r="V84" s="18">
        <v>-3.3548623401720497E-2</v>
      </c>
      <c r="W84" s="17">
        <v>14490.7328794926</v>
      </c>
      <c r="X84" s="18">
        <v>2.5298890947592401E-2</v>
      </c>
      <c r="Y84" s="17">
        <v>4944.9444094167402</v>
      </c>
      <c r="Z84" s="18">
        <v>1.4513277543938699E-2</v>
      </c>
      <c r="AA84" s="17">
        <v>4448.9908270617098</v>
      </c>
      <c r="AB84" s="18">
        <v>0.104396313551057</v>
      </c>
      <c r="AC84" s="17">
        <v>2871.5762125650499</v>
      </c>
      <c r="AD84" s="18">
        <v>9.3220775109486204E-2</v>
      </c>
      <c r="AE84" s="17">
        <v>4771.7791244242399</v>
      </c>
      <c r="AF84" s="18">
        <v>5.21883121909981E-2</v>
      </c>
      <c r="AG84" s="17">
        <v>12734.7232263685</v>
      </c>
      <c r="AH84" s="18">
        <v>0.13525803297099501</v>
      </c>
      <c r="AI84" s="17">
        <v>7707.6503574600902</v>
      </c>
      <c r="AJ84" s="18">
        <v>0.144975759063176</v>
      </c>
      <c r="AK84" s="17">
        <v>4239.9430957817704</v>
      </c>
      <c r="AL84" s="18">
        <v>6.97247776976333E-2</v>
      </c>
      <c r="AM84" s="17">
        <v>16635.1193610556</v>
      </c>
      <c r="AN84" s="18">
        <v>6.6454679191525496E-3</v>
      </c>
      <c r="AO84" s="17">
        <v>7122.0320756709598</v>
      </c>
      <c r="AP84" s="18">
        <v>-4.6373096507679199E-5</v>
      </c>
      <c r="AQ84" s="17">
        <v>4441.8284067405602</v>
      </c>
      <c r="AR84" s="18">
        <v>1.89674930312012E-3</v>
      </c>
      <c r="AS84" s="17">
        <v>5663.0530686764896</v>
      </c>
      <c r="AT84" s="18">
        <v>4.58325569848144E-2</v>
      </c>
      <c r="AU84" s="17">
        <v>581.87673340450203</v>
      </c>
      <c r="AV84" s="18">
        <v>0.32322741558310802</v>
      </c>
      <c r="AW84" s="17">
        <v>1403.3315417384599</v>
      </c>
      <c r="AX84" s="18">
        <v>-3.3403481726136399E-3</v>
      </c>
      <c r="AY84" s="17">
        <v>378.92340178976502</v>
      </c>
      <c r="AZ84" s="18">
        <v>1.50832981070665E-2</v>
      </c>
      <c r="BA84" s="17">
        <v>3434.1244257632002</v>
      </c>
      <c r="BB84" s="18">
        <v>6.2710890485929899E-2</v>
      </c>
      <c r="BC84" s="17">
        <v>6067.4584005991401</v>
      </c>
      <c r="BD84" s="18">
        <v>8.7780043505940597E-2</v>
      </c>
      <c r="BE84" s="17">
        <v>-2633.3339748359299</v>
      </c>
      <c r="BF84" s="18">
        <v>0.122306014764691</v>
      </c>
      <c r="BG84" s="17"/>
      <c r="BH84" s="18"/>
    </row>
    <row r="85" spans="1:60" x14ac:dyDescent="0.2">
      <c r="A85" s="16">
        <v>1998</v>
      </c>
      <c r="B85" s="16">
        <v>2</v>
      </c>
      <c r="C85" s="17">
        <v>111610.928783956</v>
      </c>
      <c r="D85" s="18">
        <v>3.5334769321615299E-2</v>
      </c>
      <c r="E85" s="17">
        <v>108082.404679934</v>
      </c>
      <c r="F85" s="18">
        <v>3.41764638865047E-2</v>
      </c>
      <c r="G85" s="17">
        <v>1307.51198143941</v>
      </c>
      <c r="H85" s="18">
        <v>-2.1534020801600301E-2</v>
      </c>
      <c r="I85" s="17">
        <v>163.95135825462</v>
      </c>
      <c r="J85" s="18">
        <v>3.9958001099945198E-2</v>
      </c>
      <c r="K85" s="17">
        <v>20917.3874277984</v>
      </c>
      <c r="L85" s="18">
        <v>2.10277318382164E-2</v>
      </c>
      <c r="M85" s="17">
        <v>4169.1523190642101</v>
      </c>
      <c r="N85" s="18">
        <v>7.4089225416665003E-2</v>
      </c>
      <c r="O85" s="17">
        <v>16748.235108734199</v>
      </c>
      <c r="P85" s="18">
        <v>8.6241480300861505E-3</v>
      </c>
      <c r="Q85" s="17">
        <v>2751.6403707875502</v>
      </c>
      <c r="R85" s="18">
        <v>-3.2607724744428301E-2</v>
      </c>
      <c r="S85" s="17">
        <v>642.21004248489703</v>
      </c>
      <c r="T85" s="18">
        <v>1.78066941648281E-3</v>
      </c>
      <c r="U85" s="17">
        <v>5661.0922583328102</v>
      </c>
      <c r="V85" s="18">
        <v>-2.54327921830322E-3</v>
      </c>
      <c r="W85" s="17">
        <v>15450.242586022499</v>
      </c>
      <c r="X85" s="18">
        <v>1.88829957453427E-2</v>
      </c>
      <c r="Y85" s="17">
        <v>5207.8254531100702</v>
      </c>
      <c r="Z85" s="18">
        <v>2.2508868146569699E-2</v>
      </c>
      <c r="AA85" s="17">
        <v>4414.09235490427</v>
      </c>
      <c r="AB85" s="18">
        <v>8.9984578765189602E-2</v>
      </c>
      <c r="AC85" s="17">
        <v>2820.4636256325298</v>
      </c>
      <c r="AD85" s="18">
        <v>6.0868616900008998E-2</v>
      </c>
      <c r="AE85" s="17">
        <v>4568.58278202577</v>
      </c>
      <c r="AF85" s="18">
        <v>9.6928216755190796E-2</v>
      </c>
      <c r="AG85" s="17">
        <v>12795.8089724027</v>
      </c>
      <c r="AH85" s="18">
        <v>8.8569525212656403E-2</v>
      </c>
      <c r="AI85" s="17">
        <v>7671.2517064397698</v>
      </c>
      <c r="AJ85" s="18">
        <v>7.7861437941890696E-2</v>
      </c>
      <c r="AK85" s="17">
        <v>4271.4761428377897</v>
      </c>
      <c r="AL85" s="18">
        <v>5.7491619221169001E-2</v>
      </c>
      <c r="AM85" s="17">
        <v>16734.0851468451</v>
      </c>
      <c r="AN85" s="18">
        <v>1.8022449402006899E-2</v>
      </c>
      <c r="AO85" s="17">
        <v>7120.6116025879401</v>
      </c>
      <c r="AP85" s="18">
        <v>2.1513381664199898E-3</v>
      </c>
      <c r="AQ85" s="17">
        <v>4416.7746555495996</v>
      </c>
      <c r="AR85" s="18">
        <v>1.56696373622145E-4</v>
      </c>
      <c r="AS85" s="17">
        <v>5783.8664221355602</v>
      </c>
      <c r="AT85" s="18">
        <v>6.40483573726396E-2</v>
      </c>
      <c r="AU85" s="17">
        <v>758.23802514479405</v>
      </c>
      <c r="AV85" s="18">
        <v>0.75297779500459106</v>
      </c>
      <c r="AW85" s="17">
        <v>1394.47322630145</v>
      </c>
      <c r="AX85" s="18">
        <v>1.3297822094357399E-2</v>
      </c>
      <c r="AY85" s="17">
        <v>381.37184128384501</v>
      </c>
      <c r="AZ85" s="18">
        <v>2.08312484377353E-2</v>
      </c>
      <c r="BA85" s="17">
        <v>3528.5241040219498</v>
      </c>
      <c r="BB85" s="18">
        <v>7.2116515285438207E-2</v>
      </c>
      <c r="BC85" s="17">
        <v>6223.3633587568702</v>
      </c>
      <c r="BD85" s="18">
        <v>0.10437187189035101</v>
      </c>
      <c r="BE85" s="17">
        <v>-2694.8392547349199</v>
      </c>
      <c r="BF85" s="18">
        <v>0.149660557551544</v>
      </c>
      <c r="BG85" s="17"/>
      <c r="BH85" s="18"/>
    </row>
    <row r="86" spans="1:60" x14ac:dyDescent="0.2">
      <c r="A86" s="16">
        <v>1998</v>
      </c>
      <c r="B86" s="16">
        <v>3</v>
      </c>
      <c r="C86" s="17">
        <v>110834.936418433</v>
      </c>
      <c r="D86" s="18">
        <v>2.1761903846931399E-2</v>
      </c>
      <c r="E86" s="17">
        <v>107009.426134173</v>
      </c>
      <c r="F86" s="18">
        <v>1.8732551847213199E-2</v>
      </c>
      <c r="G86" s="17">
        <v>1302.94802658664</v>
      </c>
      <c r="H86" s="18">
        <v>-3.6498871256442501E-2</v>
      </c>
      <c r="I86" s="17">
        <v>164.20841677071701</v>
      </c>
      <c r="J86" s="18">
        <v>2.9915180159072699E-2</v>
      </c>
      <c r="K86" s="17">
        <v>20354.991146313201</v>
      </c>
      <c r="L86" s="18">
        <v>7.7752880212946804E-3</v>
      </c>
      <c r="M86" s="17">
        <v>3959.51767038458</v>
      </c>
      <c r="N86" s="18">
        <v>4.3901726956907999E-2</v>
      </c>
      <c r="O86" s="17">
        <v>16395.4734759286</v>
      </c>
      <c r="P86" s="18">
        <v>-5.7752905513641704E-4</v>
      </c>
      <c r="Q86" s="17">
        <v>2741.50709320019</v>
      </c>
      <c r="R86" s="18">
        <v>-5.4089320155435001E-2</v>
      </c>
      <c r="S86" s="17">
        <v>624.90992822783096</v>
      </c>
      <c r="T86" s="18">
        <v>-2.1966361844902901E-2</v>
      </c>
      <c r="U86" s="17">
        <v>5856.3308609421802</v>
      </c>
      <c r="V86" s="18">
        <v>3.6359417360362502E-2</v>
      </c>
      <c r="W86" s="17">
        <v>14683.4904729844</v>
      </c>
      <c r="X86" s="18">
        <v>1.34423075842272E-2</v>
      </c>
      <c r="Y86" s="17">
        <v>5014.4808750737302</v>
      </c>
      <c r="Z86" s="18">
        <v>1.90825706021647E-2</v>
      </c>
      <c r="AA86" s="17">
        <v>4359.2122528152704</v>
      </c>
      <c r="AB86" s="18">
        <v>3.5230857428180801E-2</v>
      </c>
      <c r="AC86" s="17">
        <v>3134.2511497499499</v>
      </c>
      <c r="AD86" s="18">
        <v>7.8050661135709003E-3</v>
      </c>
      <c r="AE86" s="17">
        <v>4734.7562275615301</v>
      </c>
      <c r="AF86" s="18">
        <v>9.79272728245075E-2</v>
      </c>
      <c r="AG86" s="17">
        <v>12349.831762993699</v>
      </c>
      <c r="AH86" s="18">
        <v>6.54353997150836E-3</v>
      </c>
      <c r="AI86" s="17">
        <v>7225.2548788779804</v>
      </c>
      <c r="AJ86" s="18">
        <v>-3.5935904468479801E-2</v>
      </c>
      <c r="AK86" s="17">
        <v>4269.1115373111397</v>
      </c>
      <c r="AL86" s="18">
        <v>3.9112213079527197E-2</v>
      </c>
      <c r="AM86" s="17">
        <v>16814.284258120999</v>
      </c>
      <c r="AN86" s="18">
        <v>2.1178216864657502E-2</v>
      </c>
      <c r="AO86" s="17">
        <v>7147.8051523037302</v>
      </c>
      <c r="AP86" s="18">
        <v>4.8024626856941798E-3</v>
      </c>
      <c r="AQ86" s="17">
        <v>4449.9652444630501</v>
      </c>
      <c r="AR86" s="18">
        <v>3.8371181116336701E-4</v>
      </c>
      <c r="AS86" s="17">
        <v>5850.4487790789999</v>
      </c>
      <c r="AT86" s="18">
        <v>6.8750874712733001E-2</v>
      </c>
      <c r="AU86" s="17">
        <v>650.02913355758596</v>
      </c>
      <c r="AV86" s="18">
        <v>0.39887281099307098</v>
      </c>
      <c r="AW86" s="17">
        <v>1406.2074175329799</v>
      </c>
      <c r="AX86" s="18">
        <v>-2.6320937284847199E-3</v>
      </c>
      <c r="AY86" s="17">
        <v>384.24881097012201</v>
      </c>
      <c r="AZ86" s="18">
        <v>2.1352098095574999E-2</v>
      </c>
      <c r="BA86" s="17">
        <v>3825.51028426018</v>
      </c>
      <c r="BB86" s="18">
        <v>0.114463699021393</v>
      </c>
      <c r="BC86" s="17">
        <v>6507.3947304692601</v>
      </c>
      <c r="BD86" s="18">
        <v>0.115325131740835</v>
      </c>
      <c r="BE86" s="17">
        <v>-2681.8844462090801</v>
      </c>
      <c r="BF86" s="18">
        <v>0.116556209087044</v>
      </c>
      <c r="BG86" s="17"/>
      <c r="BH86" s="18"/>
    </row>
    <row r="87" spans="1:60" x14ac:dyDescent="0.2">
      <c r="A87" s="16">
        <v>1998</v>
      </c>
      <c r="B87" s="16">
        <v>4</v>
      </c>
      <c r="C87" s="17">
        <v>113356.69703215999</v>
      </c>
      <c r="D87" s="18">
        <v>8.9769510594048807E-3</v>
      </c>
      <c r="E87" s="17">
        <v>109867.16624115501</v>
      </c>
      <c r="F87" s="18">
        <v>6.1018775495564901E-3</v>
      </c>
      <c r="G87" s="17">
        <v>1257.5155802905899</v>
      </c>
      <c r="H87" s="18">
        <v>-8.9043595813252802E-2</v>
      </c>
      <c r="I87" s="17">
        <v>149.76455033452899</v>
      </c>
      <c r="J87" s="18">
        <v>-4.4703888736624897E-2</v>
      </c>
      <c r="K87" s="17">
        <v>20913.802883815199</v>
      </c>
      <c r="L87" s="18">
        <v>-2.0513311488347102E-2</v>
      </c>
      <c r="M87" s="17">
        <v>3799.0482264878901</v>
      </c>
      <c r="N87" s="18">
        <v>-1.7286638501970399E-2</v>
      </c>
      <c r="O87" s="17">
        <v>17114.754657327299</v>
      </c>
      <c r="P87" s="18">
        <v>-2.1226680669868499E-2</v>
      </c>
      <c r="Q87" s="17">
        <v>2778.78783023704</v>
      </c>
      <c r="R87" s="18">
        <v>1.4556753500373399E-2</v>
      </c>
      <c r="S87" s="17">
        <v>592.50342211087104</v>
      </c>
      <c r="T87" s="18">
        <v>-6.6803182121958696E-2</v>
      </c>
      <c r="U87" s="17">
        <v>5274.5604842121902</v>
      </c>
      <c r="V87" s="18">
        <v>1.31173905802304E-2</v>
      </c>
      <c r="W87" s="17">
        <v>17812.414627571601</v>
      </c>
      <c r="X87" s="18">
        <v>-4.97994814597003E-4</v>
      </c>
      <c r="Y87" s="17">
        <v>5923.4429144122596</v>
      </c>
      <c r="Z87" s="18">
        <v>7.7877217215014402E-3</v>
      </c>
      <c r="AA87" s="17">
        <v>4267.2526864138499</v>
      </c>
      <c r="AB87" s="18">
        <v>-1.3741845925695601E-2</v>
      </c>
      <c r="AC87" s="17">
        <v>2647.19315703456</v>
      </c>
      <c r="AD87" s="18">
        <v>-3.7477972793379401E-3</v>
      </c>
      <c r="AE87" s="17">
        <v>5317.1230696010598</v>
      </c>
      <c r="AF87" s="18">
        <v>7.3194893520548199E-2</v>
      </c>
      <c r="AG87" s="17">
        <v>12219.8938571122</v>
      </c>
      <c r="AH87" s="18">
        <v>4.5961518771660001E-3</v>
      </c>
      <c r="AI87" s="17">
        <v>7182.24797279227</v>
      </c>
      <c r="AJ87" s="18">
        <v>-1.48340179302285E-2</v>
      </c>
      <c r="AK87" s="17">
        <v>4230.8565487988699</v>
      </c>
      <c r="AL87" s="18">
        <v>1.3559628018907199E-2</v>
      </c>
      <c r="AM87" s="17">
        <v>16909.586766932702</v>
      </c>
      <c r="AN87" s="18">
        <v>2.6107992236197301E-2</v>
      </c>
      <c r="AO87" s="17">
        <v>7120.6960285645901</v>
      </c>
      <c r="AP87" s="18">
        <v>2.7416365264798498E-4</v>
      </c>
      <c r="AQ87" s="17">
        <v>4439.40469881229</v>
      </c>
      <c r="AR87" s="18">
        <v>-5.30069609513151E-3</v>
      </c>
      <c r="AS87" s="17">
        <v>5886.8281098135403</v>
      </c>
      <c r="AT87" s="18">
        <v>6.7059677837872297E-2</v>
      </c>
      <c r="AU87" s="17">
        <v>526.08004218327198</v>
      </c>
      <c r="AV87" s="18">
        <v>0.17425518670416501</v>
      </c>
      <c r="AW87" s="17">
        <v>1368.58920112176</v>
      </c>
      <c r="AX87" s="18">
        <v>-2.51371655235384E-2</v>
      </c>
      <c r="AY87" s="17">
        <v>385.16924499303798</v>
      </c>
      <c r="AZ87" s="18">
        <v>1.8430823190456601E-2</v>
      </c>
      <c r="BA87" s="17">
        <v>3489.5307910046699</v>
      </c>
      <c r="BB87" s="18">
        <v>0.108731893537154</v>
      </c>
      <c r="BC87" s="17">
        <v>6068.6237546447401</v>
      </c>
      <c r="BD87" s="18">
        <v>7.6630722336888696E-2</v>
      </c>
      <c r="BE87" s="17">
        <v>-2579.0929636400601</v>
      </c>
      <c r="BF87" s="18">
        <v>3.6045025652729198E-2</v>
      </c>
      <c r="BG87" s="17"/>
      <c r="BH87" s="18"/>
    </row>
    <row r="88" spans="1:60" x14ac:dyDescent="0.2">
      <c r="A88" s="16">
        <v>1999</v>
      </c>
      <c r="B88" s="16">
        <v>1</v>
      </c>
      <c r="C88" s="17">
        <v>109865.535989258</v>
      </c>
      <c r="D88" s="18">
        <v>6.53449842786347E-3</v>
      </c>
      <c r="E88" s="17">
        <v>105672.789738233</v>
      </c>
      <c r="F88" s="18">
        <v>-4.2912609377077098E-4</v>
      </c>
      <c r="G88" s="17">
        <v>1207.89759254567</v>
      </c>
      <c r="H88" s="18">
        <v>-9.5295932985039605E-2</v>
      </c>
      <c r="I88" s="17">
        <v>131.76220076795201</v>
      </c>
      <c r="J88" s="18">
        <v>-8.09165956635199E-2</v>
      </c>
      <c r="K88" s="17">
        <v>20092.342325630201</v>
      </c>
      <c r="L88" s="18">
        <v>-1.09832121897356E-2</v>
      </c>
      <c r="M88" s="17">
        <v>3892.4703893149199</v>
      </c>
      <c r="N88" s="18">
        <v>-5.59680342705942E-2</v>
      </c>
      <c r="O88" s="17">
        <v>16199.871936315199</v>
      </c>
      <c r="P88" s="18">
        <v>4.7186241640484499E-4</v>
      </c>
      <c r="Q88" s="17">
        <v>2727.95442096745</v>
      </c>
      <c r="R88" s="18">
        <v>4.47562156265269E-3</v>
      </c>
      <c r="S88" s="17">
        <v>623.19415660735797</v>
      </c>
      <c r="T88" s="18">
        <v>-3.9578171935624303E-2</v>
      </c>
      <c r="U88" s="17">
        <v>4966.0717330343195</v>
      </c>
      <c r="V88" s="18">
        <v>-9.8650079683342308E-3</v>
      </c>
      <c r="W88" s="17">
        <v>14899.787370505701</v>
      </c>
      <c r="X88" s="18">
        <v>2.8228695844082899E-2</v>
      </c>
      <c r="Y88" s="17">
        <v>5045.5741462469896</v>
      </c>
      <c r="Z88" s="18">
        <v>2.03500238826992E-2</v>
      </c>
      <c r="AA88" s="17">
        <v>3909.1228382600002</v>
      </c>
      <c r="AB88" s="18">
        <v>-0.121346168105781</v>
      </c>
      <c r="AC88" s="17">
        <v>2888.3768659192901</v>
      </c>
      <c r="AD88" s="18">
        <v>5.8506729790857E-3</v>
      </c>
      <c r="AE88" s="17">
        <v>4992.9360885428896</v>
      </c>
      <c r="AF88" s="18">
        <v>4.6346856874968499E-2</v>
      </c>
      <c r="AG88" s="17">
        <v>12489.0017021605</v>
      </c>
      <c r="AH88" s="18">
        <v>-1.92953957333931E-2</v>
      </c>
      <c r="AI88" s="17">
        <v>7493.7870084387796</v>
      </c>
      <c r="AJ88" s="18">
        <v>-2.7746892905477299E-2</v>
      </c>
      <c r="AK88" s="17">
        <v>4152.3223939377303</v>
      </c>
      <c r="AL88" s="18">
        <v>-2.06655372170453E-2</v>
      </c>
      <c r="AM88" s="17">
        <v>17068.662908234</v>
      </c>
      <c r="AN88" s="18">
        <v>2.6061943877204299E-2</v>
      </c>
      <c r="AO88" s="17">
        <v>7120.5145702270502</v>
      </c>
      <c r="AP88" s="18">
        <v>-2.13071975496026E-4</v>
      </c>
      <c r="AQ88" s="17">
        <v>4452.8127031242302</v>
      </c>
      <c r="AR88" s="18">
        <v>2.4729222693511401E-3</v>
      </c>
      <c r="AS88" s="17">
        <v>5872.2095254112201</v>
      </c>
      <c r="AT88" s="18">
        <v>3.69335152254908E-2</v>
      </c>
      <c r="AU88" s="17">
        <v>496.63880199641699</v>
      </c>
      <c r="AV88" s="18">
        <v>-0.14648795271357001</v>
      </c>
      <c r="AW88" s="17">
        <v>1346.36892125946</v>
      </c>
      <c r="AX88" s="18">
        <v>-4.05909927802445E-2</v>
      </c>
      <c r="AY88" s="17">
        <v>387.13501303913603</v>
      </c>
      <c r="AZ88" s="18">
        <v>2.1670900267929599E-2</v>
      </c>
      <c r="BA88" s="17">
        <v>4192.74625102563</v>
      </c>
      <c r="BB88" s="18">
        <v>0.220906912857077</v>
      </c>
      <c r="BC88" s="17">
        <v>6581.3356952634003</v>
      </c>
      <c r="BD88" s="18">
        <v>8.4693995530899596E-2</v>
      </c>
      <c r="BE88" s="17">
        <v>-2388.5894442377598</v>
      </c>
      <c r="BF88" s="18">
        <v>-9.2940938345436597E-2</v>
      </c>
      <c r="BG88" s="17"/>
      <c r="BH88" s="18"/>
    </row>
    <row r="89" spans="1:60" x14ac:dyDescent="0.2">
      <c r="A89" s="16">
        <v>1999</v>
      </c>
      <c r="B89" s="16">
        <v>2</v>
      </c>
      <c r="C89" s="17">
        <v>111559.731776054</v>
      </c>
      <c r="D89" s="18">
        <v>-4.58709630490661E-4</v>
      </c>
      <c r="E89" s="17">
        <v>107543.763800738</v>
      </c>
      <c r="F89" s="18">
        <v>-4.9836130200008296E-3</v>
      </c>
      <c r="G89" s="17">
        <v>1180.8494014052501</v>
      </c>
      <c r="H89" s="18">
        <v>-9.6872978475283505E-2</v>
      </c>
      <c r="I89" s="17">
        <v>156.94251980662901</v>
      </c>
      <c r="J89" s="18">
        <v>-4.2749499135631301E-2</v>
      </c>
      <c r="K89" s="17">
        <v>20642.5093011114</v>
      </c>
      <c r="L89" s="18">
        <v>-1.31411309197063E-2</v>
      </c>
      <c r="M89" s="17">
        <v>3947.7883872391699</v>
      </c>
      <c r="N89" s="18">
        <v>-5.3095669067500503E-2</v>
      </c>
      <c r="O89" s="17">
        <v>16694.720913872301</v>
      </c>
      <c r="P89" s="18">
        <v>-3.1952139741559002E-3</v>
      </c>
      <c r="Q89" s="17">
        <v>2857.7117389241898</v>
      </c>
      <c r="R89" s="18">
        <v>3.85484125261202E-2</v>
      </c>
      <c r="S89" s="17">
        <v>644.18117007403396</v>
      </c>
      <c r="T89" s="18">
        <v>3.0692880190881199E-3</v>
      </c>
      <c r="U89" s="17">
        <v>5501.9607550415203</v>
      </c>
      <c r="V89" s="18">
        <v>-2.81096820241813E-2</v>
      </c>
      <c r="W89" s="17">
        <v>15584.270802781601</v>
      </c>
      <c r="X89" s="18">
        <v>8.6748292794032195E-3</v>
      </c>
      <c r="Y89" s="17">
        <v>5167.2583660892897</v>
      </c>
      <c r="Z89" s="18">
        <v>-7.7896402992072601E-3</v>
      </c>
      <c r="AA89" s="17">
        <v>3777.3154482612699</v>
      </c>
      <c r="AB89" s="18">
        <v>-0.14425998720563901</v>
      </c>
      <c r="AC89" s="17">
        <v>2833.4536799641701</v>
      </c>
      <c r="AD89" s="18">
        <v>4.6056450484173199E-3</v>
      </c>
      <c r="AE89" s="17">
        <v>4720.3939209610899</v>
      </c>
      <c r="AF89" s="18">
        <v>3.3229372472484801E-2</v>
      </c>
      <c r="AG89" s="17">
        <v>12696.176229565801</v>
      </c>
      <c r="AH89" s="18">
        <v>-7.7863574746861496E-3</v>
      </c>
      <c r="AI89" s="17">
        <v>7700.9515954545004</v>
      </c>
      <c r="AJ89" s="18">
        <v>3.8715831719875501E-3</v>
      </c>
      <c r="AK89" s="17">
        <v>4138.2508002765298</v>
      </c>
      <c r="AL89" s="18">
        <v>-3.1189532167855801E-2</v>
      </c>
      <c r="AM89" s="17">
        <v>17149.389161090199</v>
      </c>
      <c r="AN89" s="18">
        <v>2.4817849951207501E-2</v>
      </c>
      <c r="AO89" s="17">
        <v>7141.78948369931</v>
      </c>
      <c r="AP89" s="18">
        <v>2.9741660258040298E-3</v>
      </c>
      <c r="AQ89" s="17">
        <v>4470.30304863932</v>
      </c>
      <c r="AR89" s="18">
        <v>1.21193398496038E-2</v>
      </c>
      <c r="AS89" s="17">
        <v>5939.0619248611902</v>
      </c>
      <c r="AT89" s="18">
        <v>2.6832483912782298E-2</v>
      </c>
      <c r="AU89" s="17">
        <v>504.19180076159699</v>
      </c>
      <c r="AV89" s="18">
        <v>-0.33504811940113999</v>
      </c>
      <c r="AW89" s="17">
        <v>1351.2830854302899</v>
      </c>
      <c r="AX89" s="18">
        <v>-3.0972370108320699E-2</v>
      </c>
      <c r="AY89" s="17">
        <v>391.98032835886403</v>
      </c>
      <c r="AZ89" s="18">
        <v>2.7816650121065E-2</v>
      </c>
      <c r="BA89" s="17">
        <v>4015.9679753166502</v>
      </c>
      <c r="BB89" s="18">
        <v>0.13814384057603399</v>
      </c>
      <c r="BC89" s="17">
        <v>6267.6339012920698</v>
      </c>
      <c r="BD89" s="18">
        <v>7.11360400849936E-3</v>
      </c>
      <c r="BE89" s="17">
        <v>-2251.6659259754201</v>
      </c>
      <c r="BF89" s="18">
        <v>-0.16445260249969601</v>
      </c>
      <c r="BG89" s="17"/>
      <c r="BH89" s="18"/>
    </row>
    <row r="90" spans="1:60" x14ac:dyDescent="0.2">
      <c r="A90" s="16">
        <v>1999</v>
      </c>
      <c r="B90" s="16">
        <v>3</v>
      </c>
      <c r="C90" s="17">
        <v>112723.231056373</v>
      </c>
      <c r="D90" s="18">
        <v>1.70369984317102E-2</v>
      </c>
      <c r="E90" s="17">
        <v>107735.287645138</v>
      </c>
      <c r="F90" s="18">
        <v>6.7831548788483999E-3</v>
      </c>
      <c r="G90" s="17">
        <v>1256.85696876099</v>
      </c>
      <c r="H90" s="18">
        <v>-3.53744407951576E-2</v>
      </c>
      <c r="I90" s="17">
        <v>155.82620385884999</v>
      </c>
      <c r="J90" s="18">
        <v>-5.1046183117224198E-2</v>
      </c>
      <c r="K90" s="17">
        <v>20318.111848607201</v>
      </c>
      <c r="L90" s="18">
        <v>-1.8118061285752299E-3</v>
      </c>
      <c r="M90" s="17">
        <v>3982.40197850914</v>
      </c>
      <c r="N90" s="18">
        <v>5.7795696419595801E-3</v>
      </c>
      <c r="O90" s="17">
        <v>16335.709870098</v>
      </c>
      <c r="P90" s="18">
        <v>-3.6451283897527302E-3</v>
      </c>
      <c r="Q90" s="17">
        <v>2831.4951619561698</v>
      </c>
      <c r="R90" s="18">
        <v>3.28243063748321E-2</v>
      </c>
      <c r="S90" s="17">
        <v>652.58319698619903</v>
      </c>
      <c r="T90" s="18">
        <v>4.4283611938836599E-2</v>
      </c>
      <c r="U90" s="17">
        <v>5608.1312515202699</v>
      </c>
      <c r="V90" s="18">
        <v>-4.2381418556324997E-2</v>
      </c>
      <c r="W90" s="17">
        <v>15310.185788778899</v>
      </c>
      <c r="X90" s="18">
        <v>4.2680268492529101E-2</v>
      </c>
      <c r="Y90" s="17">
        <v>5097.4412722169</v>
      </c>
      <c r="Z90" s="18">
        <v>1.6544164632384499E-2</v>
      </c>
      <c r="AA90" s="17">
        <v>3909.1721435208901</v>
      </c>
      <c r="AB90" s="18">
        <v>-0.103238861334119</v>
      </c>
      <c r="AC90" s="17">
        <v>3151.5933702688599</v>
      </c>
      <c r="AD90" s="18">
        <v>5.5331304641286199E-3</v>
      </c>
      <c r="AE90" s="17">
        <v>4889.3189612853503</v>
      </c>
      <c r="AF90" s="18">
        <v>3.2644285427853699E-2</v>
      </c>
      <c r="AG90" s="17">
        <v>12380.3446109623</v>
      </c>
      <c r="AH90" s="18">
        <v>2.4707096059450899E-3</v>
      </c>
      <c r="AI90" s="17">
        <v>7318.98937809975</v>
      </c>
      <c r="AJ90" s="18">
        <v>1.29731754509854E-2</v>
      </c>
      <c r="AK90" s="17">
        <v>4185.8863118225599</v>
      </c>
      <c r="AL90" s="18">
        <v>-1.9494741414273799E-2</v>
      </c>
      <c r="AM90" s="17">
        <v>17330.8196194829</v>
      </c>
      <c r="AN90" s="18">
        <v>3.0720032647979501E-2</v>
      </c>
      <c r="AO90" s="17">
        <v>7188.1089212381103</v>
      </c>
      <c r="AP90" s="18">
        <v>5.6386216573611802E-3</v>
      </c>
      <c r="AQ90" s="17">
        <v>4504.2998626353901</v>
      </c>
      <c r="AR90" s="18">
        <v>1.2210121919479001E-2</v>
      </c>
      <c r="AS90" s="17">
        <v>5978.0206400677598</v>
      </c>
      <c r="AT90" s="18">
        <v>2.1805482930634699E-2</v>
      </c>
      <c r="AU90" s="17">
        <v>512.12288456497004</v>
      </c>
      <c r="AV90" s="18">
        <v>-0.21215395106656201</v>
      </c>
      <c r="AW90" s="17">
        <v>1362.5772090169601</v>
      </c>
      <c r="AX90" s="18">
        <v>-3.1026865576177801E-2</v>
      </c>
      <c r="AY90" s="17">
        <v>395.719001625815</v>
      </c>
      <c r="AZ90" s="18">
        <v>2.9850946387404601E-2</v>
      </c>
      <c r="BA90" s="17">
        <v>4987.94341123494</v>
      </c>
      <c r="BB90" s="18">
        <v>0.30386354776185698</v>
      </c>
      <c r="BC90" s="17">
        <v>7163.3363949129198</v>
      </c>
      <c r="BD90" s="18">
        <v>0.100799427668399</v>
      </c>
      <c r="BE90" s="17">
        <v>-2175.3929836779698</v>
      </c>
      <c r="BF90" s="18">
        <v>-0.188856556906115</v>
      </c>
      <c r="BG90" s="17"/>
      <c r="BH90" s="18"/>
    </row>
    <row r="91" spans="1:60" x14ac:dyDescent="0.2">
      <c r="A91" s="16">
        <v>1999</v>
      </c>
      <c r="B91" s="16">
        <v>4</v>
      </c>
      <c r="C91" s="17">
        <v>119382.608315524</v>
      </c>
      <c r="D91" s="18">
        <v>5.3158846730116699E-2</v>
      </c>
      <c r="E91" s="17">
        <v>114574.295136592</v>
      </c>
      <c r="F91" s="18">
        <v>4.2843818189547002E-2</v>
      </c>
      <c r="G91" s="17">
        <v>1291.71592970762</v>
      </c>
      <c r="H91" s="18">
        <v>2.7196759986968001E-2</v>
      </c>
      <c r="I91" s="17">
        <v>143.86729184359299</v>
      </c>
      <c r="J91" s="18">
        <v>-3.9376865070962198E-2</v>
      </c>
      <c r="K91" s="17">
        <v>21815.330343864902</v>
      </c>
      <c r="L91" s="18">
        <v>4.3106816347944901E-2</v>
      </c>
      <c r="M91" s="17">
        <v>4169.2644260389698</v>
      </c>
      <c r="N91" s="18">
        <v>9.7449723583354506E-2</v>
      </c>
      <c r="O91" s="17">
        <v>17646.065917825901</v>
      </c>
      <c r="P91" s="18">
        <v>3.1044047731715301E-2</v>
      </c>
      <c r="Q91" s="17">
        <v>2824.1679386606802</v>
      </c>
      <c r="R91" s="18">
        <v>1.6330900808563E-2</v>
      </c>
      <c r="S91" s="17">
        <v>632.35458508462</v>
      </c>
      <c r="T91" s="18">
        <v>6.7258958322593099E-2</v>
      </c>
      <c r="U91" s="17">
        <v>5525.5158986577899</v>
      </c>
      <c r="V91" s="18">
        <v>4.7578450412458603E-2</v>
      </c>
      <c r="W91" s="17">
        <v>19084.511087769501</v>
      </c>
      <c r="X91" s="18">
        <v>7.1416283911829498E-2</v>
      </c>
      <c r="Y91" s="17">
        <v>6057.4745240269303</v>
      </c>
      <c r="Z91" s="18">
        <v>2.26273151529079E-2</v>
      </c>
      <c r="AA91" s="17">
        <v>4026.80061082065</v>
      </c>
      <c r="AB91" s="18">
        <v>-5.6348215881089202E-2</v>
      </c>
      <c r="AC91" s="17">
        <v>2693.9105631614698</v>
      </c>
      <c r="AD91" s="18">
        <v>1.7647902270661899E-2</v>
      </c>
      <c r="AE91" s="17">
        <v>5478.0038087707699</v>
      </c>
      <c r="AF91" s="18">
        <v>3.0257102772265999E-2</v>
      </c>
      <c r="AG91" s="17">
        <v>13679.6389923319</v>
      </c>
      <c r="AH91" s="18">
        <v>0.11945644964584901</v>
      </c>
      <c r="AI91" s="17">
        <v>8454.9607464300698</v>
      </c>
      <c r="AJ91" s="18">
        <v>0.177202566447034</v>
      </c>
      <c r="AK91" s="17">
        <v>4299.0367249307301</v>
      </c>
      <c r="AL91" s="18">
        <v>1.6114981764442399E-2</v>
      </c>
      <c r="AM91" s="17">
        <v>17271.033298222101</v>
      </c>
      <c r="AN91" s="18">
        <v>2.13752433025831E-2</v>
      </c>
      <c r="AO91" s="17">
        <v>7263.39218453581</v>
      </c>
      <c r="AP91" s="18">
        <v>2.0039635928677899E-2</v>
      </c>
      <c r="AQ91" s="17">
        <v>4568.61047868077</v>
      </c>
      <c r="AR91" s="18">
        <v>2.9104303084384699E-2</v>
      </c>
      <c r="AS91" s="17">
        <v>6012.7609045750196</v>
      </c>
      <c r="AT91" s="18">
        <v>2.13923003037144E-2</v>
      </c>
      <c r="AU91" s="17">
        <v>507.74774156975298</v>
      </c>
      <c r="AV91" s="18">
        <v>-3.4846979819723199E-2</v>
      </c>
      <c r="AW91" s="17">
        <v>1357.6959117674</v>
      </c>
      <c r="AX91" s="18">
        <v>-7.9595026363161701E-3</v>
      </c>
      <c r="AY91" s="17">
        <v>397.23756656731399</v>
      </c>
      <c r="AZ91" s="18">
        <v>3.1332516111181298E-2</v>
      </c>
      <c r="BA91" s="17">
        <v>4808.3131789327699</v>
      </c>
      <c r="BB91" s="18">
        <v>0.37792541946546598</v>
      </c>
      <c r="BC91" s="17">
        <v>6943.2890751516097</v>
      </c>
      <c r="BD91" s="18">
        <v>0.144129106675535</v>
      </c>
      <c r="BE91" s="17">
        <v>-2134.9758962188398</v>
      </c>
      <c r="BF91" s="18">
        <v>-0.17219893725521501</v>
      </c>
      <c r="BG91" s="17"/>
      <c r="BH91" s="18"/>
    </row>
    <row r="92" spans="1:60" x14ac:dyDescent="0.2">
      <c r="A92" s="16">
        <v>2000</v>
      </c>
      <c r="B92" s="16">
        <v>1</v>
      </c>
      <c r="C92" s="17">
        <v>116222.45277930101</v>
      </c>
      <c r="D92" s="18">
        <v>5.7860881784296499E-2</v>
      </c>
      <c r="E92" s="17">
        <v>110919.265733005</v>
      </c>
      <c r="F92" s="18">
        <v>4.9648315406157099E-2</v>
      </c>
      <c r="G92" s="17">
        <v>1307.2909339452799</v>
      </c>
      <c r="H92" s="18">
        <v>8.2286231890024195E-2</v>
      </c>
      <c r="I92" s="17">
        <v>132.00134877929301</v>
      </c>
      <c r="J92" s="18">
        <v>1.8149970928493799E-3</v>
      </c>
      <c r="K92" s="17">
        <v>20488.018272346199</v>
      </c>
      <c r="L92" s="18">
        <v>1.9692873051009301E-2</v>
      </c>
      <c r="M92" s="17">
        <v>4225.7670855860497</v>
      </c>
      <c r="N92" s="18">
        <v>8.5626006863416496E-2</v>
      </c>
      <c r="O92" s="17">
        <v>16262.251186760201</v>
      </c>
      <c r="P92" s="18">
        <v>3.8506014547618999E-3</v>
      </c>
      <c r="Q92" s="17">
        <v>2803.8239520473599</v>
      </c>
      <c r="R92" s="18">
        <v>2.78118763630248E-2</v>
      </c>
      <c r="S92" s="17">
        <v>633.15511756657997</v>
      </c>
      <c r="T92" s="18">
        <v>1.5983720087249201E-2</v>
      </c>
      <c r="U92" s="17">
        <v>5194.6195042421996</v>
      </c>
      <c r="V92" s="18">
        <v>4.6021842513384897E-2</v>
      </c>
      <c r="W92" s="17">
        <v>15901.2870123742</v>
      </c>
      <c r="X92" s="18">
        <v>6.7215700262339501E-2</v>
      </c>
      <c r="Y92" s="17">
        <v>5146.2870716327297</v>
      </c>
      <c r="Z92" s="18">
        <v>1.9960647186338502E-2</v>
      </c>
      <c r="AA92" s="17">
        <v>4020.3966560898598</v>
      </c>
      <c r="AB92" s="18">
        <v>2.84651627574295E-2</v>
      </c>
      <c r="AC92" s="17">
        <v>2961.4519113297301</v>
      </c>
      <c r="AD92" s="18">
        <v>2.5299692111745199E-2</v>
      </c>
      <c r="AE92" s="17">
        <v>5247.9995056919697</v>
      </c>
      <c r="AF92" s="18">
        <v>5.1084855208614097E-2</v>
      </c>
      <c r="AG92" s="17">
        <v>14567.378082852299</v>
      </c>
      <c r="AH92" s="18">
        <v>0.16641653434415499</v>
      </c>
      <c r="AI92" s="17">
        <v>9102.7519817643006</v>
      </c>
      <c r="AJ92" s="18">
        <v>0.21470652575442201</v>
      </c>
      <c r="AK92" s="17">
        <v>4488.7446425435701</v>
      </c>
      <c r="AL92" s="18">
        <v>8.1020262082011699E-2</v>
      </c>
      <c r="AM92" s="17">
        <v>17290.2082431567</v>
      </c>
      <c r="AN92" s="18">
        <v>1.29796537733391E-2</v>
      </c>
      <c r="AO92" s="17">
        <v>7325.76841379901</v>
      </c>
      <c r="AP92" s="18">
        <v>2.8825703753234198E-2</v>
      </c>
      <c r="AQ92" s="17">
        <v>4609.9752835073896</v>
      </c>
      <c r="AR92" s="18">
        <v>3.5295124870824597E-2</v>
      </c>
      <c r="AS92" s="17">
        <v>6094.5359898350998</v>
      </c>
      <c r="AT92" s="18">
        <v>3.7860785358866202E-2</v>
      </c>
      <c r="AU92" s="17">
        <v>575.23036679025597</v>
      </c>
      <c r="AV92" s="18">
        <v>0.15824692810532001</v>
      </c>
      <c r="AW92" s="17">
        <v>1367.1592729209799</v>
      </c>
      <c r="AX92" s="18">
        <v>1.5441794097614101E-2</v>
      </c>
      <c r="AY92" s="17">
        <v>398.965865730671</v>
      </c>
      <c r="AZ92" s="18">
        <v>3.0560017288695101E-2</v>
      </c>
      <c r="BA92" s="17">
        <v>5303.1870462961897</v>
      </c>
      <c r="BB92" s="18">
        <v>0.26484808018107903</v>
      </c>
      <c r="BC92" s="17">
        <v>7452.0668076742604</v>
      </c>
      <c r="BD92" s="18">
        <v>0.132303099663724</v>
      </c>
      <c r="BE92" s="17">
        <v>-2148.8797613780698</v>
      </c>
      <c r="BF92" s="18">
        <v>-0.100356167711438</v>
      </c>
      <c r="BG92" s="17"/>
      <c r="BH92" s="18"/>
    </row>
    <row r="93" spans="1:60" x14ac:dyDescent="0.2">
      <c r="A93" s="16">
        <v>2000</v>
      </c>
      <c r="B93" s="16">
        <v>2</v>
      </c>
      <c r="C93" s="17">
        <v>117376.007064976</v>
      </c>
      <c r="D93" s="18">
        <v>5.2135974121889E-2</v>
      </c>
      <c r="E93" s="17">
        <v>112578.67498412399</v>
      </c>
      <c r="F93" s="18">
        <v>4.6817323529010101E-2</v>
      </c>
      <c r="G93" s="17">
        <v>1295.8978707500801</v>
      </c>
      <c r="H93" s="18">
        <v>9.7428570661010905E-2</v>
      </c>
      <c r="I93" s="17">
        <v>151.07381877495101</v>
      </c>
      <c r="J93" s="18">
        <v>-3.7393951867911203E-2</v>
      </c>
      <c r="K93" s="17">
        <v>20808.2711646479</v>
      </c>
      <c r="L93" s="18">
        <v>8.0301217801832508E-3</v>
      </c>
      <c r="M93" s="17">
        <v>4160.1711909647101</v>
      </c>
      <c r="N93" s="18">
        <v>5.37979199726204E-2</v>
      </c>
      <c r="O93" s="17">
        <v>16648.099973683198</v>
      </c>
      <c r="P93" s="18">
        <v>-2.7925558282502201E-3</v>
      </c>
      <c r="Q93" s="17">
        <v>2772.30603518304</v>
      </c>
      <c r="R93" s="18">
        <v>-2.9886045739975699E-2</v>
      </c>
      <c r="S93" s="17">
        <v>623.71901069176897</v>
      </c>
      <c r="T93" s="18">
        <v>-3.1764603395521999E-2</v>
      </c>
      <c r="U93" s="17">
        <v>5643.2266156413498</v>
      </c>
      <c r="V93" s="18">
        <v>2.5675548570642099E-2</v>
      </c>
      <c r="W93" s="17">
        <v>16686.554788882499</v>
      </c>
      <c r="X93" s="18">
        <v>7.0730546205869799E-2</v>
      </c>
      <c r="Y93" s="17">
        <v>5351.5880512763297</v>
      </c>
      <c r="Z93" s="18">
        <v>3.5672627944583597E-2</v>
      </c>
      <c r="AA93" s="17">
        <v>3969.03417495541</v>
      </c>
      <c r="AB93" s="18">
        <v>5.07552862132261E-2</v>
      </c>
      <c r="AC93" s="17">
        <v>2967.4303268138601</v>
      </c>
      <c r="AD93" s="18">
        <v>4.7283866963155501E-2</v>
      </c>
      <c r="AE93" s="17">
        <v>4986.9124608203902</v>
      </c>
      <c r="AF93" s="18">
        <v>5.6461080223794403E-2</v>
      </c>
      <c r="AG93" s="17">
        <v>14538.044587398899</v>
      </c>
      <c r="AH93" s="18">
        <v>0.14507268365918599</v>
      </c>
      <c r="AI93" s="17">
        <v>8885.4370515881401</v>
      </c>
      <c r="AJ93" s="18">
        <v>0.15381027155563201</v>
      </c>
      <c r="AK93" s="17">
        <v>4605.7779654764399</v>
      </c>
      <c r="AL93" s="18">
        <v>0.112977001096375</v>
      </c>
      <c r="AM93" s="17">
        <v>17399.936685414599</v>
      </c>
      <c r="AN93" s="18">
        <v>1.4609705451950301E-2</v>
      </c>
      <c r="AO93" s="17">
        <v>7383.7855672749702</v>
      </c>
      <c r="AP93" s="18">
        <v>3.3884516496601097E-2</v>
      </c>
      <c r="AQ93" s="17">
        <v>4640.6529059824597</v>
      </c>
      <c r="AR93" s="18">
        <v>3.8107004265624397E-2</v>
      </c>
      <c r="AS93" s="17">
        <v>6199.5204005636497</v>
      </c>
      <c r="AT93" s="18">
        <v>4.38551540626584E-2</v>
      </c>
      <c r="AU93" s="17">
        <v>732.21131631947401</v>
      </c>
      <c r="AV93" s="18">
        <v>0.45224756771817298</v>
      </c>
      <c r="AW93" s="17">
        <v>1377.5593111529699</v>
      </c>
      <c r="AX93" s="18">
        <v>1.9445389353265601E-2</v>
      </c>
      <c r="AY93" s="17">
        <v>402.53794285608598</v>
      </c>
      <c r="AZ93" s="18">
        <v>2.6934041668428901E-2</v>
      </c>
      <c r="BA93" s="17">
        <v>4797.3320808512999</v>
      </c>
      <c r="BB93" s="18">
        <v>0.19456432679173599</v>
      </c>
      <c r="BC93" s="17">
        <v>6968.5388835252998</v>
      </c>
      <c r="BD93" s="18">
        <v>0.111829279321617</v>
      </c>
      <c r="BE93" s="17">
        <v>-2171.2068026739998</v>
      </c>
      <c r="BF93" s="18">
        <v>-3.5733153117095399E-2</v>
      </c>
      <c r="BG93" s="17"/>
      <c r="BH93" s="18"/>
    </row>
    <row r="94" spans="1:60" x14ac:dyDescent="0.2">
      <c r="A94" s="16">
        <v>2000</v>
      </c>
      <c r="B94" s="16">
        <v>3</v>
      </c>
      <c r="C94" s="17">
        <v>118694.816972498</v>
      </c>
      <c r="D94" s="18">
        <v>5.2975645394145898E-2</v>
      </c>
      <c r="E94" s="17">
        <v>113086.95676545901</v>
      </c>
      <c r="F94" s="18">
        <v>4.9674245433384098E-2</v>
      </c>
      <c r="G94" s="17">
        <v>1246.92177577959</v>
      </c>
      <c r="H94" s="18">
        <v>-7.9047920553678708E-3</v>
      </c>
      <c r="I94" s="17">
        <v>148.19194090549399</v>
      </c>
      <c r="J94" s="18">
        <v>-4.8992164118112601E-2</v>
      </c>
      <c r="K94" s="17">
        <v>20683.5563476604</v>
      </c>
      <c r="L94" s="18">
        <v>1.7986144666208799E-2</v>
      </c>
      <c r="M94" s="17">
        <v>4142.5476913092398</v>
      </c>
      <c r="N94" s="18">
        <v>4.0213347036366101E-2</v>
      </c>
      <c r="O94" s="17">
        <v>16541.008656351201</v>
      </c>
      <c r="P94" s="18">
        <v>1.2567484846737901E-2</v>
      </c>
      <c r="Q94" s="17">
        <v>2688.5328642361301</v>
      </c>
      <c r="R94" s="18">
        <v>-5.0490037786705098E-2</v>
      </c>
      <c r="S94" s="17">
        <v>603.380188093539</v>
      </c>
      <c r="T94" s="18">
        <v>-7.5397296651051299E-2</v>
      </c>
      <c r="U94" s="17">
        <v>5803.1763379991698</v>
      </c>
      <c r="V94" s="18">
        <v>3.4778980328968603E-2</v>
      </c>
      <c r="W94" s="17">
        <v>16293.9009313804</v>
      </c>
      <c r="X94" s="18">
        <v>6.4252332151481004E-2</v>
      </c>
      <c r="Y94" s="17">
        <v>5272.9306150047796</v>
      </c>
      <c r="Z94" s="18">
        <v>3.4426947446039503E-2</v>
      </c>
      <c r="AA94" s="17">
        <v>4171.3457729151796</v>
      </c>
      <c r="AB94" s="18">
        <v>6.7066278938066701E-2</v>
      </c>
      <c r="AC94" s="17">
        <v>3238.5554860931802</v>
      </c>
      <c r="AD94" s="18">
        <v>2.7593063446791102E-2</v>
      </c>
      <c r="AE94" s="17">
        <v>5195.9256621983004</v>
      </c>
      <c r="AF94" s="18">
        <v>6.2709490491563297E-2</v>
      </c>
      <c r="AG94" s="17">
        <v>14291.7269927938</v>
      </c>
      <c r="AH94" s="18">
        <v>0.15438846347936</v>
      </c>
      <c r="AI94" s="17">
        <v>8533.1924688851104</v>
      </c>
      <c r="AJ94" s="18">
        <v>0.165897643521462</v>
      </c>
      <c r="AK94" s="17">
        <v>4654.0681031945696</v>
      </c>
      <c r="AL94" s="18">
        <v>0.11184770834546499</v>
      </c>
      <c r="AM94" s="17">
        <v>17564.521634993202</v>
      </c>
      <c r="AN94" s="18">
        <v>1.3484764173969E-2</v>
      </c>
      <c r="AO94" s="17">
        <v>7467.1976422386597</v>
      </c>
      <c r="AP94" s="18">
        <v>3.8826445739567499E-2</v>
      </c>
      <c r="AQ94" s="17">
        <v>4699.3070266534596</v>
      </c>
      <c r="AR94" s="18">
        <v>4.32935572597462E-2</v>
      </c>
      <c r="AS94" s="17">
        <v>6326.0516032020896</v>
      </c>
      <c r="AT94" s="18">
        <v>5.8218427819008302E-2</v>
      </c>
      <c r="AU94" s="17">
        <v>873.00743438662903</v>
      </c>
      <c r="AV94" s="18">
        <v>0.70468350604604701</v>
      </c>
      <c r="AW94" s="17">
        <v>1386.8270231874901</v>
      </c>
      <c r="AX94" s="18">
        <v>1.7797020242274801E-2</v>
      </c>
      <c r="AY94" s="17">
        <v>404.83010074194198</v>
      </c>
      <c r="AZ94" s="18">
        <v>2.3024163809909098E-2</v>
      </c>
      <c r="BA94" s="17">
        <v>5607.8602070388997</v>
      </c>
      <c r="BB94" s="18">
        <v>0.12428304507377599</v>
      </c>
      <c r="BC94" s="17">
        <v>7824.0126864087497</v>
      </c>
      <c r="BD94" s="18">
        <v>9.2230247900268097E-2</v>
      </c>
      <c r="BE94" s="17">
        <v>-2216.15247936985</v>
      </c>
      <c r="BF94" s="18">
        <v>1.8736612647780801E-2</v>
      </c>
      <c r="BG94" s="17"/>
      <c r="BH94" s="18"/>
    </row>
    <row r="95" spans="1:60" x14ac:dyDescent="0.2">
      <c r="A95" s="16">
        <v>2000</v>
      </c>
      <c r="B95" s="16">
        <v>4</v>
      </c>
      <c r="C95" s="17">
        <v>124501.15501546</v>
      </c>
      <c r="D95" s="18">
        <v>4.2875145485238297E-2</v>
      </c>
      <c r="E95" s="17">
        <v>119461.676966486</v>
      </c>
      <c r="F95" s="18">
        <v>4.2656878875561903E-2</v>
      </c>
      <c r="G95" s="17">
        <v>1181.6079032801299</v>
      </c>
      <c r="H95" s="18">
        <v>-8.5241672642696595E-2</v>
      </c>
      <c r="I95" s="17">
        <v>144.10939743221701</v>
      </c>
      <c r="J95" s="18">
        <v>1.68283968872518E-3</v>
      </c>
      <c r="K95" s="17">
        <v>22611.266463529701</v>
      </c>
      <c r="L95" s="18">
        <v>3.6485173825874899E-2</v>
      </c>
      <c r="M95" s="17">
        <v>4180.0652332250102</v>
      </c>
      <c r="N95" s="18">
        <v>2.5905785966924299E-3</v>
      </c>
      <c r="O95" s="17">
        <v>18431.201230304701</v>
      </c>
      <c r="P95" s="18">
        <v>4.4493504452208101E-2</v>
      </c>
      <c r="Q95" s="17">
        <v>2985.2145123126502</v>
      </c>
      <c r="R95" s="18">
        <v>5.7024432381433697E-2</v>
      </c>
      <c r="S95" s="17">
        <v>607.79907067226395</v>
      </c>
      <c r="T95" s="18">
        <v>-3.8831875329994298E-2</v>
      </c>
      <c r="U95" s="17">
        <v>5695.8360695220799</v>
      </c>
      <c r="V95" s="18">
        <v>3.08243020177827E-2</v>
      </c>
      <c r="W95" s="17">
        <v>19591.539708979799</v>
      </c>
      <c r="X95" s="18">
        <v>2.6567545737930201E-2</v>
      </c>
      <c r="Y95" s="17">
        <v>6138.0465919988601</v>
      </c>
      <c r="Z95" s="18">
        <v>1.33012640255175E-2</v>
      </c>
      <c r="AA95" s="17">
        <v>4308.3040070767602</v>
      </c>
      <c r="AB95" s="18">
        <v>6.99074584174013E-2</v>
      </c>
      <c r="AC95" s="17">
        <v>2731.0728723751099</v>
      </c>
      <c r="AD95" s="18">
        <v>1.3794930582265601E-2</v>
      </c>
      <c r="AE95" s="17">
        <v>5766.5485209211402</v>
      </c>
      <c r="AF95" s="18">
        <v>5.26733317870995E-2</v>
      </c>
      <c r="AG95" s="17">
        <v>14692.0932427891</v>
      </c>
      <c r="AH95" s="18">
        <v>7.4011766759682907E-2</v>
      </c>
      <c r="AI95" s="17">
        <v>8951.22008179166</v>
      </c>
      <c r="AJ95" s="18">
        <v>5.8694457637917599E-2</v>
      </c>
      <c r="AK95" s="17">
        <v>4631.4617617039903</v>
      </c>
      <c r="AL95" s="18">
        <v>7.7325470342106503E-2</v>
      </c>
      <c r="AM95" s="17">
        <v>17960.279278183301</v>
      </c>
      <c r="AN95" s="18">
        <v>3.9907628458580598E-2</v>
      </c>
      <c r="AO95" s="17">
        <v>7561.5387282730098</v>
      </c>
      <c r="AP95" s="18">
        <v>4.1047837726836803E-2</v>
      </c>
      <c r="AQ95" s="17">
        <v>4760.6223129472</v>
      </c>
      <c r="AR95" s="18">
        <v>4.20284975404333E-2</v>
      </c>
      <c r="AS95" s="17">
        <v>6418.3979864436196</v>
      </c>
      <c r="AT95" s="18">
        <v>6.7462699466390302E-2</v>
      </c>
      <c r="AU95" s="17">
        <v>660.77002743239996</v>
      </c>
      <c r="AV95" s="18">
        <v>0.30137462628501999</v>
      </c>
      <c r="AW95" s="17">
        <v>1379.3575124735301</v>
      </c>
      <c r="AX95" s="18">
        <v>1.5954677714197701E-2</v>
      </c>
      <c r="AY95" s="17">
        <v>405.31935184211602</v>
      </c>
      <c r="AZ95" s="18">
        <v>2.0344967231171299E-2</v>
      </c>
      <c r="BA95" s="17">
        <v>5039.4780489736204</v>
      </c>
      <c r="BB95" s="18">
        <v>4.80760843644037E-2</v>
      </c>
      <c r="BC95" s="17">
        <v>7285.7316663717002</v>
      </c>
      <c r="BD95" s="18">
        <v>4.9319938650632403E-2</v>
      </c>
      <c r="BE95" s="17">
        <v>-2246.2536173980802</v>
      </c>
      <c r="BF95" s="18">
        <v>5.2121300936613497E-2</v>
      </c>
      <c r="BG95" s="17"/>
      <c r="BH95" s="18"/>
    </row>
    <row r="96" spans="1:60" x14ac:dyDescent="0.2">
      <c r="A96" s="16">
        <v>2001</v>
      </c>
      <c r="B96" s="16">
        <v>1</v>
      </c>
      <c r="C96" s="17">
        <v>120982.68959239</v>
      </c>
      <c r="D96" s="18">
        <v>4.0957979282439903E-2</v>
      </c>
      <c r="E96" s="17">
        <v>115516.80559014301</v>
      </c>
      <c r="F96" s="18">
        <v>4.1449425640851502E-2</v>
      </c>
      <c r="G96" s="17">
        <v>1110.7060792305999</v>
      </c>
      <c r="H96" s="18">
        <v>-0.15037575004165801</v>
      </c>
      <c r="I96" s="17">
        <v>133.916893984295</v>
      </c>
      <c r="J96" s="18">
        <v>1.45115578190445E-2</v>
      </c>
      <c r="K96" s="17">
        <v>22091.276855373198</v>
      </c>
      <c r="L96" s="18">
        <v>7.8253472918412295E-2</v>
      </c>
      <c r="M96" s="17">
        <v>4666.7720727319602</v>
      </c>
      <c r="N96" s="18">
        <v>0.104360930977518</v>
      </c>
      <c r="O96" s="17">
        <v>17424.504782641201</v>
      </c>
      <c r="P96" s="18">
        <v>7.1469416044152204E-2</v>
      </c>
      <c r="Q96" s="17">
        <v>3035.17600461143</v>
      </c>
      <c r="R96" s="18">
        <v>8.2513045227085705E-2</v>
      </c>
      <c r="S96" s="17">
        <v>626.70368511488198</v>
      </c>
      <c r="T96" s="18">
        <v>-1.0189339504184E-2</v>
      </c>
      <c r="U96" s="17">
        <v>5341.5253337552203</v>
      </c>
      <c r="V96" s="18">
        <v>2.8280383075805202E-2</v>
      </c>
      <c r="W96" s="17">
        <v>16621.922793800601</v>
      </c>
      <c r="X96" s="18">
        <v>4.53193367848563E-2</v>
      </c>
      <c r="Y96" s="17">
        <v>5416.6595270521502</v>
      </c>
      <c r="Z96" s="18">
        <v>5.2537383098925999E-2</v>
      </c>
      <c r="AA96" s="17">
        <v>4240.04421998621</v>
      </c>
      <c r="AB96" s="18">
        <v>5.4633306781719501E-2</v>
      </c>
      <c r="AC96" s="17">
        <v>3183.0183813809199</v>
      </c>
      <c r="AD96" s="18">
        <v>7.4816838728169993E-2</v>
      </c>
      <c r="AE96" s="17">
        <v>5588.5478698691304</v>
      </c>
      <c r="AF96" s="18">
        <v>6.4891081603151393E-2</v>
      </c>
      <c r="AG96" s="17">
        <v>13535.310576916499</v>
      </c>
      <c r="AH96" s="18">
        <v>-7.08478560840438E-2</v>
      </c>
      <c r="AI96" s="17">
        <v>7921.5953653774304</v>
      </c>
      <c r="AJ96" s="18">
        <v>-0.12975818947425</v>
      </c>
      <c r="AK96" s="17">
        <v>4529.15241396081</v>
      </c>
      <c r="AL96" s="18">
        <v>9.00202052802479E-3</v>
      </c>
      <c r="AM96" s="17">
        <v>18462.587316893001</v>
      </c>
      <c r="AN96" s="18">
        <v>6.7805954517658598E-2</v>
      </c>
      <c r="AO96" s="17">
        <v>7706.3219427296199</v>
      </c>
      <c r="AP96" s="18">
        <v>5.19472507776517E-2</v>
      </c>
      <c r="AQ96" s="17">
        <v>4834.0839079315601</v>
      </c>
      <c r="AR96" s="18">
        <v>4.8613845116685102E-2</v>
      </c>
      <c r="AS96" s="17">
        <v>6638.0954123376696</v>
      </c>
      <c r="AT96" s="18">
        <v>8.9187991244805906E-2</v>
      </c>
      <c r="AU96" s="17">
        <v>551.56194198151104</v>
      </c>
      <c r="AV96" s="18">
        <v>-4.11459932840691E-2</v>
      </c>
      <c r="AW96" s="17">
        <v>1408.56083435541</v>
      </c>
      <c r="AX96" s="18">
        <v>3.0282910158647699E-2</v>
      </c>
      <c r="AY96" s="17">
        <v>407.44553989129201</v>
      </c>
      <c r="AZ96" s="18">
        <v>2.1254134473612601E-2</v>
      </c>
      <c r="BA96" s="17">
        <v>5465.8840022471104</v>
      </c>
      <c r="BB96" s="18">
        <v>3.06790906167538E-2</v>
      </c>
      <c r="BC96" s="17">
        <v>7773.5809638458004</v>
      </c>
      <c r="BD96" s="18">
        <v>4.31442933174511E-2</v>
      </c>
      <c r="BE96" s="17">
        <v>-2307.69696159869</v>
      </c>
      <c r="BF96" s="18">
        <v>7.3906973798652603E-2</v>
      </c>
      <c r="BG96" s="17"/>
      <c r="BH96" s="18"/>
    </row>
    <row r="97" spans="1:60" x14ac:dyDescent="0.2">
      <c r="A97" s="16">
        <v>2001</v>
      </c>
      <c r="B97" s="16">
        <v>2</v>
      </c>
      <c r="C97" s="17">
        <v>121914.544714638</v>
      </c>
      <c r="D97" s="18">
        <v>3.86666556747872E-2</v>
      </c>
      <c r="E97" s="17">
        <v>117336.675936984</v>
      </c>
      <c r="F97" s="18">
        <v>4.2263785335284097E-2</v>
      </c>
      <c r="G97" s="17">
        <v>1135.57518117216</v>
      </c>
      <c r="H97" s="18">
        <v>-0.12371552820371801</v>
      </c>
      <c r="I97" s="17">
        <v>155.623229455706</v>
      </c>
      <c r="J97" s="18">
        <v>3.0113825927262201E-2</v>
      </c>
      <c r="K97" s="17">
        <v>22909.888342262999</v>
      </c>
      <c r="L97" s="18">
        <v>0.10099912486654</v>
      </c>
      <c r="M97" s="17">
        <v>4899.7778191931202</v>
      </c>
      <c r="N97" s="18">
        <v>0.177782738805253</v>
      </c>
      <c r="O97" s="17">
        <v>18010.1105230699</v>
      </c>
      <c r="P97" s="18">
        <v>8.1811771405728498E-2</v>
      </c>
      <c r="Q97" s="17">
        <v>2883.2629310941402</v>
      </c>
      <c r="R97" s="18">
        <v>4.0023321560808997E-2</v>
      </c>
      <c r="S97" s="17">
        <v>632.06592229390697</v>
      </c>
      <c r="T97" s="18">
        <v>1.33824870800088E-2</v>
      </c>
      <c r="U97" s="17">
        <v>5880.41610675217</v>
      </c>
      <c r="V97" s="18">
        <v>4.2030828684675302E-2</v>
      </c>
      <c r="W97" s="17">
        <v>17453.6848299431</v>
      </c>
      <c r="X97" s="18">
        <v>4.5972943532463201E-2</v>
      </c>
      <c r="Y97" s="17">
        <v>5647.1852003441099</v>
      </c>
      <c r="Z97" s="18">
        <v>5.52354079266777E-2</v>
      </c>
      <c r="AA97" s="17">
        <v>4139.3922806226301</v>
      </c>
      <c r="AB97" s="18">
        <v>4.2921803682665301E-2</v>
      </c>
      <c r="AC97" s="17">
        <v>3039.0676763585002</v>
      </c>
      <c r="AD97" s="18">
        <v>2.41412069214662E-2</v>
      </c>
      <c r="AE97" s="17">
        <v>5317.4591283617501</v>
      </c>
      <c r="AF97" s="18">
        <v>6.6282829333440804E-2</v>
      </c>
      <c r="AG97" s="17">
        <v>13313.2051152696</v>
      </c>
      <c r="AH97" s="18">
        <v>-8.4250633898242805E-2</v>
      </c>
      <c r="AI97" s="17">
        <v>7852.9356601965501</v>
      </c>
      <c r="AJ97" s="18">
        <v>-0.116201531269307</v>
      </c>
      <c r="AK97" s="17">
        <v>4395.7193195038299</v>
      </c>
      <c r="AL97" s="18">
        <v>-4.5607636222837498E-2</v>
      </c>
      <c r="AM97" s="17">
        <v>18905.039092708699</v>
      </c>
      <c r="AN97" s="18">
        <v>8.6500453105425604E-2</v>
      </c>
      <c r="AO97" s="17">
        <v>7658.9333580827097</v>
      </c>
      <c r="AP97" s="18">
        <v>3.7263784044217201E-2</v>
      </c>
      <c r="AQ97" s="17">
        <v>4916.9835244015703</v>
      </c>
      <c r="AR97" s="18">
        <v>5.9545633775559499E-2</v>
      </c>
      <c r="AS97" s="17">
        <v>6611.9028478145901</v>
      </c>
      <c r="AT97" s="18">
        <v>6.6518443461117502E-2</v>
      </c>
      <c r="AU97" s="17">
        <v>530.56704540552698</v>
      </c>
      <c r="AV97" s="18">
        <v>-0.27539081467291499</v>
      </c>
      <c r="AW97" s="17">
        <v>1442.9992789012499</v>
      </c>
      <c r="AX97" s="18">
        <v>4.7504283277291601E-2</v>
      </c>
      <c r="AY97" s="17">
        <v>410.610046082991</v>
      </c>
      <c r="AZ97" s="18">
        <v>2.00530244916335E-2</v>
      </c>
      <c r="BA97" s="17">
        <v>4577.8687776543802</v>
      </c>
      <c r="BB97" s="18">
        <v>-4.5746948407619198E-2</v>
      </c>
      <c r="BC97" s="17">
        <v>6934.4742434124901</v>
      </c>
      <c r="BD97" s="18">
        <v>-4.8883475692930202E-3</v>
      </c>
      <c r="BE97" s="17">
        <v>-2356.6054657581099</v>
      </c>
      <c r="BF97" s="18">
        <v>8.5389684140536395E-2</v>
      </c>
      <c r="BG97" s="17"/>
      <c r="BH97" s="18"/>
    </row>
    <row r="98" spans="1:60" x14ac:dyDescent="0.2">
      <c r="A98" s="16">
        <v>2001</v>
      </c>
      <c r="B98" s="16">
        <v>3</v>
      </c>
      <c r="C98" s="17">
        <v>121598.274711501</v>
      </c>
      <c r="D98" s="18">
        <v>2.44615376901933E-2</v>
      </c>
      <c r="E98" s="17">
        <v>116432.935175254</v>
      </c>
      <c r="F98" s="18">
        <v>2.95876598459941E-2</v>
      </c>
      <c r="G98" s="17">
        <v>1115.7131176866001</v>
      </c>
      <c r="H98" s="18">
        <v>-0.105226053984787</v>
      </c>
      <c r="I98" s="17">
        <v>154.908234460448</v>
      </c>
      <c r="J98" s="18">
        <v>4.5321584385194E-2</v>
      </c>
      <c r="K98" s="17">
        <v>22181.283837179599</v>
      </c>
      <c r="L98" s="18">
        <v>7.2411507206233697E-2</v>
      </c>
      <c r="M98" s="17">
        <v>4756.4938435342201</v>
      </c>
      <c r="N98" s="18">
        <v>0.148204969012909</v>
      </c>
      <c r="O98" s="17">
        <v>17424.789993645401</v>
      </c>
      <c r="P98" s="18">
        <v>5.3429712519667001E-2</v>
      </c>
      <c r="Q98" s="17">
        <v>2990.47046861841</v>
      </c>
      <c r="R98" s="18">
        <v>0.112305714539989</v>
      </c>
      <c r="S98" s="17">
        <v>644.41228717410002</v>
      </c>
      <c r="T98" s="18">
        <v>6.8003722843813105E-2</v>
      </c>
      <c r="U98" s="17">
        <v>6011.8461520855399</v>
      </c>
      <c r="V98" s="18">
        <v>3.5957862028076701E-2</v>
      </c>
      <c r="W98" s="17">
        <v>16788.710355228999</v>
      </c>
      <c r="X98" s="18">
        <v>3.0367769261174599E-2</v>
      </c>
      <c r="Y98" s="17">
        <v>5537.1360721727297</v>
      </c>
      <c r="Z98" s="18">
        <v>5.0105999198266402E-2</v>
      </c>
      <c r="AA98" s="17">
        <v>4285.9598270192701</v>
      </c>
      <c r="AB98" s="18">
        <v>2.7476517254525299E-2</v>
      </c>
      <c r="AC98" s="17">
        <v>3374.5659477968402</v>
      </c>
      <c r="AD98" s="18">
        <v>4.1997261522217298E-2</v>
      </c>
      <c r="AE98" s="17">
        <v>5493.8580199470498</v>
      </c>
      <c r="AF98" s="18">
        <v>5.7339611287415201E-2</v>
      </c>
      <c r="AG98" s="17">
        <v>12606.6871535104</v>
      </c>
      <c r="AH98" s="18">
        <v>-0.117903164546387</v>
      </c>
      <c r="AI98" s="17">
        <v>7378.2074881502704</v>
      </c>
      <c r="AJ98" s="18">
        <v>-0.135352036760721</v>
      </c>
      <c r="AK98" s="17">
        <v>4218.3437237502103</v>
      </c>
      <c r="AL98" s="18">
        <v>-9.3622261166584397E-2</v>
      </c>
      <c r="AM98" s="17">
        <v>18925.799675671198</v>
      </c>
      <c r="AN98" s="18">
        <v>7.7501572144496697E-2</v>
      </c>
      <c r="AO98" s="17">
        <v>7725.7289689408399</v>
      </c>
      <c r="AP98" s="18">
        <v>3.4622269168258897E-2</v>
      </c>
      <c r="AQ98" s="17">
        <v>4994.5034475354296</v>
      </c>
      <c r="AR98" s="18">
        <v>6.2817010935373799E-2</v>
      </c>
      <c r="AS98" s="17">
        <v>6718.2195098946104</v>
      </c>
      <c r="AT98" s="18">
        <v>6.1992524135278101E-2</v>
      </c>
      <c r="AU98" s="17">
        <v>547.72072423206305</v>
      </c>
      <c r="AV98" s="18">
        <v>-0.37260474234461799</v>
      </c>
      <c r="AW98" s="17">
        <v>1460.00966619158</v>
      </c>
      <c r="AX98" s="18">
        <v>5.2769842078704603E-2</v>
      </c>
      <c r="AY98" s="17">
        <v>412.53778208074999</v>
      </c>
      <c r="AZ98" s="18">
        <v>1.9039299016259299E-2</v>
      </c>
      <c r="BA98" s="17">
        <v>5165.3395362472002</v>
      </c>
      <c r="BB98" s="18">
        <v>-7.8910788510072993E-2</v>
      </c>
      <c r="BC98" s="17">
        <v>7582.1830650621496</v>
      </c>
      <c r="BD98" s="18">
        <v>-3.0908643817344698E-2</v>
      </c>
      <c r="BE98" s="17">
        <v>-2416.8435288149499</v>
      </c>
      <c r="BF98" s="18">
        <v>9.0558321827283197E-2</v>
      </c>
      <c r="BG98" s="17"/>
      <c r="BH98" s="18"/>
    </row>
    <row r="99" spans="1:60" x14ac:dyDescent="0.2">
      <c r="A99" s="16">
        <v>2001</v>
      </c>
      <c r="B99" s="16">
        <v>4</v>
      </c>
      <c r="C99" s="17">
        <v>125178.746630886</v>
      </c>
      <c r="D99" s="18">
        <v>5.4424524442520097E-3</v>
      </c>
      <c r="E99" s="17">
        <v>120543.89519787399</v>
      </c>
      <c r="F99" s="18">
        <v>9.0591247240903207E-3</v>
      </c>
      <c r="G99" s="17">
        <v>1137.2228583221399</v>
      </c>
      <c r="H99" s="18">
        <v>-3.7563260058414399E-2</v>
      </c>
      <c r="I99" s="17">
        <v>151.243797259107</v>
      </c>
      <c r="J99" s="18">
        <v>4.9506832684144998E-2</v>
      </c>
      <c r="K99" s="17">
        <v>23235.402999328198</v>
      </c>
      <c r="L99" s="18">
        <v>2.76029003861917E-2</v>
      </c>
      <c r="M99" s="17">
        <v>4780.4102034738999</v>
      </c>
      <c r="N99" s="18">
        <v>0.14362095727049301</v>
      </c>
      <c r="O99" s="17">
        <v>18454.992795854301</v>
      </c>
      <c r="P99" s="18">
        <v>1.29083098015581E-3</v>
      </c>
      <c r="Q99" s="17">
        <v>2757.9020904625399</v>
      </c>
      <c r="R99" s="18">
        <v>-7.6146092990152403E-2</v>
      </c>
      <c r="S99" s="17">
        <v>645.13077435632101</v>
      </c>
      <c r="T99" s="18">
        <v>6.1421126627860999E-2</v>
      </c>
      <c r="U99" s="17">
        <v>5797.3833257768702</v>
      </c>
      <c r="V99" s="18">
        <v>1.7828331963091599E-2</v>
      </c>
      <c r="W99" s="17">
        <v>19798.7971895023</v>
      </c>
      <c r="X99" s="18">
        <v>1.0578927618819499E-2</v>
      </c>
      <c r="Y99" s="17">
        <v>6324.9031101873097</v>
      </c>
      <c r="Z99" s="18">
        <v>3.0442342753153901E-2</v>
      </c>
      <c r="AA99" s="17">
        <v>4448.4759549190803</v>
      </c>
      <c r="AB99" s="18">
        <v>3.2535296397858501E-2</v>
      </c>
      <c r="AC99" s="17">
        <v>2864.38751014117</v>
      </c>
      <c r="AD99" s="18">
        <v>4.8814017053348403E-2</v>
      </c>
      <c r="AE99" s="17">
        <v>5990.6664527572702</v>
      </c>
      <c r="AF99" s="18">
        <v>3.88651775014155E-2</v>
      </c>
      <c r="AG99" s="17">
        <v>12819.771858800799</v>
      </c>
      <c r="AH99" s="18">
        <v>-0.127437346948993</v>
      </c>
      <c r="AI99" s="17">
        <v>7843.40262397685</v>
      </c>
      <c r="AJ99" s="18">
        <v>-0.12376161547723601</v>
      </c>
      <c r="AK99" s="17">
        <v>3982.80991183163</v>
      </c>
      <c r="AL99" s="18">
        <v>-0.14005337477593899</v>
      </c>
      <c r="AM99" s="17">
        <v>18737.483317697199</v>
      </c>
      <c r="AN99" s="18">
        <v>4.3273494107521897E-2</v>
      </c>
      <c r="AO99" s="17">
        <v>7764.2867706429597</v>
      </c>
      <c r="AP99" s="18">
        <v>2.6813066712448E-2</v>
      </c>
      <c r="AQ99" s="17">
        <v>5069.80574814593</v>
      </c>
      <c r="AR99" s="18">
        <v>6.4946012280341595E-2</v>
      </c>
      <c r="AS99" s="17">
        <v>6861.2123387519296</v>
      </c>
      <c r="AT99" s="18">
        <v>6.8991413939051102E-2</v>
      </c>
      <c r="AU99" s="17">
        <v>581.66652397754899</v>
      </c>
      <c r="AV99" s="18">
        <v>-0.119714121662311</v>
      </c>
      <c r="AW99" s="17">
        <v>1470.7637851885299</v>
      </c>
      <c r="AX99" s="18">
        <v>6.62672816064072E-2</v>
      </c>
      <c r="AY99" s="17">
        <v>412.29190184462198</v>
      </c>
      <c r="AZ99" s="18">
        <v>1.7202608192324002E-2</v>
      </c>
      <c r="BA99" s="17">
        <v>4634.8514330113103</v>
      </c>
      <c r="BB99" s="18">
        <v>-8.0291373834779606E-2</v>
      </c>
      <c r="BC99" s="17">
        <v>7074.3067356695501</v>
      </c>
      <c r="BD99" s="18">
        <v>-2.9019038908336899E-2</v>
      </c>
      <c r="BE99" s="17">
        <v>-2439.4553026582398</v>
      </c>
      <c r="BF99" s="18">
        <v>8.6010628436497399E-2</v>
      </c>
      <c r="BG99" s="17"/>
      <c r="BH99" s="18"/>
    </row>
    <row r="100" spans="1:60" x14ac:dyDescent="0.2">
      <c r="A100" s="16">
        <v>2002</v>
      </c>
      <c r="B100" s="16">
        <v>1</v>
      </c>
      <c r="C100" s="17">
        <v>120513.212210029</v>
      </c>
      <c r="D100" s="18">
        <v>-3.8805335204836798E-3</v>
      </c>
      <c r="E100" s="17">
        <v>115589.949374266</v>
      </c>
      <c r="F100" s="18">
        <v>6.3318738558981703E-4</v>
      </c>
      <c r="G100" s="17">
        <v>1144.87382803846</v>
      </c>
      <c r="H100" s="18">
        <v>3.0762187627109999E-2</v>
      </c>
      <c r="I100" s="17">
        <v>135.97640216290401</v>
      </c>
      <c r="J100" s="18">
        <v>1.5379001986483501E-2</v>
      </c>
      <c r="K100" s="17">
        <v>22205.419557493198</v>
      </c>
      <c r="L100" s="18">
        <v>5.1668675770657497E-3</v>
      </c>
      <c r="M100" s="17">
        <v>5237.1603523306703</v>
      </c>
      <c r="N100" s="18">
        <v>0.12222329925464</v>
      </c>
      <c r="O100" s="17">
        <v>16968.2592051625</v>
      </c>
      <c r="P100" s="18">
        <v>-2.6184134537540999E-2</v>
      </c>
      <c r="Q100" s="17">
        <v>2512.59381360307</v>
      </c>
      <c r="R100" s="18">
        <v>-0.17217525119280899</v>
      </c>
      <c r="S100" s="17">
        <v>651.51864942581005</v>
      </c>
      <c r="T100" s="18">
        <v>3.9596008289592997E-2</v>
      </c>
      <c r="U100" s="17">
        <v>5511.03502157815</v>
      </c>
      <c r="V100" s="18">
        <v>3.1734322544859903E-2</v>
      </c>
      <c r="W100" s="17">
        <v>16922.327565722699</v>
      </c>
      <c r="X100" s="18">
        <v>1.8072805153093199E-2</v>
      </c>
      <c r="Y100" s="17">
        <v>5529.9180174635503</v>
      </c>
      <c r="Z100" s="18">
        <v>2.0909287328426899E-2</v>
      </c>
      <c r="AA100" s="17">
        <v>4224.6964030559002</v>
      </c>
      <c r="AB100" s="18">
        <v>-3.6197303928980902E-3</v>
      </c>
      <c r="AC100" s="17">
        <v>3205.3951005082799</v>
      </c>
      <c r="AD100" s="18">
        <v>7.0300313872664298E-3</v>
      </c>
      <c r="AE100" s="17">
        <v>5800.9594898658897</v>
      </c>
      <c r="AF100" s="18">
        <v>3.8008374436943E-2</v>
      </c>
      <c r="AG100" s="17">
        <v>12208.384926471501</v>
      </c>
      <c r="AH100" s="18">
        <v>-9.8034370390287798E-2</v>
      </c>
      <c r="AI100" s="17">
        <v>7525.0543168879203</v>
      </c>
      <c r="AJ100" s="18">
        <v>-5.00582307223938E-2</v>
      </c>
      <c r="AK100" s="17">
        <v>3673.1557308828101</v>
      </c>
      <c r="AL100" s="18">
        <v>-0.18899710251292301</v>
      </c>
      <c r="AM100" s="17">
        <v>18481.924565769801</v>
      </c>
      <c r="AN100" s="18">
        <v>1.0473748096546699E-3</v>
      </c>
      <c r="AO100" s="17">
        <v>7842.2072537361701</v>
      </c>
      <c r="AP100" s="18">
        <v>1.76329657671184E-2</v>
      </c>
      <c r="AQ100" s="17">
        <v>5150.3321518523198</v>
      </c>
      <c r="AR100" s="18">
        <v>6.5420511919924706E-2</v>
      </c>
      <c r="AS100" s="17">
        <v>6907.83652922702</v>
      </c>
      <c r="AT100" s="18">
        <v>4.0635317833487103E-2</v>
      </c>
      <c r="AU100" s="17">
        <v>785.22076186390098</v>
      </c>
      <c r="AV100" s="18">
        <v>0.42363115018951403</v>
      </c>
      <c r="AW100" s="17">
        <v>1488.49139072859</v>
      </c>
      <c r="AX100" s="18">
        <v>5.6746257899296097E-2</v>
      </c>
      <c r="AY100" s="17">
        <v>410.75596316271998</v>
      </c>
      <c r="AZ100" s="18">
        <v>8.1248239269253696E-3</v>
      </c>
      <c r="BA100" s="17">
        <v>4923.2628357622698</v>
      </c>
      <c r="BB100" s="18">
        <v>-9.9274182595488203E-2</v>
      </c>
      <c r="BC100" s="17">
        <v>7414.7268751184001</v>
      </c>
      <c r="BD100" s="18">
        <v>-4.61632921039083E-2</v>
      </c>
      <c r="BE100" s="17">
        <v>-2491.4640393561299</v>
      </c>
      <c r="BF100" s="18">
        <v>7.9632239767796695E-2</v>
      </c>
      <c r="BG100" s="17"/>
      <c r="BH100" s="18"/>
    </row>
    <row r="101" spans="1:60" x14ac:dyDescent="0.2">
      <c r="A101" s="16">
        <v>2002</v>
      </c>
      <c r="B101" s="16">
        <v>2</v>
      </c>
      <c r="C101" s="17">
        <v>122115.698360165</v>
      </c>
      <c r="D101" s="18">
        <v>1.6499560901224199E-3</v>
      </c>
      <c r="E101" s="17">
        <v>117719.99422317299</v>
      </c>
      <c r="F101" s="18">
        <v>3.2668241462279202E-3</v>
      </c>
      <c r="G101" s="17">
        <v>1144.70617153956</v>
      </c>
      <c r="H101" s="18">
        <v>8.0408505916544897E-3</v>
      </c>
      <c r="I101" s="17">
        <v>160.429544803016</v>
      </c>
      <c r="J101" s="18">
        <v>3.08843054094134E-2</v>
      </c>
      <c r="K101" s="17">
        <v>23495.369113679</v>
      </c>
      <c r="L101" s="18">
        <v>2.5555810777824699E-2</v>
      </c>
      <c r="M101" s="17">
        <v>5540.0818379421898</v>
      </c>
      <c r="N101" s="18">
        <v>0.13068021497646501</v>
      </c>
      <c r="O101" s="17">
        <v>17955.287275736799</v>
      </c>
      <c r="P101" s="18">
        <v>-3.0440261464738101E-3</v>
      </c>
      <c r="Q101" s="17">
        <v>2423.5261877770899</v>
      </c>
      <c r="R101" s="18">
        <v>-0.15945016264700901</v>
      </c>
      <c r="S101" s="17">
        <v>658.80003151258904</v>
      </c>
      <c r="T101" s="18">
        <v>4.2296393897741001E-2</v>
      </c>
      <c r="U101" s="17">
        <v>6069.2535575807797</v>
      </c>
      <c r="V101" s="18">
        <v>3.2112940207032599E-2</v>
      </c>
      <c r="W101" s="17">
        <v>17803.8918417245</v>
      </c>
      <c r="X101" s="18">
        <v>2.00649327172766E-2</v>
      </c>
      <c r="Y101" s="17">
        <v>5586.3790504325898</v>
      </c>
      <c r="Z101" s="18">
        <v>-1.0767514744835499E-2</v>
      </c>
      <c r="AA101" s="17">
        <v>4309.1616446706703</v>
      </c>
      <c r="AB101" s="18">
        <v>4.1013113167061001E-2</v>
      </c>
      <c r="AC101" s="17">
        <v>3018.3687179062199</v>
      </c>
      <c r="AD101" s="18">
        <v>-6.8109567329822703E-3</v>
      </c>
      <c r="AE101" s="17">
        <v>5481.3993482800697</v>
      </c>
      <c r="AF101" s="18">
        <v>3.08305557148356E-2</v>
      </c>
      <c r="AG101" s="17">
        <v>11875.879262415199</v>
      </c>
      <c r="AH101" s="18">
        <v>-0.107962420800223</v>
      </c>
      <c r="AI101" s="17">
        <v>7274.3435993180801</v>
      </c>
      <c r="AJ101" s="18">
        <v>-7.3678441529978198E-2</v>
      </c>
      <c r="AK101" s="17">
        <v>3569.4664801906501</v>
      </c>
      <c r="AL101" s="18">
        <v>-0.18796760649550401</v>
      </c>
      <c r="AM101" s="17">
        <v>18222.833694357701</v>
      </c>
      <c r="AN101" s="18">
        <v>-3.6085902547227301E-2</v>
      </c>
      <c r="AO101" s="17">
        <v>7845.0089085596801</v>
      </c>
      <c r="AP101" s="18">
        <v>2.42952303900901E-2</v>
      </c>
      <c r="AQ101" s="17">
        <v>5178.5275421251999</v>
      </c>
      <c r="AR101" s="18">
        <v>5.3191965445003701E-2</v>
      </c>
      <c r="AS101" s="17">
        <v>6982.8321501153996</v>
      </c>
      <c r="AT101" s="18">
        <v>5.6100234809623097E-2</v>
      </c>
      <c r="AU101" s="17">
        <v>1083.60160103012</v>
      </c>
      <c r="AV101" s="18">
        <v>1.0423462226190401</v>
      </c>
      <c r="AW101" s="17">
        <v>1554.3601546048301</v>
      </c>
      <c r="AX101" s="18">
        <v>7.7173202600890903E-2</v>
      </c>
      <c r="AY101" s="17">
        <v>412.04475049157799</v>
      </c>
      <c r="AZ101" s="18">
        <v>3.4940801431284601E-3</v>
      </c>
      <c r="BA101" s="17">
        <v>4395.7041369917397</v>
      </c>
      <c r="BB101" s="18">
        <v>-3.97924557278337E-2</v>
      </c>
      <c r="BC101" s="17">
        <v>6924.3902978755104</v>
      </c>
      <c r="BD101" s="18">
        <v>-1.4541759307222801E-3</v>
      </c>
      <c r="BE101" s="17">
        <v>-2528.6861608837698</v>
      </c>
      <c r="BF101" s="18">
        <v>7.3020578805414099E-2</v>
      </c>
      <c r="BG101" s="17"/>
      <c r="BH101" s="18"/>
    </row>
    <row r="102" spans="1:60" x14ac:dyDescent="0.2">
      <c r="A102" s="16">
        <v>2002</v>
      </c>
      <c r="B102" s="16">
        <v>3</v>
      </c>
      <c r="C102" s="17">
        <v>121806.73065210901</v>
      </c>
      <c r="D102" s="18">
        <v>1.71430015024687E-3</v>
      </c>
      <c r="E102" s="17">
        <v>117296.737723718</v>
      </c>
      <c r="F102" s="18">
        <v>7.4188849328902197E-3</v>
      </c>
      <c r="G102" s="17">
        <v>1150.6080229576701</v>
      </c>
      <c r="H102" s="18">
        <v>3.1275876135097101E-2</v>
      </c>
      <c r="I102" s="17">
        <v>153.43873748430599</v>
      </c>
      <c r="J102" s="18">
        <v>-9.4862418467334102E-3</v>
      </c>
      <c r="K102" s="17">
        <v>22897.1774912609</v>
      </c>
      <c r="L102" s="18">
        <v>3.2274671715859099E-2</v>
      </c>
      <c r="M102" s="17">
        <v>5412.7631217640801</v>
      </c>
      <c r="N102" s="18">
        <v>0.137973326533779</v>
      </c>
      <c r="O102" s="17">
        <v>17484.414369496801</v>
      </c>
      <c r="P102" s="18">
        <v>3.4218131680874299E-3</v>
      </c>
      <c r="Q102" s="17">
        <v>2389.7435734097999</v>
      </c>
      <c r="R102" s="18">
        <v>-0.20088039708552899</v>
      </c>
      <c r="S102" s="17">
        <v>659.47882600332002</v>
      </c>
      <c r="T102" s="18">
        <v>2.3380278633870599E-2</v>
      </c>
      <c r="U102" s="17">
        <v>6193.3027072408804</v>
      </c>
      <c r="V102" s="18">
        <v>3.0183166795176599E-2</v>
      </c>
      <c r="W102" s="17">
        <v>17307.448136235002</v>
      </c>
      <c r="X102" s="18">
        <v>3.08980124160869E-2</v>
      </c>
      <c r="Y102" s="17">
        <v>5482.5538598352696</v>
      </c>
      <c r="Z102" s="18">
        <v>-9.8574807673168507E-3</v>
      </c>
      <c r="AA102" s="17">
        <v>4502.9522402116199</v>
      </c>
      <c r="AB102" s="18">
        <v>5.0628662411717797E-2</v>
      </c>
      <c r="AC102" s="17">
        <v>3273.2156542482498</v>
      </c>
      <c r="AD102" s="18">
        <v>-3.00335791673489E-2</v>
      </c>
      <c r="AE102" s="17">
        <v>5649.0501232716897</v>
      </c>
      <c r="AF102" s="18">
        <v>2.82482915942073E-2</v>
      </c>
      <c r="AG102" s="17">
        <v>11936.8878203597</v>
      </c>
      <c r="AH102" s="18">
        <v>-5.3130479482404701E-2</v>
      </c>
      <c r="AI102" s="17">
        <v>7312.07875614568</v>
      </c>
      <c r="AJ102" s="18">
        <v>-8.9627097246577393E-3</v>
      </c>
      <c r="AK102" s="17">
        <v>3655.0340491176098</v>
      </c>
      <c r="AL102" s="18">
        <v>-0.133538116266117</v>
      </c>
      <c r="AM102" s="17">
        <v>18077.5327735545</v>
      </c>
      <c r="AN102" s="18">
        <v>-4.4820663678858702E-2</v>
      </c>
      <c r="AO102" s="17">
        <v>7912.8446485613003</v>
      </c>
      <c r="AP102" s="18">
        <v>2.4219808949124601E-2</v>
      </c>
      <c r="AQ102" s="17">
        <v>5207.7047827361403</v>
      </c>
      <c r="AR102" s="18">
        <v>4.2687193519891801E-2</v>
      </c>
      <c r="AS102" s="17">
        <v>7080.3303630606297</v>
      </c>
      <c r="AT102" s="18">
        <v>5.3899824593808002E-2</v>
      </c>
      <c r="AU102" s="17">
        <v>904.49260920395102</v>
      </c>
      <c r="AV102" s="18">
        <v>0.65137554448410595</v>
      </c>
      <c r="AW102" s="17">
        <v>1585.8091607537001</v>
      </c>
      <c r="AX102" s="18">
        <v>8.6163466910643693E-2</v>
      </c>
      <c r="AY102" s="17">
        <v>414.720053164327</v>
      </c>
      <c r="AZ102" s="18">
        <v>5.2898696273844196E-3</v>
      </c>
      <c r="BA102" s="17">
        <v>4509.9929283910296</v>
      </c>
      <c r="BB102" s="18">
        <v>-0.12687386826313099</v>
      </c>
      <c r="BC102" s="17">
        <v>7087.6326904321904</v>
      </c>
      <c r="BD102" s="18">
        <v>-6.5225327637998404E-2</v>
      </c>
      <c r="BE102" s="17">
        <v>-2577.6397620411599</v>
      </c>
      <c r="BF102" s="18">
        <v>6.6531503305492304E-2</v>
      </c>
      <c r="BG102" s="17"/>
      <c r="BH102" s="18"/>
    </row>
    <row r="103" spans="1:60" x14ac:dyDescent="0.2">
      <c r="A103" s="16">
        <v>2002</v>
      </c>
      <c r="B103" s="16">
        <v>4</v>
      </c>
      <c r="C103" s="17">
        <v>124857.15596310201</v>
      </c>
      <c r="D103" s="18">
        <v>-2.56905166762711E-3</v>
      </c>
      <c r="E103" s="17">
        <v>120522.015457457</v>
      </c>
      <c r="F103" s="18">
        <v>-1.8150849017506399E-4</v>
      </c>
      <c r="G103" s="17">
        <v>1105.6055579102799</v>
      </c>
      <c r="H103" s="18">
        <v>-2.7802202690954798E-2</v>
      </c>
      <c r="I103" s="17">
        <v>143.10599972259001</v>
      </c>
      <c r="J103" s="18">
        <v>-5.3805826645404099E-2</v>
      </c>
      <c r="K103" s="17">
        <v>23688.877214907101</v>
      </c>
      <c r="L103" s="18">
        <v>1.9516520354395699E-2</v>
      </c>
      <c r="M103" s="17">
        <v>5213.5022566975604</v>
      </c>
      <c r="N103" s="18">
        <v>9.0597257304182402E-2</v>
      </c>
      <c r="O103" s="17">
        <v>18475.374958209599</v>
      </c>
      <c r="P103" s="18">
        <v>1.1044253758738501E-3</v>
      </c>
      <c r="Q103" s="17">
        <v>2317.45845138699</v>
      </c>
      <c r="R103" s="18">
        <v>-0.159702420400892</v>
      </c>
      <c r="S103" s="17">
        <v>656.75516825752197</v>
      </c>
      <c r="T103" s="18">
        <v>1.8018662825066901E-2</v>
      </c>
      <c r="U103" s="17">
        <v>6077.4962490352</v>
      </c>
      <c r="V103" s="18">
        <v>4.8317129904600402E-2</v>
      </c>
      <c r="W103" s="17">
        <v>20088.1393618033</v>
      </c>
      <c r="X103" s="18">
        <v>1.4614128804470499E-2</v>
      </c>
      <c r="Y103" s="17">
        <v>6286.1634427582003</v>
      </c>
      <c r="Z103" s="18">
        <v>-6.1249424306151204E-3</v>
      </c>
      <c r="AA103" s="17">
        <v>4558.7952978120202</v>
      </c>
      <c r="AB103" s="18">
        <v>2.47993569058069E-2</v>
      </c>
      <c r="AC103" s="17">
        <v>2726.6863627390699</v>
      </c>
      <c r="AD103" s="18">
        <v>-4.8073505038889901E-2</v>
      </c>
      <c r="AE103" s="17">
        <v>6068.8853998602499</v>
      </c>
      <c r="AF103" s="18">
        <v>1.3056802230572999E-2</v>
      </c>
      <c r="AG103" s="17">
        <v>12507.8350800342</v>
      </c>
      <c r="AH103" s="18">
        <v>-2.43324750395175E-2</v>
      </c>
      <c r="AI103" s="17">
        <v>7589.2560572442198</v>
      </c>
      <c r="AJ103" s="18">
        <v>-3.2402590931098901E-2</v>
      </c>
      <c r="AK103" s="17">
        <v>3943.5410637249001</v>
      </c>
      <c r="AL103" s="18">
        <v>-9.8595838054119592E-3</v>
      </c>
      <c r="AM103" s="17">
        <v>17642.151196346498</v>
      </c>
      <c r="AN103" s="18">
        <v>-5.8456736306532801E-2</v>
      </c>
      <c r="AO103" s="17">
        <v>7915.3095412057501</v>
      </c>
      <c r="AP103" s="18">
        <v>1.9450952163927199E-2</v>
      </c>
      <c r="AQ103" s="17">
        <v>5220.28114117315</v>
      </c>
      <c r="AR103" s="18">
        <v>2.9680701885322E-2</v>
      </c>
      <c r="AS103" s="17">
        <v>7097.52609213906</v>
      </c>
      <c r="AT103" s="18">
        <v>3.4441982221194503E-2</v>
      </c>
      <c r="AU103" s="17">
        <v>744.83285584094494</v>
      </c>
      <c r="AV103" s="18">
        <v>0.28051525253272702</v>
      </c>
      <c r="AW103" s="17">
        <v>1547.9794225549199</v>
      </c>
      <c r="AX103" s="18">
        <v>5.25003662342007E-2</v>
      </c>
      <c r="AY103" s="17">
        <v>414.29506472839398</v>
      </c>
      <c r="AZ103" s="18">
        <v>4.8586035156394898E-3</v>
      </c>
      <c r="BA103" s="17">
        <v>4335.1405056449603</v>
      </c>
      <c r="BB103" s="18">
        <v>-6.4664624464914694E-2</v>
      </c>
      <c r="BC103" s="17">
        <v>6923.8416161138903</v>
      </c>
      <c r="BD103" s="18">
        <v>-2.1269238835375199E-2</v>
      </c>
      <c r="BE103" s="17">
        <v>-2588.70111046893</v>
      </c>
      <c r="BF103" s="18">
        <v>6.1179972286459397E-2</v>
      </c>
      <c r="BG103" s="17"/>
      <c r="BH103" s="18"/>
    </row>
    <row r="104" spans="1:60" x14ac:dyDescent="0.2">
      <c r="A104" s="16">
        <v>2003</v>
      </c>
      <c r="B104" s="16">
        <v>1</v>
      </c>
      <c r="C104" s="17">
        <v>120846.28343501499</v>
      </c>
      <c r="D104" s="18">
        <v>2.7637735222452199E-3</v>
      </c>
      <c r="E104" s="17">
        <v>116131.570179239</v>
      </c>
      <c r="F104" s="18">
        <v>4.6857084712374998E-3</v>
      </c>
      <c r="G104" s="17">
        <v>984.85549008737598</v>
      </c>
      <c r="H104" s="18">
        <v>-0.139769408673836</v>
      </c>
      <c r="I104" s="17">
        <v>127.414200237147</v>
      </c>
      <c r="J104" s="18">
        <v>-6.2968292950557503E-2</v>
      </c>
      <c r="K104" s="17">
        <v>22466.623379642799</v>
      </c>
      <c r="L104" s="18">
        <v>1.17630662853836E-2</v>
      </c>
      <c r="M104" s="17">
        <v>5513.9342248156099</v>
      </c>
      <c r="N104" s="18">
        <v>5.2848080613335797E-2</v>
      </c>
      <c r="O104" s="17">
        <v>16952.689154827101</v>
      </c>
      <c r="P104" s="18">
        <v>-9.1759856725037703E-4</v>
      </c>
      <c r="Q104" s="17">
        <v>2282.8296906477799</v>
      </c>
      <c r="R104" s="18">
        <v>-9.1444992704894701E-2</v>
      </c>
      <c r="S104" s="17">
        <v>675.21953870182301</v>
      </c>
      <c r="T104" s="18">
        <v>3.6377913812446497E-2</v>
      </c>
      <c r="U104" s="17">
        <v>5589.6745732298896</v>
      </c>
      <c r="V104" s="18">
        <v>1.42694704976174E-2</v>
      </c>
      <c r="W104" s="17">
        <v>17437.699666742399</v>
      </c>
      <c r="X104" s="18">
        <v>3.04551545298983E-2</v>
      </c>
      <c r="Y104" s="17">
        <v>5581.6792967838001</v>
      </c>
      <c r="Z104" s="18">
        <v>9.3602254421836194E-3</v>
      </c>
      <c r="AA104" s="17">
        <v>4515.0643211009701</v>
      </c>
      <c r="AB104" s="18">
        <v>6.8731073275476701E-2</v>
      </c>
      <c r="AC104" s="17">
        <v>3010.7315925038802</v>
      </c>
      <c r="AD104" s="18">
        <v>-6.0729957431310398E-2</v>
      </c>
      <c r="AE104" s="17">
        <v>5709.4530833476601</v>
      </c>
      <c r="AF104" s="18">
        <v>-1.5774357100422898E-2</v>
      </c>
      <c r="AG104" s="17">
        <v>12663.033151993201</v>
      </c>
      <c r="AH104" s="18">
        <v>3.7240652900441901E-2</v>
      </c>
      <c r="AI104" s="17">
        <v>7208.1030155122498</v>
      </c>
      <c r="AJ104" s="18">
        <v>-4.2119470242807301E-2</v>
      </c>
      <c r="AK104" s="17">
        <v>4482.1106820516898</v>
      </c>
      <c r="AL104" s="18">
        <v>0.22023431905362201</v>
      </c>
      <c r="AM104" s="17">
        <v>17638.294051256798</v>
      </c>
      <c r="AN104" s="18">
        <v>-4.5646248122636603E-2</v>
      </c>
      <c r="AO104" s="17">
        <v>7987.1939378460102</v>
      </c>
      <c r="AP104" s="18">
        <v>1.8487994440693298E-2</v>
      </c>
      <c r="AQ104" s="17">
        <v>5269.7049658741298</v>
      </c>
      <c r="AR104" s="18">
        <v>2.3177692331722601E-2</v>
      </c>
      <c r="AS104" s="17">
        <v>7143.7512130284704</v>
      </c>
      <c r="AT104" s="18">
        <v>3.4151746759393302E-2</v>
      </c>
      <c r="AU104" s="17">
        <v>676.75541936110506</v>
      </c>
      <c r="AV104" s="18">
        <v>-0.13813356417796299</v>
      </c>
      <c r="AW104" s="17">
        <v>1540.09185486615</v>
      </c>
      <c r="AX104" s="18">
        <v>3.4666283230772699E-2</v>
      </c>
      <c r="AY104" s="17">
        <v>413.18004877177998</v>
      </c>
      <c r="AZ104" s="18">
        <v>5.9015226228122898E-3</v>
      </c>
      <c r="BA104" s="17">
        <v>4714.7132557761797</v>
      </c>
      <c r="BB104" s="18">
        <v>-4.2360033770937999E-2</v>
      </c>
      <c r="BC104" s="17">
        <v>7340.0892491764098</v>
      </c>
      <c r="BD104" s="18">
        <v>-1.0066132873006801E-2</v>
      </c>
      <c r="BE104" s="17">
        <v>-2625.3759934002301</v>
      </c>
      <c r="BF104" s="18">
        <v>5.3748298963489899E-2</v>
      </c>
      <c r="BG104" s="17"/>
      <c r="BH104" s="18"/>
    </row>
    <row r="105" spans="1:60" x14ac:dyDescent="0.2">
      <c r="A105" s="16">
        <v>2003</v>
      </c>
      <c r="B105" s="16">
        <v>2</v>
      </c>
      <c r="C105" s="17">
        <v>122079.39943012</v>
      </c>
      <c r="D105" s="18">
        <v>-2.97250316975806E-4</v>
      </c>
      <c r="E105" s="17">
        <v>117619.40898166499</v>
      </c>
      <c r="F105" s="18">
        <v>-8.5444483897279E-4</v>
      </c>
      <c r="G105" s="17">
        <v>990.52778940404096</v>
      </c>
      <c r="H105" s="18">
        <v>-0.13468817236143199</v>
      </c>
      <c r="I105" s="17">
        <v>148.91314684472101</v>
      </c>
      <c r="J105" s="18">
        <v>-7.1784769896562198E-2</v>
      </c>
      <c r="K105" s="17">
        <v>22921.558885165301</v>
      </c>
      <c r="L105" s="18">
        <v>-2.4422269160250702E-2</v>
      </c>
      <c r="M105" s="17">
        <v>5631.58752053024</v>
      </c>
      <c r="N105" s="18">
        <v>1.6517027232586301E-2</v>
      </c>
      <c r="O105" s="17">
        <v>17289.971364635101</v>
      </c>
      <c r="P105" s="18">
        <v>-3.7054038784486903E-2</v>
      </c>
      <c r="Q105" s="17">
        <v>2279.1554421281999</v>
      </c>
      <c r="R105" s="18">
        <v>-5.9570532547578603E-2</v>
      </c>
      <c r="S105" s="17">
        <v>661.82554298615901</v>
      </c>
      <c r="T105" s="18">
        <v>4.5924579976470703E-3</v>
      </c>
      <c r="U105" s="17">
        <v>6110.1378805944696</v>
      </c>
      <c r="V105" s="18">
        <v>6.7363016927559603E-3</v>
      </c>
      <c r="W105" s="17">
        <v>18042.718740407799</v>
      </c>
      <c r="X105" s="18">
        <v>1.3414308557168301E-2</v>
      </c>
      <c r="Y105" s="17">
        <v>5791.0806971176398</v>
      </c>
      <c r="Z105" s="18">
        <v>3.6642992685789598E-2</v>
      </c>
      <c r="AA105" s="17">
        <v>4379.57316647486</v>
      </c>
      <c r="AB105" s="18">
        <v>1.6339958351591102E-2</v>
      </c>
      <c r="AC105" s="17">
        <v>2771.7325861846398</v>
      </c>
      <c r="AD105" s="18">
        <v>-8.1711730663795695E-2</v>
      </c>
      <c r="AE105" s="17">
        <v>5310.68615011569</v>
      </c>
      <c r="AF105" s="18">
        <v>-3.11440906450191E-2</v>
      </c>
      <c r="AG105" s="17">
        <v>13380.7087554628</v>
      </c>
      <c r="AH105" s="18">
        <v>0.12671310138779801</v>
      </c>
      <c r="AI105" s="17">
        <v>7534.4727857695798</v>
      </c>
      <c r="AJ105" s="18">
        <v>3.5759815700194202E-2</v>
      </c>
      <c r="AK105" s="17">
        <v>4825.9708731118399</v>
      </c>
      <c r="AL105" s="18">
        <v>0.35201462176332798</v>
      </c>
      <c r="AM105" s="17">
        <v>17537.710191882201</v>
      </c>
      <c r="AN105" s="18">
        <v>-3.7596979370317897E-2</v>
      </c>
      <c r="AO105" s="17">
        <v>7998.5928009602203</v>
      </c>
      <c r="AP105" s="18">
        <v>1.9577274441711999E-2</v>
      </c>
      <c r="AQ105" s="17">
        <v>5250.4999503237505</v>
      </c>
      <c r="AR105" s="18">
        <v>1.38982379862012E-2</v>
      </c>
      <c r="AS105" s="17">
        <v>7203.8249433850096</v>
      </c>
      <c r="AT105" s="18">
        <v>3.1648017383026E-2</v>
      </c>
      <c r="AU105" s="17">
        <v>668.41548376397498</v>
      </c>
      <c r="AV105" s="18">
        <v>-0.38315384258518398</v>
      </c>
      <c r="AW105" s="17">
        <v>1551.04541263077</v>
      </c>
      <c r="AX105" s="18">
        <v>-2.1325443554687201E-3</v>
      </c>
      <c r="AY105" s="17">
        <v>411.78211295057798</v>
      </c>
      <c r="AZ105" s="18">
        <v>-6.3740052673055803E-4</v>
      </c>
      <c r="BA105" s="17">
        <v>4459.9904484543704</v>
      </c>
      <c r="BB105" s="18">
        <v>1.46248040038994E-2</v>
      </c>
      <c r="BC105" s="17">
        <v>7106.9612978835003</v>
      </c>
      <c r="BD105" s="18">
        <v>2.6366364712862501E-2</v>
      </c>
      <c r="BE105" s="17">
        <v>-2646.9708494291299</v>
      </c>
      <c r="BF105" s="18">
        <v>4.6777132874415997E-2</v>
      </c>
      <c r="BG105" s="17"/>
      <c r="BH105" s="18"/>
    </row>
    <row r="106" spans="1:60" x14ac:dyDescent="0.2">
      <c r="A106" s="16">
        <v>2003</v>
      </c>
      <c r="B106" s="16">
        <v>3</v>
      </c>
      <c r="C106" s="17">
        <v>122722.691285368</v>
      </c>
      <c r="D106" s="18">
        <v>7.5197867010749998E-3</v>
      </c>
      <c r="E106" s="17">
        <v>118255.15037182</v>
      </c>
      <c r="F106" s="18">
        <v>8.1708380531417806E-3</v>
      </c>
      <c r="G106" s="17">
        <v>1031.6887026214699</v>
      </c>
      <c r="H106" s="18">
        <v>-0.103353460051938</v>
      </c>
      <c r="I106" s="17">
        <v>144.65103966605301</v>
      </c>
      <c r="J106" s="18">
        <v>-5.7271703106602699E-2</v>
      </c>
      <c r="K106" s="17">
        <v>22780.634456543601</v>
      </c>
      <c r="L106" s="18">
        <v>-5.0898428315766502E-3</v>
      </c>
      <c r="M106" s="17">
        <v>5598.62947257006</v>
      </c>
      <c r="N106" s="18">
        <v>3.4338534058259401E-2</v>
      </c>
      <c r="O106" s="17">
        <v>17182.004983973598</v>
      </c>
      <c r="P106" s="18">
        <v>-1.7295940208944201E-2</v>
      </c>
      <c r="Q106" s="17">
        <v>2195.4449153893802</v>
      </c>
      <c r="R106" s="18">
        <v>-8.1305232989153195E-2</v>
      </c>
      <c r="S106" s="17">
        <v>645.26607849264201</v>
      </c>
      <c r="T106" s="18">
        <v>-2.1551484217943201E-2</v>
      </c>
      <c r="U106" s="17">
        <v>6181.5097534032802</v>
      </c>
      <c r="V106" s="18">
        <v>-1.9041462035782599E-3</v>
      </c>
      <c r="W106" s="17">
        <v>17808.601128166501</v>
      </c>
      <c r="X106" s="18">
        <v>2.8955914701390001E-2</v>
      </c>
      <c r="Y106" s="17">
        <v>5639.8926776793996</v>
      </c>
      <c r="Z106" s="18">
        <v>2.8698088859059601E-2</v>
      </c>
      <c r="AA106" s="17">
        <v>4394.0318648668899</v>
      </c>
      <c r="AB106" s="18">
        <v>-2.4188658803009799E-2</v>
      </c>
      <c r="AC106" s="17">
        <v>3028.6446798574102</v>
      </c>
      <c r="AD106" s="18">
        <v>-7.4718869828637402E-2</v>
      </c>
      <c r="AE106" s="17">
        <v>5316.9931028311203</v>
      </c>
      <c r="AF106" s="18">
        <v>-5.8781036314873199E-2</v>
      </c>
      <c r="AG106" s="17">
        <v>13759.180224826199</v>
      </c>
      <c r="AH106" s="18">
        <v>0.15266059561675299</v>
      </c>
      <c r="AI106" s="17">
        <v>7709.98766344867</v>
      </c>
      <c r="AJ106" s="18">
        <v>5.4418028111165702E-2</v>
      </c>
      <c r="AK106" s="17">
        <v>4982.7973401306699</v>
      </c>
      <c r="AL106" s="18">
        <v>0.36326974610088703</v>
      </c>
      <c r="AM106" s="17">
        <v>17580.068170119299</v>
      </c>
      <c r="AN106" s="18">
        <v>-2.75183903504224E-2</v>
      </c>
      <c r="AO106" s="17">
        <v>8085.8516174168199</v>
      </c>
      <c r="AP106" s="18">
        <v>2.1864067416889298E-2</v>
      </c>
      <c r="AQ106" s="17">
        <v>5282.1678477424302</v>
      </c>
      <c r="AR106" s="18">
        <v>1.4298634064885201E-2</v>
      </c>
      <c r="AS106" s="17">
        <v>7347.7612204024299</v>
      </c>
      <c r="AT106" s="18">
        <v>3.7770957515914402E-2</v>
      </c>
      <c r="AU106" s="17">
        <v>683.66409267300003</v>
      </c>
      <c r="AV106" s="18">
        <v>-0.24414629183681699</v>
      </c>
      <c r="AW106" s="17">
        <v>1575.9874448102701</v>
      </c>
      <c r="AX106" s="18">
        <v>-6.1935043550591703E-3</v>
      </c>
      <c r="AY106" s="17">
        <v>413.00403199114299</v>
      </c>
      <c r="AZ106" s="18">
        <v>-4.1377820052128601E-3</v>
      </c>
      <c r="BA106" s="17">
        <v>4467.5409135478503</v>
      </c>
      <c r="BB106" s="18">
        <v>-9.4128783608374792E-3</v>
      </c>
      <c r="BC106" s="17">
        <v>7143.5402793777403</v>
      </c>
      <c r="BD106" s="18">
        <v>7.8880482930536698E-3</v>
      </c>
      <c r="BE106" s="17">
        <v>-2675.9993658298999</v>
      </c>
      <c r="BF106" s="18">
        <v>3.81587858928931E-2</v>
      </c>
      <c r="BG106" s="17"/>
      <c r="BH106" s="18"/>
    </row>
    <row r="107" spans="1:60" x14ac:dyDescent="0.2">
      <c r="A107" s="16">
        <v>2003</v>
      </c>
      <c r="B107" s="16">
        <v>4</v>
      </c>
      <c r="C107" s="17">
        <v>128003.30114654401</v>
      </c>
      <c r="D107" s="18">
        <v>2.51979564901492E-2</v>
      </c>
      <c r="E107" s="17">
        <v>123518.611552403</v>
      </c>
      <c r="F107" s="18">
        <v>2.48634748064194E-2</v>
      </c>
      <c r="G107" s="17">
        <v>1103.52675397248</v>
      </c>
      <c r="H107" s="18">
        <v>-1.8802401298821899E-3</v>
      </c>
      <c r="I107" s="17">
        <v>140.124645749211</v>
      </c>
      <c r="J107" s="18">
        <v>-2.08331864433293E-2</v>
      </c>
      <c r="K107" s="17">
        <v>24153.627753744</v>
      </c>
      <c r="L107" s="18">
        <v>1.9618934853713899E-2</v>
      </c>
      <c r="M107" s="17">
        <v>5666.6985378527797</v>
      </c>
      <c r="N107" s="18">
        <v>8.6927416320387002E-2</v>
      </c>
      <c r="O107" s="17">
        <v>18486.929215891199</v>
      </c>
      <c r="P107" s="18">
        <v>6.2538691137792302E-4</v>
      </c>
      <c r="Q107" s="17">
        <v>2021.5634715102301</v>
      </c>
      <c r="R107" s="18">
        <v>-0.12768081330635001</v>
      </c>
      <c r="S107" s="17">
        <v>658.32451634798599</v>
      </c>
      <c r="T107" s="18">
        <v>2.3895481395721499E-3</v>
      </c>
      <c r="U107" s="17">
        <v>6121.3820484574599</v>
      </c>
      <c r="V107" s="18">
        <v>7.2210327450603603E-3</v>
      </c>
      <c r="W107" s="17">
        <v>20841.407520627999</v>
      </c>
      <c r="X107" s="18">
        <v>3.7498154769722E-2</v>
      </c>
      <c r="Y107" s="17">
        <v>6379.7779657855699</v>
      </c>
      <c r="Z107" s="18">
        <v>1.48921554267276E-2</v>
      </c>
      <c r="AA107" s="17">
        <v>4601.5490962877802</v>
      </c>
      <c r="AB107" s="18">
        <v>9.37831064629591E-3</v>
      </c>
      <c r="AC107" s="17">
        <v>2543.4149480767901</v>
      </c>
      <c r="AD107" s="18">
        <v>-6.7213969735108001E-2</v>
      </c>
      <c r="AE107" s="17">
        <v>5855.6382788704304</v>
      </c>
      <c r="AF107" s="18">
        <v>-3.5137773567898399E-2</v>
      </c>
      <c r="AG107" s="17">
        <v>14287.487931490399</v>
      </c>
      <c r="AH107" s="18">
        <v>0.14228304419339199</v>
      </c>
      <c r="AI107" s="17">
        <v>8248.7683656278004</v>
      </c>
      <c r="AJ107" s="18">
        <v>8.6900784926612795E-2</v>
      </c>
      <c r="AK107" s="17">
        <v>4956.0078902601499</v>
      </c>
      <c r="AL107" s="18">
        <v>0.25674053095288701</v>
      </c>
      <c r="AM107" s="17">
        <v>17752.507657932601</v>
      </c>
      <c r="AN107" s="18">
        <v>6.2552724074245204E-3</v>
      </c>
      <c r="AO107" s="17">
        <v>8117.8605952982898</v>
      </c>
      <c r="AP107" s="18">
        <v>2.5589783070150099E-2</v>
      </c>
      <c r="AQ107" s="17">
        <v>5280.3811113575903</v>
      </c>
      <c r="AR107" s="18">
        <v>1.1512784189040099E-2</v>
      </c>
      <c r="AS107" s="17">
        <v>7364.6875224441001</v>
      </c>
      <c r="AT107" s="18">
        <v>3.7641486179379201E-2</v>
      </c>
      <c r="AU107" s="17">
        <v>695.95380164787605</v>
      </c>
      <c r="AV107" s="18">
        <v>-6.5624191803249701E-2</v>
      </c>
      <c r="AW107" s="17">
        <v>1565.62210430652</v>
      </c>
      <c r="AX107" s="18">
        <v>1.13972327374197E-2</v>
      </c>
      <c r="AY107" s="17">
        <v>413.55179428096102</v>
      </c>
      <c r="AZ107" s="18">
        <v>-1.7940605880028E-3</v>
      </c>
      <c r="BA107" s="17">
        <v>4484.6895941416096</v>
      </c>
      <c r="BB107" s="18">
        <v>3.4496941518253402E-2</v>
      </c>
      <c r="BC107" s="17">
        <v>7151.53965618235</v>
      </c>
      <c r="BD107" s="18">
        <v>3.2886084444585101E-2</v>
      </c>
      <c r="BE107" s="17">
        <v>-2666.8500620407399</v>
      </c>
      <c r="BF107" s="18">
        <v>3.01884799507239E-2</v>
      </c>
      <c r="BG107" s="17"/>
      <c r="BH107" s="18"/>
    </row>
    <row r="108" spans="1:60" x14ac:dyDescent="0.2">
      <c r="A108" s="16">
        <v>2004</v>
      </c>
      <c r="B108" s="16">
        <v>1</v>
      </c>
      <c r="C108" s="17">
        <v>124908.046924462</v>
      </c>
      <c r="D108" s="18">
        <v>3.3610992195973501E-2</v>
      </c>
      <c r="E108" s="17">
        <v>120071.77934138</v>
      </c>
      <c r="F108" s="18">
        <v>3.3928837404499701E-2</v>
      </c>
      <c r="G108" s="17">
        <v>1186.19421287869</v>
      </c>
      <c r="H108" s="18">
        <v>0.20443478745643301</v>
      </c>
      <c r="I108" s="17">
        <v>130.13217693799399</v>
      </c>
      <c r="J108" s="18">
        <v>2.1331819340296501E-2</v>
      </c>
      <c r="K108" s="17">
        <v>23187.101026571101</v>
      </c>
      <c r="L108" s="18">
        <v>3.2068799781509699E-2</v>
      </c>
      <c r="M108" s="17">
        <v>6068.66425277693</v>
      </c>
      <c r="N108" s="18">
        <v>0.100605122466775</v>
      </c>
      <c r="O108" s="17">
        <v>17118.436773794201</v>
      </c>
      <c r="P108" s="18">
        <v>9.7770694344285793E-3</v>
      </c>
      <c r="Q108" s="17">
        <v>2026.1020795805</v>
      </c>
      <c r="R108" s="18">
        <v>-0.11246025584783099</v>
      </c>
      <c r="S108" s="17">
        <v>699.26524948391398</v>
      </c>
      <c r="T108" s="18">
        <v>3.5611692795977798E-2</v>
      </c>
      <c r="U108" s="17">
        <v>5566.6159226428599</v>
      </c>
      <c r="V108" s="18">
        <v>-4.12522236937851E-3</v>
      </c>
      <c r="W108" s="17">
        <v>18731.358381506099</v>
      </c>
      <c r="X108" s="18">
        <v>7.4187463913663904E-2</v>
      </c>
      <c r="Y108" s="17">
        <v>5671.3014104062404</v>
      </c>
      <c r="Z108" s="18">
        <v>1.6056478499952401E-2</v>
      </c>
      <c r="AA108" s="17">
        <v>4609.0407769848298</v>
      </c>
      <c r="AB108" s="18">
        <v>2.0813979425423401E-2</v>
      </c>
      <c r="AC108" s="17">
        <v>2818.1547805796499</v>
      </c>
      <c r="AD108" s="18">
        <v>-6.3963460709586598E-2</v>
      </c>
      <c r="AE108" s="17">
        <v>5720.2543887981001</v>
      </c>
      <c r="AF108" s="18">
        <v>1.89182839280133E-3</v>
      </c>
      <c r="AG108" s="17">
        <v>14008.8388083929</v>
      </c>
      <c r="AH108" s="18">
        <v>0.106278301592206</v>
      </c>
      <c r="AI108" s="17">
        <v>8161.6045179594903</v>
      </c>
      <c r="AJ108" s="18">
        <v>0.13228189169816901</v>
      </c>
      <c r="AK108" s="17">
        <v>4743.0769875088899</v>
      </c>
      <c r="AL108" s="18">
        <v>5.8223976150838297E-2</v>
      </c>
      <c r="AM108" s="17">
        <v>17882.5514291781</v>
      </c>
      <c r="AN108" s="18">
        <v>1.3848129371894599E-2</v>
      </c>
      <c r="AO108" s="17">
        <v>8117.4095035965001</v>
      </c>
      <c r="AP108" s="18">
        <v>1.6303042941463002E-2</v>
      </c>
      <c r="AQ108" s="17">
        <v>5215.4347114887396</v>
      </c>
      <c r="AR108" s="18">
        <v>-1.02985375342327E-2</v>
      </c>
      <c r="AS108" s="17">
        <v>7382.0430016007604</v>
      </c>
      <c r="AT108" s="18">
        <v>3.3356675150962599E-2</v>
      </c>
      <c r="AU108" s="17">
        <v>774.60301009667103</v>
      </c>
      <c r="AV108" s="18">
        <v>0.144583387049844</v>
      </c>
      <c r="AW108" s="17">
        <v>1602.6563201797301</v>
      </c>
      <c r="AX108" s="18">
        <v>4.0623853126611403E-2</v>
      </c>
      <c r="AY108" s="17">
        <v>414.02356088280999</v>
      </c>
      <c r="AZ108" s="18">
        <v>2.0415122016126399E-3</v>
      </c>
      <c r="BA108" s="17">
        <v>4836.26758308223</v>
      </c>
      <c r="BB108" s="18">
        <v>2.5781913069077698E-2</v>
      </c>
      <c r="BC108" s="17">
        <v>7500.2438042063704</v>
      </c>
      <c r="BD108" s="18">
        <v>2.18191563607937E-2</v>
      </c>
      <c r="BE108" s="17">
        <v>-2663.97622112414</v>
      </c>
      <c r="BF108" s="18">
        <v>1.47027427008344E-2</v>
      </c>
      <c r="BG108" s="17"/>
      <c r="BH108" s="18"/>
    </row>
    <row r="109" spans="1:60" x14ac:dyDescent="0.2">
      <c r="A109" s="16">
        <v>2004</v>
      </c>
      <c r="B109" s="16">
        <v>2</v>
      </c>
      <c r="C109" s="17">
        <v>126802.201689576</v>
      </c>
      <c r="D109" s="18">
        <v>3.8686316294994201E-2</v>
      </c>
      <c r="E109" s="17">
        <v>121905.442344314</v>
      </c>
      <c r="F109" s="18">
        <v>3.6439847808767502E-2</v>
      </c>
      <c r="G109" s="17">
        <v>1201.7171056565301</v>
      </c>
      <c r="H109" s="18">
        <v>0.213208875623316</v>
      </c>
      <c r="I109" s="17">
        <v>156.501123218858</v>
      </c>
      <c r="J109" s="18">
        <v>5.0955718382937401E-2</v>
      </c>
      <c r="K109" s="17">
        <v>23907.133315949301</v>
      </c>
      <c r="L109" s="18">
        <v>4.29977051614008E-2</v>
      </c>
      <c r="M109" s="17">
        <v>6127.6869952500601</v>
      </c>
      <c r="N109" s="18">
        <v>8.8092295984261201E-2</v>
      </c>
      <c r="O109" s="17">
        <v>17779.446320699299</v>
      </c>
      <c r="P109" s="18">
        <v>2.8309760944160701E-2</v>
      </c>
      <c r="Q109" s="17">
        <v>1928.4695903965601</v>
      </c>
      <c r="R109" s="18">
        <v>-0.15386657936949699</v>
      </c>
      <c r="S109" s="17">
        <v>706.11013068158798</v>
      </c>
      <c r="T109" s="18">
        <v>6.6912781116934106E-2</v>
      </c>
      <c r="U109" s="17">
        <v>5942.1673098966103</v>
      </c>
      <c r="V109" s="18">
        <v>-2.7490471406762799E-2</v>
      </c>
      <c r="W109" s="17">
        <v>19718.980315002202</v>
      </c>
      <c r="X109" s="18">
        <v>9.2905154633941694E-2</v>
      </c>
      <c r="Y109" s="17">
        <v>5763.3786203984901</v>
      </c>
      <c r="Z109" s="18">
        <v>-4.7835763595795999E-3</v>
      </c>
      <c r="AA109" s="17">
        <v>4510.7563970010697</v>
      </c>
      <c r="AB109" s="18">
        <v>2.9953428231410201E-2</v>
      </c>
      <c r="AC109" s="17">
        <v>2708.7196680521402</v>
      </c>
      <c r="AD109" s="18">
        <v>-2.2734126100973698E-2</v>
      </c>
      <c r="AE109" s="17">
        <v>5429.7012243244199</v>
      </c>
      <c r="AF109" s="18">
        <v>2.24104891241113E-2</v>
      </c>
      <c r="AG109" s="17">
        <v>13640.2664527703</v>
      </c>
      <c r="AH109" s="18">
        <v>1.9397903508025598E-2</v>
      </c>
      <c r="AI109" s="17">
        <v>7941.6268556462801</v>
      </c>
      <c r="AJ109" s="18">
        <v>5.4038826796971799E-2</v>
      </c>
      <c r="AK109" s="17">
        <v>4600.7741085254602</v>
      </c>
      <c r="AL109" s="18">
        <v>-4.6663515074464902E-2</v>
      </c>
      <c r="AM109" s="17">
        <v>18069.013042420302</v>
      </c>
      <c r="AN109" s="18">
        <v>3.0294881414109499E-2</v>
      </c>
      <c r="AO109" s="17">
        <v>8199.2543312869693</v>
      </c>
      <c r="AP109" s="18">
        <v>2.50871041094454E-2</v>
      </c>
      <c r="AQ109" s="17">
        <v>5288.0601327865097</v>
      </c>
      <c r="AR109" s="18">
        <v>7.1536392378115403E-3</v>
      </c>
      <c r="AS109" s="17">
        <v>7529.4562689144404</v>
      </c>
      <c r="AT109" s="18">
        <v>4.5202559485908698E-2</v>
      </c>
      <c r="AU109" s="17">
        <v>939.63212596598305</v>
      </c>
      <c r="AV109" s="18">
        <v>0.40576056179120101</v>
      </c>
      <c r="AW109" s="17">
        <v>1612.8998161049601</v>
      </c>
      <c r="AX109" s="18">
        <v>3.9879169862137902E-2</v>
      </c>
      <c r="AY109" s="17">
        <v>416.60399388561302</v>
      </c>
      <c r="AZ109" s="18">
        <v>1.17097872476395E-2</v>
      </c>
      <c r="BA109" s="17">
        <v>4896.7593452618503</v>
      </c>
      <c r="BB109" s="18">
        <v>9.7930455649033701E-2</v>
      </c>
      <c r="BC109" s="17">
        <v>7562.3975726652898</v>
      </c>
      <c r="BD109" s="18">
        <v>6.4083122968098705E-2</v>
      </c>
      <c r="BE109" s="17">
        <v>-2665.6382274034399</v>
      </c>
      <c r="BF109" s="18">
        <v>7.0523549506935597E-3</v>
      </c>
      <c r="BG109" s="17"/>
      <c r="BH109" s="18"/>
    </row>
    <row r="110" spans="1:60" x14ac:dyDescent="0.2">
      <c r="A110" s="16">
        <v>2004</v>
      </c>
      <c r="B110" s="16">
        <v>3</v>
      </c>
      <c r="C110" s="17">
        <v>125978.38507971</v>
      </c>
      <c r="D110" s="18">
        <v>2.6528865690957901E-2</v>
      </c>
      <c r="E110" s="17">
        <v>121510.271847699</v>
      </c>
      <c r="F110" s="18">
        <v>2.7526255437030401E-2</v>
      </c>
      <c r="G110" s="17">
        <v>1181.7026599697699</v>
      </c>
      <c r="H110" s="18">
        <v>0.145406222794841</v>
      </c>
      <c r="I110" s="17">
        <v>155.26993818927801</v>
      </c>
      <c r="J110" s="18">
        <v>7.3410454205790496E-2</v>
      </c>
      <c r="K110" s="17">
        <v>23325.241060105101</v>
      </c>
      <c r="L110" s="18">
        <v>2.3906559959969001E-2</v>
      </c>
      <c r="M110" s="17">
        <v>6007.6807236572104</v>
      </c>
      <c r="N110" s="18">
        <v>7.3062747426178895E-2</v>
      </c>
      <c r="O110" s="17">
        <v>17317.560336447899</v>
      </c>
      <c r="P110" s="18">
        <v>7.88937918483823E-3</v>
      </c>
      <c r="Q110" s="17">
        <v>1991.67403635561</v>
      </c>
      <c r="R110" s="18">
        <v>-9.28153002634695E-2</v>
      </c>
      <c r="S110" s="17">
        <v>729.44193064507499</v>
      </c>
      <c r="T110" s="18">
        <v>0.130451382705675</v>
      </c>
      <c r="U110" s="17">
        <v>6200.5166793505396</v>
      </c>
      <c r="V110" s="18">
        <v>3.07480319622599E-3</v>
      </c>
      <c r="W110" s="17">
        <v>18992.4080429735</v>
      </c>
      <c r="X110" s="18">
        <v>6.6473885640272706E-2</v>
      </c>
      <c r="Y110" s="17">
        <v>5581.2503308142695</v>
      </c>
      <c r="Z110" s="18">
        <v>-1.03977770884205E-2</v>
      </c>
      <c r="AA110" s="17">
        <v>4565.2530474686801</v>
      </c>
      <c r="AB110" s="18">
        <v>3.89667594290364E-2</v>
      </c>
      <c r="AC110" s="17">
        <v>2953.2021730668298</v>
      </c>
      <c r="AD110" s="18">
        <v>-2.49096591925521E-2</v>
      </c>
      <c r="AE110" s="17">
        <v>5607.2206309163703</v>
      </c>
      <c r="AF110" s="18">
        <v>5.4584898357440001E-2</v>
      </c>
      <c r="AG110" s="17">
        <v>13224.7561004409</v>
      </c>
      <c r="AH110" s="18">
        <v>-3.8841276562466401E-2</v>
      </c>
      <c r="AI110" s="17">
        <v>7644.0895137378002</v>
      </c>
      <c r="AJ110" s="18">
        <v>-8.5471148058093895E-3</v>
      </c>
      <c r="AK110" s="17">
        <v>4512.6109679235997</v>
      </c>
      <c r="AL110" s="18">
        <v>-9.4361929677585193E-2</v>
      </c>
      <c r="AM110" s="17">
        <v>18325.503271677801</v>
      </c>
      <c r="AN110" s="18">
        <v>4.2402287314534701E-2</v>
      </c>
      <c r="AO110" s="17">
        <v>8217.8754513750991</v>
      </c>
      <c r="AP110" s="18">
        <v>1.63277586833162E-2</v>
      </c>
      <c r="AQ110" s="17">
        <v>5261.3686002638497</v>
      </c>
      <c r="AR110" s="18">
        <v>-3.93763471326936E-3</v>
      </c>
      <c r="AS110" s="17">
        <v>7620.23033450823</v>
      </c>
      <c r="AT110" s="18">
        <v>3.7081922769786897E-2</v>
      </c>
      <c r="AU110" s="17">
        <v>1114.0342658915099</v>
      </c>
      <c r="AV110" s="18">
        <v>0.629505305062665</v>
      </c>
      <c r="AW110" s="17">
        <v>1625.6653734205199</v>
      </c>
      <c r="AX110" s="18">
        <v>3.15217794239624E-2</v>
      </c>
      <c r="AY110" s="17">
        <v>418.90825108046698</v>
      </c>
      <c r="AZ110" s="18">
        <v>1.4295790432986099E-2</v>
      </c>
      <c r="BA110" s="17">
        <v>4468.1132320111001</v>
      </c>
      <c r="BB110" s="18">
        <v>1.28105925458977E-4</v>
      </c>
      <c r="BC110" s="17">
        <v>7154.22690501751</v>
      </c>
      <c r="BD110" s="18">
        <v>1.4959845149344899E-3</v>
      </c>
      <c r="BE110" s="17">
        <v>-2686.1136730063999</v>
      </c>
      <c r="BF110" s="18">
        <v>3.7796373592813301E-3</v>
      </c>
      <c r="BG110" s="17"/>
      <c r="BH110" s="18"/>
    </row>
    <row r="111" spans="1:60" x14ac:dyDescent="0.2">
      <c r="A111" s="16">
        <v>2004</v>
      </c>
      <c r="B111" s="16">
        <v>4</v>
      </c>
      <c r="C111" s="17">
        <v>130918.91910842</v>
      </c>
      <c r="D111" s="18">
        <v>2.2777677886114601E-2</v>
      </c>
      <c r="E111" s="17">
        <v>125970.712589635</v>
      </c>
      <c r="F111" s="18">
        <v>1.9852077402860099E-2</v>
      </c>
      <c r="G111" s="17">
        <v>1174.2677137512201</v>
      </c>
      <c r="H111" s="18">
        <v>6.41044356415372E-2</v>
      </c>
      <c r="I111" s="17">
        <v>145.765072087589</v>
      </c>
      <c r="J111" s="18">
        <v>4.0252921306031197E-2</v>
      </c>
      <c r="K111" s="17">
        <v>24522.158443168599</v>
      </c>
      <c r="L111" s="18">
        <v>1.5257777969502499E-2</v>
      </c>
      <c r="M111" s="17">
        <v>5928.9097703564003</v>
      </c>
      <c r="N111" s="18">
        <v>4.6272310191212397E-2</v>
      </c>
      <c r="O111" s="17">
        <v>18593.2486728123</v>
      </c>
      <c r="P111" s="18">
        <v>5.7510609620139404E-3</v>
      </c>
      <c r="Q111" s="17">
        <v>2032.7793371518501</v>
      </c>
      <c r="R111" s="18">
        <v>5.5481145161568896E-3</v>
      </c>
      <c r="S111" s="17">
        <v>768.62307420438299</v>
      </c>
      <c r="T111" s="18">
        <v>0.16754435710259</v>
      </c>
      <c r="U111" s="17">
        <v>6185.4873884267899</v>
      </c>
      <c r="V111" s="18">
        <v>1.0472363832523901E-2</v>
      </c>
      <c r="W111" s="17">
        <v>21768.791664910899</v>
      </c>
      <c r="X111" s="18">
        <v>4.4497193549188498E-2</v>
      </c>
      <c r="Y111" s="17">
        <v>6310.1778534421101</v>
      </c>
      <c r="Z111" s="18">
        <v>-1.09094881854385E-2</v>
      </c>
      <c r="AA111" s="17">
        <v>4752.1733533245097</v>
      </c>
      <c r="AB111" s="18">
        <v>3.2733380408403998E-2</v>
      </c>
      <c r="AC111" s="17">
        <v>2483.1316493684499</v>
      </c>
      <c r="AD111" s="18">
        <v>-2.3701715975964901E-2</v>
      </c>
      <c r="AE111" s="17">
        <v>6071.43482426221</v>
      </c>
      <c r="AF111" s="18">
        <v>3.6852779340973897E-2</v>
      </c>
      <c r="AG111" s="17">
        <v>13469.008446079401</v>
      </c>
      <c r="AH111" s="18">
        <v>-5.72864515676672E-2</v>
      </c>
      <c r="AI111" s="17">
        <v>7943.8881000745296</v>
      </c>
      <c r="AJ111" s="18">
        <v>-3.6960701530144698E-2</v>
      </c>
      <c r="AK111" s="17">
        <v>4467.2410942093102</v>
      </c>
      <c r="AL111" s="18">
        <v>-9.8621068988084107E-2</v>
      </c>
      <c r="AM111" s="17">
        <v>18538.745661573699</v>
      </c>
      <c r="AN111" s="18">
        <v>4.4288841823977299E-2</v>
      </c>
      <c r="AO111" s="17">
        <v>8261.5679401182697</v>
      </c>
      <c r="AP111" s="18">
        <v>1.7702613038614201E-2</v>
      </c>
      <c r="AQ111" s="17">
        <v>5294.2175445152998</v>
      </c>
      <c r="AR111" s="18">
        <v>2.6203474457455701E-3</v>
      </c>
      <c r="AS111" s="17">
        <v>7575.43666727251</v>
      </c>
      <c r="AT111" s="18">
        <v>2.8616169278893301E-2</v>
      </c>
      <c r="AU111" s="17">
        <v>893.82054648740097</v>
      </c>
      <c r="AV111" s="18">
        <v>0.28431017169676598</v>
      </c>
      <c r="AW111" s="17">
        <v>1611.04115865771</v>
      </c>
      <c r="AX111" s="18">
        <v>2.90102280916049E-2</v>
      </c>
      <c r="AY111" s="17">
        <v>422.26210427390703</v>
      </c>
      <c r="AZ111" s="18">
        <v>2.10621985284585E-2</v>
      </c>
      <c r="BA111" s="17">
        <v>4948.2065187848302</v>
      </c>
      <c r="BB111" s="18">
        <v>0.10335540842084499</v>
      </c>
      <c r="BC111" s="17">
        <v>7647.6381550308397</v>
      </c>
      <c r="BD111" s="18">
        <v>6.9369467652972805E-2</v>
      </c>
      <c r="BE111" s="17">
        <v>-2699.4316362460099</v>
      </c>
      <c r="BF111" s="18">
        <v>1.2217250106795001E-2</v>
      </c>
      <c r="BG111" s="17"/>
      <c r="BH111" s="18"/>
    </row>
    <row r="112" spans="1:60" x14ac:dyDescent="0.2">
      <c r="A112" s="16">
        <v>2005</v>
      </c>
      <c r="B112" s="16">
        <v>1</v>
      </c>
      <c r="C112" s="17">
        <v>127721.089383484</v>
      </c>
      <c r="D112" s="18">
        <v>2.25209066051839E-2</v>
      </c>
      <c r="E112" s="17">
        <v>122861.088701381</v>
      </c>
      <c r="F112" s="18">
        <v>2.3230349173645599E-2</v>
      </c>
      <c r="G112" s="17">
        <v>1117.3135238121199</v>
      </c>
      <c r="H112" s="18">
        <v>-5.8068643666203797E-2</v>
      </c>
      <c r="I112" s="17">
        <v>135.01737438884001</v>
      </c>
      <c r="J112" s="18">
        <v>3.7540273019282602E-2</v>
      </c>
      <c r="K112" s="17">
        <v>23572.852306016499</v>
      </c>
      <c r="L112" s="18">
        <v>1.6636460030227101E-2</v>
      </c>
      <c r="M112" s="17">
        <v>6252.09670752085</v>
      </c>
      <c r="N112" s="18">
        <v>3.0226166270442601E-2</v>
      </c>
      <c r="O112" s="17">
        <v>17320.755598495602</v>
      </c>
      <c r="P112" s="18">
        <v>1.1818767529707E-2</v>
      </c>
      <c r="Q112" s="17">
        <v>2222.7091268977101</v>
      </c>
      <c r="R112" s="18">
        <v>9.7037088752169903E-2</v>
      </c>
      <c r="S112" s="17">
        <v>727.54459700682503</v>
      </c>
      <c r="T112" s="18">
        <v>4.0441517069212098E-2</v>
      </c>
      <c r="U112" s="17">
        <v>5595.2059132513205</v>
      </c>
      <c r="V112" s="18">
        <v>5.1359732745655E-3</v>
      </c>
      <c r="W112" s="17">
        <v>19398.368357120798</v>
      </c>
      <c r="X112" s="18">
        <v>3.5609268800988997E-2</v>
      </c>
      <c r="Y112" s="17">
        <v>5646.3846912436402</v>
      </c>
      <c r="Z112" s="18">
        <v>-4.3934746823496296E-3</v>
      </c>
      <c r="AA112" s="17">
        <v>4790.4479732402797</v>
      </c>
      <c r="AB112" s="18">
        <v>3.9358991389553601E-2</v>
      </c>
      <c r="AC112" s="17">
        <v>2872.01326226642</v>
      </c>
      <c r="AD112" s="18">
        <v>1.91112575000922E-2</v>
      </c>
      <c r="AE112" s="17">
        <v>5891.5793751683896</v>
      </c>
      <c r="AF112" s="18">
        <v>2.9950588684620302E-2</v>
      </c>
      <c r="AG112" s="17">
        <v>13633.584930957901</v>
      </c>
      <c r="AH112" s="18">
        <v>-2.6786936631045099E-2</v>
      </c>
      <c r="AI112" s="17">
        <v>8111.5378247356903</v>
      </c>
      <c r="AJ112" s="18">
        <v>-6.13441794608205E-3</v>
      </c>
      <c r="AK112" s="17">
        <v>4456.7561374943398</v>
      </c>
      <c r="AL112" s="18">
        <v>-6.0366055783743801E-2</v>
      </c>
      <c r="AM112" s="17">
        <v>18731.650307931101</v>
      </c>
      <c r="AN112" s="18">
        <v>4.7481976054463797E-2</v>
      </c>
      <c r="AO112" s="17">
        <v>8319.4263030889906</v>
      </c>
      <c r="AP112" s="18">
        <v>2.4886855763895901E-2</v>
      </c>
      <c r="AQ112" s="17">
        <v>5355.81104079341</v>
      </c>
      <c r="AR112" s="18">
        <v>2.6915556817428899E-2</v>
      </c>
      <c r="AS112" s="17">
        <v>7653.3911764409404</v>
      </c>
      <c r="AT112" s="18">
        <v>3.6757869709149502E-2</v>
      </c>
      <c r="AU112" s="17">
        <v>798.70497970814301</v>
      </c>
      <c r="AV112" s="18">
        <v>3.11152542622628E-2</v>
      </c>
      <c r="AW112" s="17">
        <v>1621.3384062165901</v>
      </c>
      <c r="AX112" s="18">
        <v>1.16569509018465E-2</v>
      </c>
      <c r="AY112" s="17">
        <v>424.12974707485603</v>
      </c>
      <c r="AZ112" s="18">
        <v>2.4409688594767599E-2</v>
      </c>
      <c r="BA112" s="17">
        <v>4860.00068210278</v>
      </c>
      <c r="BB112" s="18">
        <v>4.9073171847584503E-3</v>
      </c>
      <c r="BC112" s="17">
        <v>7581.3156961869299</v>
      </c>
      <c r="BD112" s="18">
        <v>1.0809234219172299E-2</v>
      </c>
      <c r="BE112" s="17">
        <v>-2721.3150140841499</v>
      </c>
      <c r="BF112" s="18">
        <v>2.15237630521403E-2</v>
      </c>
      <c r="BG112" s="17"/>
      <c r="BH112" s="18"/>
    </row>
    <row r="113" spans="1:60" x14ac:dyDescent="0.2">
      <c r="A113" s="16">
        <v>2005</v>
      </c>
      <c r="B113" s="16">
        <v>2</v>
      </c>
      <c r="C113" s="17">
        <v>131075.420890899</v>
      </c>
      <c r="D113" s="18">
        <v>3.3699881740097699E-2</v>
      </c>
      <c r="E113" s="17">
        <v>126286.49244609399</v>
      </c>
      <c r="F113" s="18">
        <v>3.5938101019358001E-2</v>
      </c>
      <c r="G113" s="17">
        <v>1074.7692864062799</v>
      </c>
      <c r="H113" s="18">
        <v>-0.10563868871691599</v>
      </c>
      <c r="I113" s="17">
        <v>172.27308304744199</v>
      </c>
      <c r="J113" s="18">
        <v>0.100778572729658</v>
      </c>
      <c r="K113" s="17">
        <v>25340.293941388099</v>
      </c>
      <c r="L113" s="18">
        <v>5.9946987641663202E-2</v>
      </c>
      <c r="M113" s="17">
        <v>6524.4251925827803</v>
      </c>
      <c r="N113" s="18">
        <v>6.47451799741494E-2</v>
      </c>
      <c r="O113" s="17">
        <v>18815.8687488053</v>
      </c>
      <c r="P113" s="18">
        <v>5.8293290432754399E-2</v>
      </c>
      <c r="Q113" s="17">
        <v>2019.0350228816201</v>
      </c>
      <c r="R113" s="18">
        <v>4.6962333726211503E-2</v>
      </c>
      <c r="S113" s="17">
        <v>680.55249383597004</v>
      </c>
      <c r="T113" s="18">
        <v>-3.6194972618431999E-2</v>
      </c>
      <c r="U113" s="17">
        <v>6321.4911491073999</v>
      </c>
      <c r="V113" s="18">
        <v>6.3835940563138793E-2</v>
      </c>
      <c r="W113" s="17">
        <v>20668.003239938698</v>
      </c>
      <c r="X113" s="18">
        <v>4.8127383352301302E-2</v>
      </c>
      <c r="Y113" s="17">
        <v>5887.3884970363597</v>
      </c>
      <c r="Z113" s="18">
        <v>2.1516871405769401E-2</v>
      </c>
      <c r="AA113" s="17">
        <v>4683.0447265272196</v>
      </c>
      <c r="AB113" s="18">
        <v>3.8194997548678201E-2</v>
      </c>
      <c r="AC113" s="17">
        <v>2689.2686180276901</v>
      </c>
      <c r="AD113" s="18">
        <v>-7.18090183117459E-3</v>
      </c>
      <c r="AE113" s="17">
        <v>5625.0895010729701</v>
      </c>
      <c r="AF113" s="18">
        <v>3.5985088069529603E-2</v>
      </c>
      <c r="AG113" s="17">
        <v>13803.2526941955</v>
      </c>
      <c r="AH113" s="18">
        <v>1.19489045166081E-2</v>
      </c>
      <c r="AI113" s="17">
        <v>8235.4389483367504</v>
      </c>
      <c r="AJ113" s="18">
        <v>3.6996461560211899E-2</v>
      </c>
      <c r="AK113" s="17">
        <v>4481.43574042625</v>
      </c>
      <c r="AL113" s="18">
        <v>-2.5938758409821301E-2</v>
      </c>
      <c r="AM113" s="17">
        <v>19025.483435798698</v>
      </c>
      <c r="AN113" s="18">
        <v>5.2934290939574503E-2</v>
      </c>
      <c r="AO113" s="17">
        <v>8322.3438649364198</v>
      </c>
      <c r="AP113" s="18">
        <v>1.5012283882908499E-2</v>
      </c>
      <c r="AQ113" s="17">
        <v>5369.3103737148504</v>
      </c>
      <c r="AR113" s="18">
        <v>1.53648481462183E-2</v>
      </c>
      <c r="AS113" s="17">
        <v>7633.7800053219098</v>
      </c>
      <c r="AT113" s="18">
        <v>1.3855414346208799E-2</v>
      </c>
      <c r="AU113" s="17">
        <v>792.76652222749794</v>
      </c>
      <c r="AV113" s="18">
        <v>-0.15630117327831999</v>
      </c>
      <c r="AW113" s="17">
        <v>1640.2860671482299</v>
      </c>
      <c r="AX113" s="18">
        <v>1.6979511541767901E-2</v>
      </c>
      <c r="AY113" s="17">
        <v>425.448420517199</v>
      </c>
      <c r="AZ113" s="18">
        <v>2.1229817191848101E-2</v>
      </c>
      <c r="BA113" s="17">
        <v>4788.9284448050703</v>
      </c>
      <c r="BB113" s="18">
        <v>-2.20208698965602E-2</v>
      </c>
      <c r="BC113" s="17">
        <v>7528.3313457309296</v>
      </c>
      <c r="BD113" s="18">
        <v>-4.5046860611361898E-3</v>
      </c>
      <c r="BE113" s="17">
        <v>-2739.4029009258602</v>
      </c>
      <c r="BF113" s="18">
        <v>2.76724248489915E-2</v>
      </c>
      <c r="BG113" s="17"/>
      <c r="BH113" s="18"/>
    </row>
    <row r="114" spans="1:60" x14ac:dyDescent="0.2">
      <c r="A114" s="16">
        <v>2005</v>
      </c>
      <c r="B114" s="16">
        <v>3</v>
      </c>
      <c r="C114" s="17">
        <v>132132.241051152</v>
      </c>
      <c r="D114" s="18">
        <v>4.8848506571571103E-2</v>
      </c>
      <c r="E114" s="17">
        <v>127153.663981274</v>
      </c>
      <c r="F114" s="18">
        <v>4.6443745436170997E-2</v>
      </c>
      <c r="G114" s="17">
        <v>1065.0157996423</v>
      </c>
      <c r="H114" s="18">
        <v>-9.8744687881514998E-2</v>
      </c>
      <c r="I114" s="17">
        <v>162.18863713475801</v>
      </c>
      <c r="J114" s="18">
        <v>4.45591659671212E-2</v>
      </c>
      <c r="K114" s="17">
        <v>24921.767664541501</v>
      </c>
      <c r="L114" s="18">
        <v>6.8446306742228694E-2</v>
      </c>
      <c r="M114" s="17">
        <v>6481.2569323509997</v>
      </c>
      <c r="N114" s="18">
        <v>7.8828458181695801E-2</v>
      </c>
      <c r="O114" s="17">
        <v>18440.510732190502</v>
      </c>
      <c r="P114" s="18">
        <v>6.4844607088167E-2</v>
      </c>
      <c r="Q114" s="17">
        <v>1985.1440045505799</v>
      </c>
      <c r="R114" s="18">
        <v>-3.2786649249981802E-3</v>
      </c>
      <c r="S114" s="17">
        <v>735.16468108394304</v>
      </c>
      <c r="T114" s="18">
        <v>7.8453817890715705E-3</v>
      </c>
      <c r="U114" s="17">
        <v>6523.2963384373197</v>
      </c>
      <c r="V114" s="18">
        <v>5.2056897155317E-2</v>
      </c>
      <c r="W114" s="17">
        <v>20422.665672577899</v>
      </c>
      <c r="X114" s="18">
        <v>7.5306808192421998E-2</v>
      </c>
      <c r="Y114" s="17">
        <v>5750.8599989447202</v>
      </c>
      <c r="Z114" s="18">
        <v>3.0389188457293301E-2</v>
      </c>
      <c r="AA114" s="17">
        <v>4735.00474124016</v>
      </c>
      <c r="AB114" s="18">
        <v>3.71834139326854E-2</v>
      </c>
      <c r="AC114" s="17">
        <v>3052.5273369193601</v>
      </c>
      <c r="AD114" s="18">
        <v>3.3633038996914603E-2</v>
      </c>
      <c r="AE114" s="17">
        <v>5752.8809307225001</v>
      </c>
      <c r="AF114" s="18">
        <v>2.5977272769153199E-2</v>
      </c>
      <c r="AG114" s="17">
        <v>14234.8644235057</v>
      </c>
      <c r="AH114" s="18">
        <v>7.6380109802642399E-2</v>
      </c>
      <c r="AI114" s="17">
        <v>8548.3822208976308</v>
      </c>
      <c r="AJ114" s="18">
        <v>0.11829959677142</v>
      </c>
      <c r="AK114" s="17">
        <v>4541.9664301377998</v>
      </c>
      <c r="AL114" s="18">
        <v>6.5052056166288201E-3</v>
      </c>
      <c r="AM114" s="17">
        <v>19236.854478927002</v>
      </c>
      <c r="AN114" s="18">
        <v>4.9731305805809298E-2</v>
      </c>
      <c r="AO114" s="17">
        <v>8319.0730050208895</v>
      </c>
      <c r="AP114" s="18">
        <v>1.2314320683560099E-2</v>
      </c>
      <c r="AQ114" s="17">
        <v>5342.07934473143</v>
      </c>
      <c r="AR114" s="18">
        <v>1.5340256613751701E-2</v>
      </c>
      <c r="AS114" s="17">
        <v>7749.7421062639696</v>
      </c>
      <c r="AT114" s="18">
        <v>1.6995781763872599E-2</v>
      </c>
      <c r="AU114" s="17">
        <v>814.13564385413895</v>
      </c>
      <c r="AV114" s="18">
        <v>-0.26920053648203801</v>
      </c>
      <c r="AW114" s="17">
        <v>1671.50904086791</v>
      </c>
      <c r="AX114" s="18">
        <v>2.8199940896159299E-2</v>
      </c>
      <c r="AY114" s="17">
        <v>429.75013125222301</v>
      </c>
      <c r="AZ114" s="18">
        <v>2.58812762551048E-2</v>
      </c>
      <c r="BA114" s="17">
        <v>4978.5770698787901</v>
      </c>
      <c r="BB114" s="18">
        <v>0.114245949321641</v>
      </c>
      <c r="BC114" s="17">
        <v>7750.9993443254398</v>
      </c>
      <c r="BD114" s="18">
        <v>8.3415363704692394E-2</v>
      </c>
      <c r="BE114" s="17">
        <v>-2772.4222744466401</v>
      </c>
      <c r="BF114" s="18">
        <v>3.2131403189515503E-2</v>
      </c>
      <c r="BG114" s="17"/>
      <c r="BH114" s="18"/>
    </row>
    <row r="115" spans="1:60" x14ac:dyDescent="0.2">
      <c r="A115" s="16">
        <v>2005</v>
      </c>
      <c r="B115" s="16">
        <v>4</v>
      </c>
      <c r="C115" s="17">
        <v>137672.40577598201</v>
      </c>
      <c r="D115" s="18">
        <v>5.1585261424055499E-2</v>
      </c>
      <c r="E115" s="17">
        <v>132860.80265903901</v>
      </c>
      <c r="F115" s="18">
        <v>5.4695968037026303E-2</v>
      </c>
      <c r="G115" s="17">
        <v>1049.24635252711</v>
      </c>
      <c r="H115" s="18">
        <v>-0.10646751142014001</v>
      </c>
      <c r="I115" s="17">
        <v>154.02280998494999</v>
      </c>
      <c r="J115" s="18">
        <v>5.6651005478175698E-2</v>
      </c>
      <c r="K115" s="17">
        <v>26380.741367358602</v>
      </c>
      <c r="L115" s="18">
        <v>7.5791979262236395E-2</v>
      </c>
      <c r="M115" s="17">
        <v>6540.2091312823604</v>
      </c>
      <c r="N115" s="18">
        <v>0.103104851415071</v>
      </c>
      <c r="O115" s="17">
        <v>19840.5322360762</v>
      </c>
      <c r="P115" s="18">
        <v>6.7082605369968198E-2</v>
      </c>
      <c r="Q115" s="17">
        <v>2004.1372563775501</v>
      </c>
      <c r="R115" s="18">
        <v>-1.40901081838175E-2</v>
      </c>
      <c r="S115" s="17">
        <v>757.27473245033104</v>
      </c>
      <c r="T115" s="18">
        <v>-1.47645082940019E-2</v>
      </c>
      <c r="U115" s="17">
        <v>6508.7994274594603</v>
      </c>
      <c r="V115" s="18">
        <v>5.22694524666878E-2</v>
      </c>
      <c r="W115" s="17">
        <v>23531.958908562101</v>
      </c>
      <c r="X115" s="18">
        <v>8.0995182038204494E-2</v>
      </c>
      <c r="Y115" s="17">
        <v>6494.91596422778</v>
      </c>
      <c r="Z115" s="18">
        <v>2.92762129810487E-2</v>
      </c>
      <c r="AA115" s="17">
        <v>5021.6744640268398</v>
      </c>
      <c r="AB115" s="18">
        <v>5.6711127870324098E-2</v>
      </c>
      <c r="AC115" s="17">
        <v>2576.0356282676198</v>
      </c>
      <c r="AD115" s="18">
        <v>3.7414036796155702E-2</v>
      </c>
      <c r="AE115" s="17">
        <v>6230.1623403576396</v>
      </c>
      <c r="AF115" s="18">
        <v>2.61433286677368E-2</v>
      </c>
      <c r="AG115" s="17">
        <v>15022.475527759199</v>
      </c>
      <c r="AH115" s="18">
        <v>0.115336410092751</v>
      </c>
      <c r="AI115" s="17">
        <v>9152.1920993864405</v>
      </c>
      <c r="AJ115" s="18">
        <v>0.152104861509891</v>
      </c>
      <c r="AK115" s="17">
        <v>4643.4438532183904</v>
      </c>
      <c r="AL115" s="18">
        <v>3.9443306347956203E-2</v>
      </c>
      <c r="AM115" s="17">
        <v>19303.021538879701</v>
      </c>
      <c r="AN115" s="18">
        <v>4.1225867772171999E-2</v>
      </c>
      <c r="AO115" s="17">
        <v>8355.6180334332093</v>
      </c>
      <c r="AP115" s="18">
        <v>1.1384048887164801E-2</v>
      </c>
      <c r="AQ115" s="17">
        <v>5337.5047847202104</v>
      </c>
      <c r="AR115" s="18">
        <v>8.1763244220587304E-3</v>
      </c>
      <c r="AS115" s="17">
        <v>7726.0747607019803</v>
      </c>
      <c r="AT115" s="18">
        <v>1.9885070662692499E-2</v>
      </c>
      <c r="AU115" s="17">
        <v>793.52260666943505</v>
      </c>
      <c r="AV115" s="18">
        <v>-0.11221261383185201</v>
      </c>
      <c r="AW115" s="17">
        <v>1676.9616944576701</v>
      </c>
      <c r="AX115" s="18">
        <v>4.0917971242202103E-2</v>
      </c>
      <c r="AY115" s="17">
        <v>431.570425045349</v>
      </c>
      <c r="AZ115" s="18">
        <v>2.2043940664407499E-2</v>
      </c>
      <c r="BA115" s="17">
        <v>4811.60311694336</v>
      </c>
      <c r="BB115" s="18">
        <v>-2.7606649262290499E-2</v>
      </c>
      <c r="BC115" s="17">
        <v>7566.9047593567002</v>
      </c>
      <c r="BD115" s="18">
        <v>-1.05566442916802E-2</v>
      </c>
      <c r="BE115" s="17">
        <v>-2755.3016424133398</v>
      </c>
      <c r="BF115" s="18">
        <v>2.0696951690551298E-2</v>
      </c>
      <c r="BG115" s="17"/>
      <c r="BH115" s="18"/>
    </row>
    <row r="116" spans="1:60" x14ac:dyDescent="0.2">
      <c r="A116" s="16">
        <v>2006</v>
      </c>
      <c r="B116" s="16">
        <v>1</v>
      </c>
      <c r="C116" s="17">
        <v>136490.87226166</v>
      </c>
      <c r="D116" s="18">
        <v>6.8663545860032399E-2</v>
      </c>
      <c r="E116" s="17">
        <v>131031.01501102799</v>
      </c>
      <c r="F116" s="18">
        <v>6.6497264479757498E-2</v>
      </c>
      <c r="G116" s="17">
        <v>1034.4093154434099</v>
      </c>
      <c r="H116" s="18">
        <v>-7.4199592685370894E-2</v>
      </c>
      <c r="I116" s="17">
        <v>134.48975214598599</v>
      </c>
      <c r="J116" s="18">
        <v>-3.9078099781026899E-3</v>
      </c>
      <c r="K116" s="17">
        <v>25949.844816954701</v>
      </c>
      <c r="L116" s="18">
        <v>0.100836015942438</v>
      </c>
      <c r="M116" s="17">
        <v>6951.8047893328003</v>
      </c>
      <c r="N116" s="18">
        <v>0.111915748355307</v>
      </c>
      <c r="O116" s="17">
        <v>18998.040027621901</v>
      </c>
      <c r="P116" s="18">
        <v>9.6836677798971996E-2</v>
      </c>
      <c r="Q116" s="17">
        <v>2164.6745272377502</v>
      </c>
      <c r="R116" s="18">
        <v>-2.6109848993586399E-2</v>
      </c>
      <c r="S116" s="17">
        <v>781.91871692898803</v>
      </c>
      <c r="T116" s="18">
        <v>7.4736476837107296E-2</v>
      </c>
      <c r="U116" s="17">
        <v>5841.5994932677204</v>
      </c>
      <c r="V116" s="18">
        <v>4.4036552691090601E-2</v>
      </c>
      <c r="W116" s="17">
        <v>21335.7174934334</v>
      </c>
      <c r="X116" s="18">
        <v>9.9871757286296395E-2</v>
      </c>
      <c r="Y116" s="17">
        <v>5711.3838209787</v>
      </c>
      <c r="Z116" s="18">
        <v>1.15116367887325E-2</v>
      </c>
      <c r="AA116" s="17">
        <v>5016.3036891109696</v>
      </c>
      <c r="AB116" s="18">
        <v>4.7147097125850697E-2</v>
      </c>
      <c r="AC116" s="17">
        <v>2991.8373799588599</v>
      </c>
      <c r="AD116" s="18">
        <v>4.1721296787426497E-2</v>
      </c>
      <c r="AE116" s="17">
        <v>6030.60217747142</v>
      </c>
      <c r="AF116" s="18">
        <v>2.35968648557929E-2</v>
      </c>
      <c r="AG116" s="17">
        <v>15344.1492685827</v>
      </c>
      <c r="AH116" s="18">
        <v>0.12546695137686101</v>
      </c>
      <c r="AI116" s="17">
        <v>9225.2073703730603</v>
      </c>
      <c r="AJ116" s="18">
        <v>0.13729450194281201</v>
      </c>
      <c r="AK116" s="17">
        <v>4796.0436191092103</v>
      </c>
      <c r="AL116" s="18">
        <v>7.6128796628668796E-2</v>
      </c>
      <c r="AM116" s="17">
        <v>19659.776575484</v>
      </c>
      <c r="AN116" s="18">
        <v>4.9548558311487897E-2</v>
      </c>
      <c r="AO116" s="17">
        <v>8461.6715668281704</v>
      </c>
      <c r="AP116" s="18">
        <v>1.7097965479466501E-2</v>
      </c>
      <c r="AQ116" s="17">
        <v>5397.5404430904</v>
      </c>
      <c r="AR116" s="18">
        <v>7.79142542168709E-3</v>
      </c>
      <c r="AS116" s="17">
        <v>7720.6730103177097</v>
      </c>
      <c r="AT116" s="18">
        <v>8.7911139422589494E-3</v>
      </c>
      <c r="AU116" s="17">
        <v>1047.0872240495401</v>
      </c>
      <c r="AV116" s="18">
        <v>0.31098121415514002</v>
      </c>
      <c r="AW116" s="17">
        <v>1686.0594199560601</v>
      </c>
      <c r="AX116" s="18">
        <v>3.9918263510756898E-2</v>
      </c>
      <c r="AY116" s="17">
        <v>432.66014076608298</v>
      </c>
      <c r="AZ116" s="18">
        <v>2.0112698413773802E-2</v>
      </c>
      <c r="BA116" s="17">
        <v>5459.8572506322398</v>
      </c>
      <c r="BB116" s="18">
        <v>0.12342726015213799</v>
      </c>
      <c r="BC116" s="17">
        <v>8223.0105919716807</v>
      </c>
      <c r="BD116" s="18">
        <v>8.46416270605235E-2</v>
      </c>
      <c r="BE116" s="17">
        <v>-2763.15334133943</v>
      </c>
      <c r="BF116" s="18">
        <v>1.53743050836619E-2</v>
      </c>
      <c r="BG116" s="17"/>
      <c r="BH116" s="18"/>
    </row>
    <row r="117" spans="1:60" x14ac:dyDescent="0.2">
      <c r="A117" s="16">
        <v>2006</v>
      </c>
      <c r="B117" s="16">
        <v>2</v>
      </c>
      <c r="C117" s="17">
        <v>139072.706614647</v>
      </c>
      <c r="D117" s="18">
        <v>6.1012855571180399E-2</v>
      </c>
      <c r="E117" s="17">
        <v>133870.221252641</v>
      </c>
      <c r="F117" s="18">
        <v>6.0051781149790297E-2</v>
      </c>
      <c r="G117" s="17">
        <v>1031.8330897450601</v>
      </c>
      <c r="H117" s="18">
        <v>-3.9949221850945203E-2</v>
      </c>
      <c r="I117" s="17">
        <v>162.14739024328799</v>
      </c>
      <c r="J117" s="18">
        <v>-5.8776987240461098E-2</v>
      </c>
      <c r="K117" s="17">
        <v>26906.5334169915</v>
      </c>
      <c r="L117" s="18">
        <v>6.1808259968335798E-2</v>
      </c>
      <c r="M117" s="17">
        <v>7093.6393505568303</v>
      </c>
      <c r="N117" s="18">
        <v>8.7243571835439404E-2</v>
      </c>
      <c r="O117" s="17">
        <v>19812.894066434699</v>
      </c>
      <c r="P117" s="18">
        <v>5.2988534887214299E-2</v>
      </c>
      <c r="Q117" s="17">
        <v>2172.62122880072</v>
      </c>
      <c r="R117" s="18">
        <v>7.6069114293967593E-2</v>
      </c>
      <c r="S117" s="17">
        <v>823.05119045921299</v>
      </c>
      <c r="T117" s="18">
        <v>0.20938678193660101</v>
      </c>
      <c r="U117" s="17">
        <v>6414.3254109787704</v>
      </c>
      <c r="V117" s="18">
        <v>1.46855005696684E-2</v>
      </c>
      <c r="W117" s="17">
        <v>22635.874606417699</v>
      </c>
      <c r="X117" s="18">
        <v>9.5213424520673107E-2</v>
      </c>
      <c r="Y117" s="17">
        <v>5943.5877307365699</v>
      </c>
      <c r="Z117" s="18">
        <v>9.5456981866401894E-3</v>
      </c>
      <c r="AA117" s="17">
        <v>4805.5372718992403</v>
      </c>
      <c r="AB117" s="18">
        <v>2.6156603774925902E-2</v>
      </c>
      <c r="AC117" s="17">
        <v>2850.4564593596601</v>
      </c>
      <c r="AD117" s="18">
        <v>5.9937426946284497E-2</v>
      </c>
      <c r="AE117" s="17">
        <v>5722.3756467699504</v>
      </c>
      <c r="AF117" s="18">
        <v>1.7295039603978601E-2</v>
      </c>
      <c r="AG117" s="17">
        <v>15567.921507057399</v>
      </c>
      <c r="AH117" s="18">
        <v>0.127844418410446</v>
      </c>
      <c r="AI117" s="17">
        <v>9201.1687406265792</v>
      </c>
      <c r="AJ117" s="18">
        <v>0.117265126770793</v>
      </c>
      <c r="AK117" s="17">
        <v>4988.1224045072004</v>
      </c>
      <c r="AL117" s="18">
        <v>0.113063467475437</v>
      </c>
      <c r="AM117" s="17">
        <v>19798.761752690702</v>
      </c>
      <c r="AN117" s="18">
        <v>4.0644345227883301E-2</v>
      </c>
      <c r="AO117" s="17">
        <v>8429.2868849228507</v>
      </c>
      <c r="AP117" s="18">
        <v>1.2850108301460101E-2</v>
      </c>
      <c r="AQ117" s="17">
        <v>5339.6073257129701</v>
      </c>
      <c r="AR117" s="18">
        <v>-5.5320042863015199E-3</v>
      </c>
      <c r="AS117" s="17">
        <v>7775.2572582140201</v>
      </c>
      <c r="AT117" s="18">
        <v>1.8533053453660499E-2</v>
      </c>
      <c r="AU117" s="17">
        <v>1292.6743996998</v>
      </c>
      <c r="AV117" s="18">
        <v>0.63058651375397101</v>
      </c>
      <c r="AW117" s="17">
        <v>1709.16066995593</v>
      </c>
      <c r="AX117" s="18">
        <v>4.1989384770821703E-2</v>
      </c>
      <c r="AY117" s="17">
        <v>432.79574272254303</v>
      </c>
      <c r="AZ117" s="18">
        <v>1.7269595680746701E-2</v>
      </c>
      <c r="BA117" s="17">
        <v>5202.4853620057102</v>
      </c>
      <c r="BB117" s="18">
        <v>8.6356879616619406E-2</v>
      </c>
      <c r="BC117" s="17">
        <v>7960.6912392986396</v>
      </c>
      <c r="BD117" s="18">
        <v>5.7431039324920899E-2</v>
      </c>
      <c r="BE117" s="17">
        <v>-2758.2058772929299</v>
      </c>
      <c r="BF117" s="18">
        <v>6.8638959098403802E-3</v>
      </c>
      <c r="BG117" s="17"/>
      <c r="BH117" s="18"/>
    </row>
    <row r="118" spans="1:60" x14ac:dyDescent="0.2">
      <c r="A118" s="16">
        <v>2006</v>
      </c>
      <c r="B118" s="16">
        <v>3</v>
      </c>
      <c r="C118" s="17">
        <v>140312.83151768599</v>
      </c>
      <c r="D118" s="18">
        <v>6.1912144995455401E-2</v>
      </c>
      <c r="E118" s="17">
        <v>134911.510330252</v>
      </c>
      <c r="F118" s="18">
        <v>6.1011583198425499E-2</v>
      </c>
      <c r="G118" s="17">
        <v>1068.0556519699901</v>
      </c>
      <c r="H118" s="18">
        <v>2.8542790902352801E-3</v>
      </c>
      <c r="I118" s="17">
        <v>159.65638967658001</v>
      </c>
      <c r="J118" s="18">
        <v>-1.5612976981086E-2</v>
      </c>
      <c r="K118" s="17">
        <v>26805.9832689086</v>
      </c>
      <c r="L118" s="18">
        <v>7.5605215076616702E-2</v>
      </c>
      <c r="M118" s="17">
        <v>7197.9553218307301</v>
      </c>
      <c r="N118" s="18">
        <v>0.110580153967103</v>
      </c>
      <c r="O118" s="17">
        <v>19608.027947077899</v>
      </c>
      <c r="P118" s="18">
        <v>6.3312629017879596E-2</v>
      </c>
      <c r="Q118" s="17">
        <v>2157.8511384946401</v>
      </c>
      <c r="R118" s="18">
        <v>8.6999801298121501E-2</v>
      </c>
      <c r="S118" s="17">
        <v>842.54151392143694</v>
      </c>
      <c r="T118" s="18">
        <v>0.1460582038288</v>
      </c>
      <c r="U118" s="17">
        <v>6541.8940735638698</v>
      </c>
      <c r="V118" s="18">
        <v>2.8509719874243401E-3</v>
      </c>
      <c r="W118" s="17">
        <v>22445.077933634799</v>
      </c>
      <c r="X118" s="18">
        <v>9.9027829837728301E-2</v>
      </c>
      <c r="Y118" s="17">
        <v>5836.2304134339902</v>
      </c>
      <c r="Z118" s="18">
        <v>1.48448083425672E-2</v>
      </c>
      <c r="AA118" s="17">
        <v>4877.5180423192896</v>
      </c>
      <c r="AB118" s="18">
        <v>3.00978159193581E-2</v>
      </c>
      <c r="AC118" s="17">
        <v>3171.7890761973899</v>
      </c>
      <c r="AD118" s="18">
        <v>3.9069834964488702E-2</v>
      </c>
      <c r="AE118" s="17">
        <v>5846.5820589061696</v>
      </c>
      <c r="AF118" s="18">
        <v>1.6287687736290302E-2</v>
      </c>
      <c r="AG118" s="17">
        <v>15607.6853624614</v>
      </c>
      <c r="AH118" s="18">
        <v>9.6440745630756802E-2</v>
      </c>
      <c r="AI118" s="17">
        <v>8910.5837913770592</v>
      </c>
      <c r="AJ118" s="18">
        <v>4.2370773921875E-2</v>
      </c>
      <c r="AK118" s="17">
        <v>5240.2642847453999</v>
      </c>
      <c r="AL118" s="18">
        <v>0.153743508532805</v>
      </c>
      <c r="AM118" s="17">
        <v>20189.565933405102</v>
      </c>
      <c r="AN118" s="18">
        <v>4.9525324190699001E-2</v>
      </c>
      <c r="AO118" s="17">
        <v>8575.7923067003394</v>
      </c>
      <c r="AP118" s="18">
        <v>3.0859123549524799E-2</v>
      </c>
      <c r="AQ118" s="17">
        <v>5380.79618137531</v>
      </c>
      <c r="AR118" s="18">
        <v>7.2475218253853502E-3</v>
      </c>
      <c r="AS118" s="17">
        <v>7937.9647181813398</v>
      </c>
      <c r="AT118" s="18">
        <v>2.4287596843413299E-2</v>
      </c>
      <c r="AU118" s="17">
        <v>1130.4115705585</v>
      </c>
      <c r="AV118" s="18">
        <v>0.388480628617488</v>
      </c>
      <c r="AW118" s="17">
        <v>1735.1171911742699</v>
      </c>
      <c r="AX118" s="18">
        <v>3.8054326211321501E-2</v>
      </c>
      <c r="AY118" s="17">
        <v>437.22791880271001</v>
      </c>
      <c r="AZ118" s="18">
        <v>1.7400314756619299E-2</v>
      </c>
      <c r="BA118" s="17">
        <v>5401.3211874340604</v>
      </c>
      <c r="BB118" s="18">
        <v>8.49126390174679E-2</v>
      </c>
      <c r="BC118" s="17">
        <v>8167.5320087051996</v>
      </c>
      <c r="BD118" s="18">
        <v>5.3739220696065203E-2</v>
      </c>
      <c r="BE118" s="17">
        <v>-2766.21082127114</v>
      </c>
      <c r="BF118" s="18">
        <v>-2.2404426745346001E-3</v>
      </c>
      <c r="BG118" s="17"/>
      <c r="BH118" s="18"/>
    </row>
    <row r="119" spans="1:60" x14ac:dyDescent="0.2">
      <c r="A119" s="16">
        <v>2006</v>
      </c>
      <c r="B119" s="16">
        <v>4</v>
      </c>
      <c r="C119" s="17">
        <v>146283.22805693501</v>
      </c>
      <c r="D119" s="18">
        <v>6.2545738431883297E-2</v>
      </c>
      <c r="E119" s="17">
        <v>141409.486986887</v>
      </c>
      <c r="F119" s="18">
        <v>6.4343163346578303E-2</v>
      </c>
      <c r="G119" s="17">
        <v>1076.4235419517699</v>
      </c>
      <c r="H119" s="18">
        <v>2.59016286872942E-2</v>
      </c>
      <c r="I119" s="17">
        <v>158.42457591278401</v>
      </c>
      <c r="J119" s="18">
        <v>2.8578662655643201E-2</v>
      </c>
      <c r="K119" s="17">
        <v>28772.726044548701</v>
      </c>
      <c r="L119" s="18">
        <v>9.0671624571922099E-2</v>
      </c>
      <c r="M119" s="17">
        <v>7375.3086198792498</v>
      </c>
      <c r="N119" s="18">
        <v>0.12768697022279299</v>
      </c>
      <c r="O119" s="17">
        <v>21397.417424669398</v>
      </c>
      <c r="P119" s="18">
        <v>7.8469930648449093E-2</v>
      </c>
      <c r="Q119" s="17">
        <v>2394.1222430026701</v>
      </c>
      <c r="R119" s="18">
        <v>0.19458995903804399</v>
      </c>
      <c r="S119" s="17">
        <v>845.24736011258301</v>
      </c>
      <c r="T119" s="18">
        <v>0.11617002904295599</v>
      </c>
      <c r="U119" s="17">
        <v>6523.8347464622402</v>
      </c>
      <c r="V119" s="18">
        <v>2.30999882088101E-3</v>
      </c>
      <c r="W119" s="17">
        <v>25257.933505775</v>
      </c>
      <c r="X119" s="18">
        <v>7.3345980414106296E-2</v>
      </c>
      <c r="Y119" s="17">
        <v>6487.5871632580502</v>
      </c>
      <c r="Z119" s="18">
        <v>-1.1283904226159201E-3</v>
      </c>
      <c r="AA119" s="17">
        <v>5148.6803582311904</v>
      </c>
      <c r="AB119" s="18">
        <v>2.5291542714320301E-2</v>
      </c>
      <c r="AC119" s="17">
        <v>2675.2663256455298</v>
      </c>
      <c r="AD119" s="18">
        <v>3.85207006801545E-2</v>
      </c>
      <c r="AE119" s="17">
        <v>6332.9969287181602</v>
      </c>
      <c r="AF119" s="18">
        <v>1.6505924363219501E-2</v>
      </c>
      <c r="AG119" s="17">
        <v>16716.8474862644</v>
      </c>
      <c r="AH119" s="18">
        <v>0.112789130884204</v>
      </c>
      <c r="AI119" s="17">
        <v>9561.3895519674097</v>
      </c>
      <c r="AJ119" s="18">
        <v>4.4710321651618701E-2</v>
      </c>
      <c r="AK119" s="17">
        <v>5580.3065416480003</v>
      </c>
      <c r="AL119" s="18">
        <v>0.20176031369050901</v>
      </c>
      <c r="AM119" s="17">
        <v>20320.236705827501</v>
      </c>
      <c r="AN119" s="18">
        <v>5.2697198979905401E-2</v>
      </c>
      <c r="AO119" s="17">
        <v>8686.4062952758395</v>
      </c>
      <c r="AP119" s="18">
        <v>3.9588724678299998E-2</v>
      </c>
      <c r="AQ119" s="17">
        <v>5398.6347140016196</v>
      </c>
      <c r="AR119" s="18">
        <v>1.14529038843025E-2</v>
      </c>
      <c r="AS119" s="17">
        <v>7987.2343585144899</v>
      </c>
      <c r="AT119" s="18">
        <v>3.3802364836135898E-2</v>
      </c>
      <c r="AU119" s="17">
        <v>932.14219971107104</v>
      </c>
      <c r="AV119" s="18">
        <v>0.17468890221470601</v>
      </c>
      <c r="AW119" s="17">
        <v>1741.31314769089</v>
      </c>
      <c r="AX119" s="18">
        <v>3.8373836114385898E-2</v>
      </c>
      <c r="AY119" s="17">
        <v>441.01644924057399</v>
      </c>
      <c r="AZ119" s="18">
        <v>2.1887561443147699E-2</v>
      </c>
      <c r="BA119" s="17">
        <v>4873.7410700480004</v>
      </c>
      <c r="BB119" s="18">
        <v>1.2914189220185401E-2</v>
      </c>
      <c r="BC119" s="17">
        <v>7587.05796931449</v>
      </c>
      <c r="BD119" s="18">
        <v>2.6633360136940599E-3</v>
      </c>
      <c r="BE119" s="17">
        <v>-2713.3168992664901</v>
      </c>
      <c r="BF119" s="18">
        <v>-1.52378028236787E-2</v>
      </c>
      <c r="BG119" s="17"/>
      <c r="BH119" s="18"/>
    </row>
    <row r="120" spans="1:60" x14ac:dyDescent="0.2">
      <c r="A120" s="16">
        <v>2007</v>
      </c>
      <c r="B120" s="16">
        <v>1</v>
      </c>
      <c r="C120" s="17">
        <v>144908.386882494</v>
      </c>
      <c r="D120" s="18">
        <v>6.1670897704406702E-2</v>
      </c>
      <c r="E120" s="17">
        <v>139055.230801283</v>
      </c>
      <c r="F120" s="18">
        <v>6.12390569483066E-2</v>
      </c>
      <c r="G120" s="17">
        <v>1109.1386498955901</v>
      </c>
      <c r="H120" s="18">
        <v>7.2243485568522794E-2</v>
      </c>
      <c r="I120" s="17">
        <v>144.466089648646</v>
      </c>
      <c r="J120" s="18">
        <v>7.4179164906415407E-2</v>
      </c>
      <c r="K120" s="17">
        <v>27933.645274918999</v>
      </c>
      <c r="L120" s="18">
        <v>7.6447488297430199E-2</v>
      </c>
      <c r="M120" s="17">
        <v>7719.4162477358404</v>
      </c>
      <c r="N120" s="18">
        <v>0.110419018034123</v>
      </c>
      <c r="O120" s="17">
        <v>20214.229027183101</v>
      </c>
      <c r="P120" s="18">
        <v>6.4016551064898203E-2</v>
      </c>
      <c r="Q120" s="17">
        <v>2318.7262594184099</v>
      </c>
      <c r="R120" s="18">
        <v>7.1166233187603706E-2</v>
      </c>
      <c r="S120" s="17">
        <v>869.23420367577705</v>
      </c>
      <c r="T120" s="18">
        <v>0.111668239749681</v>
      </c>
      <c r="U120" s="17">
        <v>5955.0164969428297</v>
      </c>
      <c r="V120" s="18">
        <v>1.9415402203767598E-2</v>
      </c>
      <c r="W120" s="17">
        <v>23053.8986283798</v>
      </c>
      <c r="X120" s="18">
        <v>8.0530740785974303E-2</v>
      </c>
      <c r="Y120" s="17">
        <v>5861.7221565852096</v>
      </c>
      <c r="Z120" s="18">
        <v>2.6322576159966801E-2</v>
      </c>
      <c r="AA120" s="17">
        <v>5139.4183469572399</v>
      </c>
      <c r="AB120" s="18">
        <v>2.45429035952331E-2</v>
      </c>
      <c r="AC120" s="17">
        <v>3031.11679711128</v>
      </c>
      <c r="AD120" s="18">
        <v>1.312886101883E-2</v>
      </c>
      <c r="AE120" s="17">
        <v>6064.3490838480602</v>
      </c>
      <c r="AF120" s="18">
        <v>5.5959430556895597E-3</v>
      </c>
      <c r="AG120" s="17">
        <v>17377.104070966299</v>
      </c>
      <c r="AH120" s="18">
        <v>0.13249055172749599</v>
      </c>
      <c r="AI120" s="17">
        <v>9652.4181914404307</v>
      </c>
      <c r="AJ120" s="18">
        <v>4.6309075115142498E-2</v>
      </c>
      <c r="AK120" s="17">
        <v>6045.9055575483499</v>
      </c>
      <c r="AL120" s="18">
        <v>0.26060270458325702</v>
      </c>
      <c r="AM120" s="17">
        <v>20686.7994316406</v>
      </c>
      <c r="AN120" s="18">
        <v>5.2239803042181801E-2</v>
      </c>
      <c r="AO120" s="17">
        <v>8802.8419499053998</v>
      </c>
      <c r="AP120" s="18">
        <v>4.0319501930884002E-2</v>
      </c>
      <c r="AQ120" s="17">
        <v>5406.0954831671997</v>
      </c>
      <c r="AR120" s="18">
        <v>1.5849886011967101E-3</v>
      </c>
      <c r="AS120" s="17">
        <v>8047.7808427038899</v>
      </c>
      <c r="AT120" s="18">
        <v>4.2367787361159599E-2</v>
      </c>
      <c r="AU120" s="17">
        <v>900.08462971439803</v>
      </c>
      <c r="AV120" s="18">
        <v>-0.14039192815916299</v>
      </c>
      <c r="AW120" s="17">
        <v>1769.72226209992</v>
      </c>
      <c r="AX120" s="18">
        <v>4.9620340276053297E-2</v>
      </c>
      <c r="AY120" s="17">
        <v>445.79230028824401</v>
      </c>
      <c r="AZ120" s="18">
        <v>3.0352136203045402E-2</v>
      </c>
      <c r="BA120" s="17">
        <v>5853.1560812115704</v>
      </c>
      <c r="BB120" s="18">
        <v>7.2034636168149396E-2</v>
      </c>
      <c r="BC120" s="17">
        <v>8539.3939680744697</v>
      </c>
      <c r="BD120" s="18">
        <v>3.8475370129242403E-2</v>
      </c>
      <c r="BE120" s="17">
        <v>-2686.2378868628998</v>
      </c>
      <c r="BF120" s="18">
        <v>-2.78361151101553E-2</v>
      </c>
      <c r="BG120" s="17"/>
      <c r="BH120" s="18"/>
    </row>
    <row r="121" spans="1:60" x14ac:dyDescent="0.2">
      <c r="A121" s="16">
        <v>2007</v>
      </c>
      <c r="B121" s="16">
        <v>2</v>
      </c>
      <c r="C121" s="17">
        <v>148779.38369032301</v>
      </c>
      <c r="D121" s="18">
        <v>6.97957011980221E-2</v>
      </c>
      <c r="E121" s="17">
        <v>143071.82852266001</v>
      </c>
      <c r="F121" s="18">
        <v>6.8735280960309203E-2</v>
      </c>
      <c r="G121" s="17">
        <v>1121.7661503530001</v>
      </c>
      <c r="H121" s="18">
        <v>8.7158535136888204E-2</v>
      </c>
      <c r="I121" s="17">
        <v>166.08878896439001</v>
      </c>
      <c r="J121" s="18">
        <v>2.4307506369287201E-2</v>
      </c>
      <c r="K121" s="17">
        <v>29299.918168667398</v>
      </c>
      <c r="L121" s="18">
        <v>8.8951806410127801E-2</v>
      </c>
      <c r="M121" s="17">
        <v>7913.6778766977504</v>
      </c>
      <c r="N121" s="18">
        <v>0.115601947831835</v>
      </c>
      <c r="O121" s="17">
        <v>21386.2402919696</v>
      </c>
      <c r="P121" s="18">
        <v>7.9410217419996904E-2</v>
      </c>
      <c r="Q121" s="17">
        <v>2264.6427816323098</v>
      </c>
      <c r="R121" s="18">
        <v>4.2355083164858698E-2</v>
      </c>
      <c r="S121" s="17">
        <v>879.06791225357199</v>
      </c>
      <c r="T121" s="18">
        <v>6.8059827193865094E-2</v>
      </c>
      <c r="U121" s="17">
        <v>6407.6884245809397</v>
      </c>
      <c r="V121" s="18">
        <v>-1.03471307933234E-3</v>
      </c>
      <c r="W121" s="17">
        <v>24271.4057269738</v>
      </c>
      <c r="X121" s="18">
        <v>7.2253939774537396E-2</v>
      </c>
      <c r="Y121" s="17">
        <v>6062.6287663068797</v>
      </c>
      <c r="Z121" s="18">
        <v>2.0028481274820799E-2</v>
      </c>
      <c r="AA121" s="17">
        <v>5038.6601011146204</v>
      </c>
      <c r="AB121" s="18">
        <v>4.8511293540180099E-2</v>
      </c>
      <c r="AC121" s="17">
        <v>3006.51050729901</v>
      </c>
      <c r="AD121" s="18">
        <v>5.4747037944375701E-2</v>
      </c>
      <c r="AE121" s="17">
        <v>5762.6100025197002</v>
      </c>
      <c r="AF121" s="18">
        <v>7.0310581187476E-3</v>
      </c>
      <c r="AG121" s="17">
        <v>18169.814307548299</v>
      </c>
      <c r="AH121" s="18">
        <v>0.16713167517651001</v>
      </c>
      <c r="AI121" s="17">
        <v>10120.675268347</v>
      </c>
      <c r="AJ121" s="18">
        <v>9.9933666433101601E-2</v>
      </c>
      <c r="AK121" s="17">
        <v>6295.9877488124102</v>
      </c>
      <c r="AL121" s="18">
        <v>0.26219592027722499</v>
      </c>
      <c r="AM121" s="17">
        <v>21075.328242531799</v>
      </c>
      <c r="AN121" s="18">
        <v>6.4477087293986199E-2</v>
      </c>
      <c r="AO121" s="17">
        <v>8877.6877375910208</v>
      </c>
      <c r="AP121" s="18">
        <v>5.31955856752502E-2</v>
      </c>
      <c r="AQ121" s="17">
        <v>5429.8513156674098</v>
      </c>
      <c r="AR121" s="18">
        <v>1.6900866383912701E-2</v>
      </c>
      <c r="AS121" s="17">
        <v>8171.4090142079303</v>
      </c>
      <c r="AT121" s="18">
        <v>5.0950308502706099E-2</v>
      </c>
      <c r="AU121" s="17">
        <v>907.26270545905197</v>
      </c>
      <c r="AV121" s="18">
        <v>-0.29815063586797202</v>
      </c>
      <c r="AW121" s="17">
        <v>1773.9819368334299</v>
      </c>
      <c r="AX121" s="18">
        <v>3.7925788965858402E-2</v>
      </c>
      <c r="AY121" s="17">
        <v>448.13469846273898</v>
      </c>
      <c r="AZ121" s="18">
        <v>3.5441558744790297E-2</v>
      </c>
      <c r="BA121" s="17">
        <v>5707.5551676627501</v>
      </c>
      <c r="BB121" s="18">
        <v>9.7082407832536799E-2</v>
      </c>
      <c r="BC121" s="17">
        <v>8383.3011025781398</v>
      </c>
      <c r="BD121" s="18">
        <v>5.30870813319895E-2</v>
      </c>
      <c r="BE121" s="17">
        <v>-2675.7459349154001</v>
      </c>
      <c r="BF121" s="18">
        <v>-2.9896224591641801E-2</v>
      </c>
      <c r="BG121" s="17"/>
      <c r="BH121" s="18"/>
    </row>
    <row r="122" spans="1:60" x14ac:dyDescent="0.2">
      <c r="A122" s="16">
        <v>2007</v>
      </c>
      <c r="B122" s="16">
        <v>3</v>
      </c>
      <c r="C122" s="17">
        <v>150101.205238341</v>
      </c>
      <c r="D122" s="18">
        <v>6.9761073273057098E-2</v>
      </c>
      <c r="E122" s="17">
        <v>144372.971827334</v>
      </c>
      <c r="F122" s="18">
        <v>7.0130869292926099E-2</v>
      </c>
      <c r="G122" s="17">
        <v>1176.6289140552899</v>
      </c>
      <c r="H122" s="18">
        <v>0.101655060656284</v>
      </c>
      <c r="I122" s="17">
        <v>160.78174028428501</v>
      </c>
      <c r="J122" s="18">
        <v>7.0485785754310602E-3</v>
      </c>
      <c r="K122" s="17">
        <v>29068.254235001699</v>
      </c>
      <c r="L122" s="18">
        <v>8.4394254200592003E-2</v>
      </c>
      <c r="M122" s="17">
        <v>7899.6753020799797</v>
      </c>
      <c r="N122" s="18">
        <v>9.7488793535714005E-2</v>
      </c>
      <c r="O122" s="17">
        <v>21168.5789329217</v>
      </c>
      <c r="P122" s="18">
        <v>7.9587350143306895E-2</v>
      </c>
      <c r="Q122" s="17">
        <v>2422.1660244580398</v>
      </c>
      <c r="R122" s="18">
        <v>0.12248986097705999</v>
      </c>
      <c r="S122" s="17">
        <v>871.97996035486995</v>
      </c>
      <c r="T122" s="18">
        <v>3.4940054521963602E-2</v>
      </c>
      <c r="U122" s="17">
        <v>6614.4501342958902</v>
      </c>
      <c r="V122" s="18">
        <v>1.10909867870259E-2</v>
      </c>
      <c r="W122" s="17">
        <v>24212.6351305178</v>
      </c>
      <c r="X122" s="18">
        <v>7.8750325666472595E-2</v>
      </c>
      <c r="Y122" s="17">
        <v>5987.0148131860296</v>
      </c>
      <c r="Z122" s="18">
        <v>2.5835923030894201E-2</v>
      </c>
      <c r="AA122" s="17">
        <v>5118.7252559961798</v>
      </c>
      <c r="AB122" s="18">
        <v>4.9452859340359999E-2</v>
      </c>
      <c r="AC122" s="17">
        <v>3365.7294124748601</v>
      </c>
      <c r="AD122" s="18">
        <v>6.1145407723637302E-2</v>
      </c>
      <c r="AE122" s="17">
        <v>5940.4350539525503</v>
      </c>
      <c r="AF122" s="18">
        <v>1.60526259788678E-2</v>
      </c>
      <c r="AG122" s="17">
        <v>18087.926409829899</v>
      </c>
      <c r="AH122" s="18">
        <v>0.15891152273827</v>
      </c>
      <c r="AI122" s="17">
        <v>9990.0731730375301</v>
      </c>
      <c r="AJ122" s="18">
        <v>0.12114687510206899</v>
      </c>
      <c r="AK122" s="17">
        <v>6358.6356902362504</v>
      </c>
      <c r="AL122" s="18">
        <v>0.21341889353681501</v>
      </c>
      <c r="AM122" s="17">
        <v>21473.089520714198</v>
      </c>
      <c r="AN122" s="18">
        <v>6.3573609831075503E-2</v>
      </c>
      <c r="AO122" s="17">
        <v>8945.6855505634194</v>
      </c>
      <c r="AP122" s="18">
        <v>4.3132253048395297E-2</v>
      </c>
      <c r="AQ122" s="17">
        <v>5516.6729628974899</v>
      </c>
      <c r="AR122" s="18">
        <v>2.5252170300093201E-2</v>
      </c>
      <c r="AS122" s="17">
        <v>8248.9361723105394</v>
      </c>
      <c r="AT122" s="18">
        <v>3.9175212434107397E-2</v>
      </c>
      <c r="AU122" s="17">
        <v>906.36241295463606</v>
      </c>
      <c r="AV122" s="18">
        <v>-0.19820140154188901</v>
      </c>
      <c r="AW122" s="17">
        <v>1787.30978355979</v>
      </c>
      <c r="AX122" s="18">
        <v>3.0080154038586202E-2</v>
      </c>
      <c r="AY122" s="17">
        <v>455.20315311234799</v>
      </c>
      <c r="AZ122" s="18">
        <v>4.1111817284816797E-2</v>
      </c>
      <c r="BA122" s="17">
        <v>5728.2334110073098</v>
      </c>
      <c r="BB122" s="18">
        <v>6.0524492476729898E-2</v>
      </c>
      <c r="BC122" s="17">
        <v>8423.0313137060293</v>
      </c>
      <c r="BD122" s="18">
        <v>3.12823145019216E-2</v>
      </c>
      <c r="BE122" s="17">
        <v>-2694.79790269872</v>
      </c>
      <c r="BF122" s="18">
        <v>-2.5816151836037901E-2</v>
      </c>
      <c r="BG122" s="17"/>
      <c r="BH122" s="18"/>
    </row>
    <row r="123" spans="1:60" x14ac:dyDescent="0.2">
      <c r="A123" s="16">
        <v>2007</v>
      </c>
      <c r="B123" s="16">
        <v>4</v>
      </c>
      <c r="C123" s="17">
        <v>155203.23635531301</v>
      </c>
      <c r="D123" s="18">
        <v>6.0977655585409997E-2</v>
      </c>
      <c r="E123" s="17">
        <v>150027.29690261401</v>
      </c>
      <c r="F123" s="18">
        <v>6.0942233080348601E-2</v>
      </c>
      <c r="G123" s="17">
        <v>1208.7102435028401</v>
      </c>
      <c r="H123" s="18">
        <v>0.12289465660627499</v>
      </c>
      <c r="I123" s="17">
        <v>157.103687583116</v>
      </c>
      <c r="J123" s="18">
        <v>-8.3376478810669504E-3</v>
      </c>
      <c r="K123" s="17">
        <v>30431.878984110299</v>
      </c>
      <c r="L123" s="18">
        <v>5.7664085668935702E-2</v>
      </c>
      <c r="M123" s="17">
        <v>7603.3573340816301</v>
      </c>
      <c r="N123" s="18">
        <v>3.0920565627275499E-2</v>
      </c>
      <c r="O123" s="17">
        <v>22828.521650028699</v>
      </c>
      <c r="P123" s="18">
        <v>6.6882100627216001E-2</v>
      </c>
      <c r="Q123" s="17">
        <v>2238.0185492785099</v>
      </c>
      <c r="R123" s="18">
        <v>-6.5202891865863394E-2</v>
      </c>
      <c r="S123" s="17">
        <v>859.65914285307099</v>
      </c>
      <c r="T123" s="18">
        <v>1.7050372968416199E-2</v>
      </c>
      <c r="U123" s="17">
        <v>6739.0763097926301</v>
      </c>
      <c r="V123" s="18">
        <v>3.2993104775855403E-2</v>
      </c>
      <c r="W123" s="17">
        <v>27329.504391156701</v>
      </c>
      <c r="X123" s="18">
        <v>8.2016641817035399E-2</v>
      </c>
      <c r="Y123" s="17">
        <v>6753.2061951811802</v>
      </c>
      <c r="Z123" s="18">
        <v>4.0942653291418302E-2</v>
      </c>
      <c r="AA123" s="17">
        <v>5347.4831022276603</v>
      </c>
      <c r="AB123" s="18">
        <v>3.8612368639013003E-2</v>
      </c>
      <c r="AC123" s="17">
        <v>2904.4507167130701</v>
      </c>
      <c r="AD123" s="18">
        <v>8.5667878696987595E-2</v>
      </c>
      <c r="AE123" s="17">
        <v>6469.8063623156904</v>
      </c>
      <c r="AF123" s="18">
        <v>2.1602636972259101E-2</v>
      </c>
      <c r="AG123" s="17">
        <v>18412.848244531498</v>
      </c>
      <c r="AH123" s="18">
        <v>0.101454581054273</v>
      </c>
      <c r="AI123" s="17">
        <v>10479.112577018301</v>
      </c>
      <c r="AJ123" s="18">
        <v>9.5982181257540294E-2</v>
      </c>
      <c r="AK123" s="17">
        <v>6219.6484584750497</v>
      </c>
      <c r="AL123" s="18">
        <v>0.114571110396068</v>
      </c>
      <c r="AM123" s="17">
        <v>21777.833941835601</v>
      </c>
      <c r="AN123" s="18">
        <v>7.1731311849831697E-2</v>
      </c>
      <c r="AO123" s="17">
        <v>9011.2286455011708</v>
      </c>
      <c r="AP123" s="18">
        <v>3.7394330771977097E-2</v>
      </c>
      <c r="AQ123" s="17">
        <v>5666.0445398779002</v>
      </c>
      <c r="AR123" s="18">
        <v>4.9532861555300803E-2</v>
      </c>
      <c r="AS123" s="17">
        <v>8326.3500912421096</v>
      </c>
      <c r="AT123" s="18">
        <v>4.24572157903595E-2</v>
      </c>
      <c r="AU123" s="17">
        <v>881.39273078113604</v>
      </c>
      <c r="AV123" s="18">
        <v>-5.4443913112898E-2</v>
      </c>
      <c r="AW123" s="17">
        <v>1800.3791030580801</v>
      </c>
      <c r="AX123" s="18">
        <v>3.3920352261461499E-2</v>
      </c>
      <c r="AY123" s="17">
        <v>465.52811625325103</v>
      </c>
      <c r="AZ123" s="18">
        <v>5.5579938242406299E-2</v>
      </c>
      <c r="BA123" s="17">
        <v>5175.9394526983797</v>
      </c>
      <c r="BB123" s="18">
        <v>6.2005424233052997E-2</v>
      </c>
      <c r="BC123" s="17">
        <v>7908.7487377313701</v>
      </c>
      <c r="BD123" s="18">
        <v>4.2399935484603198E-2</v>
      </c>
      <c r="BE123" s="17">
        <v>-2732.8092850329899</v>
      </c>
      <c r="BF123" s="18">
        <v>7.1839694699016299E-3</v>
      </c>
      <c r="BG123" s="17"/>
      <c r="BH123" s="18"/>
    </row>
    <row r="124" spans="1:60" x14ac:dyDescent="0.2">
      <c r="A124" s="16">
        <v>2008</v>
      </c>
      <c r="B124" s="16">
        <v>1</v>
      </c>
      <c r="C124" s="17">
        <v>152278.99435676599</v>
      </c>
      <c r="D124" s="18">
        <v>5.0863912247181203E-2</v>
      </c>
      <c r="E124" s="17">
        <v>146206.57107623099</v>
      </c>
      <c r="F124" s="18">
        <v>5.1428056562416301E-2</v>
      </c>
      <c r="G124" s="17">
        <v>1202.27354072516</v>
      </c>
      <c r="H124" s="18">
        <v>8.3970467387769698E-2</v>
      </c>
      <c r="I124" s="17">
        <v>139.08926799249599</v>
      </c>
      <c r="J124" s="18">
        <v>-3.7218572671464702E-2</v>
      </c>
      <c r="K124" s="17">
        <v>29502.9181496083</v>
      </c>
      <c r="L124" s="18">
        <v>5.61785924910541E-2</v>
      </c>
      <c r="M124" s="17">
        <v>7970.1837738946397</v>
      </c>
      <c r="N124" s="18">
        <v>3.24852965704963E-2</v>
      </c>
      <c r="O124" s="17">
        <v>21532.734375713699</v>
      </c>
      <c r="P124" s="18">
        <v>6.5226595917037306E-2</v>
      </c>
      <c r="Q124" s="17">
        <v>2232.8088841723402</v>
      </c>
      <c r="R124" s="18">
        <v>-3.7053694845215097E-2</v>
      </c>
      <c r="S124" s="17">
        <v>890.28403310021099</v>
      </c>
      <c r="T124" s="18">
        <v>2.42165222392525E-2</v>
      </c>
      <c r="U124" s="17">
        <v>6218.4273106803403</v>
      </c>
      <c r="V124" s="18">
        <v>4.4233431405729301E-2</v>
      </c>
      <c r="W124" s="17">
        <v>25222.855332047398</v>
      </c>
      <c r="X124" s="18">
        <v>9.4081991884771898E-2</v>
      </c>
      <c r="Y124" s="17">
        <v>6118.6033407635296</v>
      </c>
      <c r="Z124" s="18">
        <v>4.38235005543091E-2</v>
      </c>
      <c r="AA124" s="17">
        <v>5476.0671343540898</v>
      </c>
      <c r="AB124" s="18">
        <v>6.5503285521825605E-2</v>
      </c>
      <c r="AC124" s="17">
        <v>3299.8387524698401</v>
      </c>
      <c r="AD124" s="18">
        <v>8.8654437735509406E-2</v>
      </c>
      <c r="AE124" s="17">
        <v>6297.5968907406696</v>
      </c>
      <c r="AF124" s="18">
        <v>3.8462133968152797E-2</v>
      </c>
      <c r="AG124" s="17">
        <v>16853.975212999299</v>
      </c>
      <c r="AH124" s="18">
        <v>-3.0104490128537099E-2</v>
      </c>
      <c r="AI124" s="17">
        <v>9452.4146129075107</v>
      </c>
      <c r="AJ124" s="18">
        <v>-2.0720567070982701E-2</v>
      </c>
      <c r="AK124" s="17">
        <v>5819.0396472136499</v>
      </c>
      <c r="AL124" s="18">
        <v>-3.7523892521188297E-2</v>
      </c>
      <c r="AM124" s="17">
        <v>22212.099870319798</v>
      </c>
      <c r="AN124" s="18">
        <v>7.3733031720037798E-2</v>
      </c>
      <c r="AO124" s="17">
        <v>9166.0818417088703</v>
      </c>
      <c r="AP124" s="18">
        <v>4.1263934291967001E-2</v>
      </c>
      <c r="AQ124" s="17">
        <v>5784.3194891068097</v>
      </c>
      <c r="AR124" s="18">
        <v>6.9962509378031196E-2</v>
      </c>
      <c r="AS124" s="17">
        <v>8443.7838367369204</v>
      </c>
      <c r="AT124" s="18">
        <v>4.9206483349014001E-2</v>
      </c>
      <c r="AU124" s="17">
        <v>957.31325739950296</v>
      </c>
      <c r="AV124" s="18">
        <v>6.3581385345136104E-2</v>
      </c>
      <c r="AW124" s="17">
        <v>1826.8538274835</v>
      </c>
      <c r="AX124" s="18">
        <v>3.2282786178994702E-2</v>
      </c>
      <c r="AY124" s="17">
        <v>479.984444585208</v>
      </c>
      <c r="AZ124" s="18">
        <v>7.66997192972068E-2</v>
      </c>
      <c r="BA124" s="17">
        <v>6072.4232805351103</v>
      </c>
      <c r="BB124" s="18">
        <v>3.7461362089315803E-2</v>
      </c>
      <c r="BC124" s="17">
        <v>8851.6856958756307</v>
      </c>
      <c r="BD124" s="18">
        <v>3.6570713210878798E-2</v>
      </c>
      <c r="BE124" s="17">
        <v>-2779.26241534051</v>
      </c>
      <c r="BF124" s="18">
        <v>3.4630041119050103E-2</v>
      </c>
      <c r="BG124" s="17"/>
      <c r="BH124" s="18"/>
    </row>
    <row r="125" spans="1:60" x14ac:dyDescent="0.2">
      <c r="A125" s="16">
        <v>2008</v>
      </c>
      <c r="B125" s="16">
        <v>2</v>
      </c>
      <c r="C125" s="17">
        <v>156633.56639887099</v>
      </c>
      <c r="D125" s="18">
        <v>5.2790800134618898E-2</v>
      </c>
      <c r="E125" s="17">
        <v>150815.46450828001</v>
      </c>
      <c r="F125" s="18">
        <v>5.4124114198998298E-2</v>
      </c>
      <c r="G125" s="17">
        <v>1181.1263564441599</v>
      </c>
      <c r="H125" s="18">
        <v>5.2916738548827398E-2</v>
      </c>
      <c r="I125" s="17">
        <v>163.361105629995</v>
      </c>
      <c r="J125" s="18">
        <v>-1.6423043068726301E-2</v>
      </c>
      <c r="K125" s="17">
        <v>31870.060614965099</v>
      </c>
      <c r="L125" s="18">
        <v>8.7718417215452593E-2</v>
      </c>
      <c r="M125" s="17">
        <v>8491.1885217375493</v>
      </c>
      <c r="N125" s="18">
        <v>7.29762638861393E-2</v>
      </c>
      <c r="O125" s="17">
        <v>23378.872093227601</v>
      </c>
      <c r="P125" s="18">
        <v>9.3173544019619095E-2</v>
      </c>
      <c r="Q125" s="17">
        <v>2334.3736055562199</v>
      </c>
      <c r="R125" s="18">
        <v>3.0791091862021801E-2</v>
      </c>
      <c r="S125" s="17">
        <v>1018.0880291181199</v>
      </c>
      <c r="T125" s="18">
        <v>0.158144911134524</v>
      </c>
      <c r="U125" s="17">
        <v>6660.5053017803803</v>
      </c>
      <c r="V125" s="18">
        <v>3.9455238839266799E-2</v>
      </c>
      <c r="W125" s="17">
        <v>27002.041340924799</v>
      </c>
      <c r="X125" s="18">
        <v>0.11250422182660801</v>
      </c>
      <c r="Y125" s="17">
        <v>6419.7912728095498</v>
      </c>
      <c r="Z125" s="18">
        <v>5.8912151851950201E-2</v>
      </c>
      <c r="AA125" s="17">
        <v>5312.4001775218803</v>
      </c>
      <c r="AB125" s="18">
        <v>5.4327950469749801E-2</v>
      </c>
      <c r="AC125" s="17">
        <v>3133.7605808516</v>
      </c>
      <c r="AD125" s="18">
        <v>4.2324839126177197E-2</v>
      </c>
      <c r="AE125" s="17">
        <v>6049.3082539922598</v>
      </c>
      <c r="AF125" s="18">
        <v>4.9751458340440403E-2</v>
      </c>
      <c r="AG125" s="17">
        <v>16070.494213354399</v>
      </c>
      <c r="AH125" s="18">
        <v>-0.11553888546466</v>
      </c>
      <c r="AI125" s="17">
        <v>8947.7207995163099</v>
      </c>
      <c r="AJ125" s="18">
        <v>-0.11589685843386401</v>
      </c>
      <c r="AK125" s="17">
        <v>5573.0866692440704</v>
      </c>
      <c r="AL125" s="18">
        <v>-0.114819327547881</v>
      </c>
      <c r="AM125" s="17">
        <v>22802.602307704499</v>
      </c>
      <c r="AN125" s="18">
        <v>8.1957160775647797E-2</v>
      </c>
      <c r="AO125" s="17">
        <v>9243.0064764796298</v>
      </c>
      <c r="AP125" s="18">
        <v>4.11502127228165E-2</v>
      </c>
      <c r="AQ125" s="17">
        <v>5862.8598511035198</v>
      </c>
      <c r="AR125" s="18">
        <v>7.97459286199418E-2</v>
      </c>
      <c r="AS125" s="17">
        <v>8620.5123264828308</v>
      </c>
      <c r="AT125" s="18">
        <v>5.4960327098303903E-2</v>
      </c>
      <c r="AU125" s="17">
        <v>1153.7062237585101</v>
      </c>
      <c r="AV125" s="18">
        <v>0.27163413288851701</v>
      </c>
      <c r="AW125" s="17">
        <v>1855.0901016093001</v>
      </c>
      <c r="AX125" s="18">
        <v>4.5720964284818401E-2</v>
      </c>
      <c r="AY125" s="17">
        <v>482.16764100307302</v>
      </c>
      <c r="AZ125" s="18">
        <v>7.59435559377106E-2</v>
      </c>
      <c r="BA125" s="17">
        <v>5818.1018905904102</v>
      </c>
      <c r="BB125" s="18">
        <v>1.9368489603742701E-2</v>
      </c>
      <c r="BC125" s="17">
        <v>8616.6581019413698</v>
      </c>
      <c r="BD125" s="18">
        <v>2.78359319924062E-2</v>
      </c>
      <c r="BE125" s="17">
        <v>-2798.55621135096</v>
      </c>
      <c r="BF125" s="18">
        <v>4.5897584981082297E-2</v>
      </c>
      <c r="BG125" s="17"/>
      <c r="BH125" s="18"/>
    </row>
    <row r="126" spans="1:60" x14ac:dyDescent="0.2">
      <c r="A126" s="16">
        <v>2008</v>
      </c>
      <c r="B126" s="16">
        <v>3</v>
      </c>
      <c r="C126" s="17">
        <v>156659.61218394901</v>
      </c>
      <c r="D126" s="18">
        <v>4.36932330769364E-2</v>
      </c>
      <c r="E126" s="17">
        <v>150854.84390474201</v>
      </c>
      <c r="F126" s="18">
        <v>4.4896714359804697E-2</v>
      </c>
      <c r="G126" s="17">
        <v>1219.2126134847099</v>
      </c>
      <c r="H126" s="18">
        <v>3.6191274003849E-2</v>
      </c>
      <c r="I126" s="17">
        <v>156.33726597496999</v>
      </c>
      <c r="J126" s="18">
        <v>-2.7642904607550499E-2</v>
      </c>
      <c r="K126" s="17">
        <v>30793.245023835101</v>
      </c>
      <c r="L126" s="18">
        <v>5.9342772183281101E-2</v>
      </c>
      <c r="M126" s="17">
        <v>8096.96363330438</v>
      </c>
      <c r="N126" s="18">
        <v>2.4974232950113001E-2</v>
      </c>
      <c r="O126" s="17">
        <v>22696.281390530799</v>
      </c>
      <c r="P126" s="18">
        <v>7.2168399326659305E-2</v>
      </c>
      <c r="Q126" s="17">
        <v>2358.01573909427</v>
      </c>
      <c r="R126" s="18">
        <v>-2.6484677233518401E-2</v>
      </c>
      <c r="S126" s="17">
        <v>959.50634980511802</v>
      </c>
      <c r="T126" s="18">
        <v>0.10037660660759699</v>
      </c>
      <c r="U126" s="17">
        <v>6875.6052555074202</v>
      </c>
      <c r="V126" s="18">
        <v>3.94825141786821E-2</v>
      </c>
      <c r="W126" s="17">
        <v>26631.121463848998</v>
      </c>
      <c r="X126" s="18">
        <v>9.9885300393549606E-2</v>
      </c>
      <c r="Y126" s="17">
        <v>6390.9705289588801</v>
      </c>
      <c r="Z126" s="18">
        <v>6.7471975329534306E-2</v>
      </c>
      <c r="AA126" s="17">
        <v>5352.5926345316802</v>
      </c>
      <c r="AB126" s="18">
        <v>4.5688597617453502E-2</v>
      </c>
      <c r="AC126" s="17">
        <v>3510.5401593847901</v>
      </c>
      <c r="AD126" s="18">
        <v>4.3025070991506098E-2</v>
      </c>
      <c r="AE126" s="17">
        <v>6230.8456718704301</v>
      </c>
      <c r="AF126" s="18">
        <v>4.8887095857508098E-2</v>
      </c>
      <c r="AG126" s="17">
        <v>15679.7336198552</v>
      </c>
      <c r="AH126" s="18">
        <v>-0.13313813509690001</v>
      </c>
      <c r="AI126" s="17">
        <v>8729.2922553730896</v>
      </c>
      <c r="AJ126" s="18">
        <v>-0.12620337166970899</v>
      </c>
      <c r="AK126" s="17">
        <v>5460.6784172269199</v>
      </c>
      <c r="AL126" s="18">
        <v>-0.14121854384395</v>
      </c>
      <c r="AM126" s="17">
        <v>23248.1287056978</v>
      </c>
      <c r="AN126" s="18">
        <v>8.2663427788128199E-2</v>
      </c>
      <c r="AO126" s="17">
        <v>9344.6959445262091</v>
      </c>
      <c r="AP126" s="18">
        <v>4.4603668629695101E-2</v>
      </c>
      <c r="AQ126" s="17">
        <v>5935.8236500267703</v>
      </c>
      <c r="AR126" s="18">
        <v>7.5978889803380606E-2</v>
      </c>
      <c r="AS126" s="17">
        <v>8804.4317106908402</v>
      </c>
      <c r="AT126" s="18">
        <v>6.7341476134212999E-2</v>
      </c>
      <c r="AU126" s="17">
        <v>1380.49514806614</v>
      </c>
      <c r="AV126" s="18">
        <v>0.52311606078841</v>
      </c>
      <c r="AW126" s="17">
        <v>1882.4316009602801</v>
      </c>
      <c r="AX126" s="18">
        <v>5.32206662076391E-2</v>
      </c>
      <c r="AY126" s="17">
        <v>492.08134758103103</v>
      </c>
      <c r="AZ126" s="18">
        <v>8.1014804525269907E-2</v>
      </c>
      <c r="BA126" s="17">
        <v>5804.7682792073401</v>
      </c>
      <c r="BB126" s="18">
        <v>1.3360989804109401E-2</v>
      </c>
      <c r="BC126" s="17">
        <v>8658.2223581207199</v>
      </c>
      <c r="BD126" s="18">
        <v>2.7922375645451001E-2</v>
      </c>
      <c r="BE126" s="17">
        <v>-2853.4540789133798</v>
      </c>
      <c r="BF126" s="18">
        <v>5.8874981331914301E-2</v>
      </c>
      <c r="BG126" s="17"/>
      <c r="BH126" s="18"/>
    </row>
    <row r="127" spans="1:60" x14ac:dyDescent="0.2">
      <c r="A127" s="16">
        <v>2008</v>
      </c>
      <c r="B127" s="16">
        <v>4</v>
      </c>
      <c r="C127" s="17">
        <v>156889.67045506899</v>
      </c>
      <c r="D127" s="18">
        <v>1.0865972510366801E-2</v>
      </c>
      <c r="E127" s="17">
        <v>151791.34758884201</v>
      </c>
      <c r="F127" s="18">
        <v>1.1758198158919901E-2</v>
      </c>
      <c r="G127" s="17">
        <v>1264.33059961556</v>
      </c>
      <c r="H127" s="18">
        <v>4.6016285881329097E-2</v>
      </c>
      <c r="I127" s="17">
        <v>153.90644292757699</v>
      </c>
      <c r="J127" s="18">
        <v>-2.0351175104325998E-2</v>
      </c>
      <c r="K127" s="17">
        <v>30107.0763138722</v>
      </c>
      <c r="L127" s="18">
        <v>-1.06731060020213E-2</v>
      </c>
      <c r="M127" s="17">
        <v>7379.8036122448302</v>
      </c>
      <c r="N127" s="18">
        <v>-2.94019749452963E-2</v>
      </c>
      <c r="O127" s="17">
        <v>22727.2727016274</v>
      </c>
      <c r="P127" s="18">
        <v>-4.4351951455063902E-3</v>
      </c>
      <c r="Q127" s="17">
        <v>2610.3100053143999</v>
      </c>
      <c r="R127" s="18">
        <v>0.16634869096858301</v>
      </c>
      <c r="S127" s="17">
        <v>804.838645869787</v>
      </c>
      <c r="T127" s="18">
        <v>-6.3770038903260801E-2</v>
      </c>
      <c r="U127" s="17">
        <v>6827.1817248091602</v>
      </c>
      <c r="V127" s="18">
        <v>1.30738117460549E-2</v>
      </c>
      <c r="W127" s="17">
        <v>28220.975503213202</v>
      </c>
      <c r="X127" s="18">
        <v>3.2619366209401202E-2</v>
      </c>
      <c r="Y127" s="17">
        <v>6981.0550770663403</v>
      </c>
      <c r="Z127" s="18">
        <v>3.3739363985028102E-2</v>
      </c>
      <c r="AA127" s="17">
        <v>5475.3590678380497</v>
      </c>
      <c r="AB127" s="18">
        <v>2.3913299615124801E-2</v>
      </c>
      <c r="AC127" s="17">
        <v>3007.1808109702101</v>
      </c>
      <c r="AD127" s="18">
        <v>3.5369887209999201E-2</v>
      </c>
      <c r="AE127" s="17">
        <v>6633.2086857047298</v>
      </c>
      <c r="AF127" s="18">
        <v>2.5256138165248101E-2</v>
      </c>
      <c r="AG127" s="17">
        <v>15555.6681705181</v>
      </c>
      <c r="AH127" s="18">
        <v>-0.15517317234513001</v>
      </c>
      <c r="AI127" s="17">
        <v>8716.54001672499</v>
      </c>
      <c r="AJ127" s="18">
        <v>-0.16819864729374101</v>
      </c>
      <c r="AK127" s="17">
        <v>5471.7690676624698</v>
      </c>
      <c r="AL127" s="18">
        <v>-0.12024464016024899</v>
      </c>
      <c r="AM127" s="17">
        <v>23264.016801260099</v>
      </c>
      <c r="AN127" s="18">
        <v>6.8242914487910006E-2</v>
      </c>
      <c r="AO127" s="17">
        <v>9459.3386573799198</v>
      </c>
      <c r="AP127" s="18">
        <v>4.9727959361287398E-2</v>
      </c>
      <c r="AQ127" s="17">
        <v>6058.36535986339</v>
      </c>
      <c r="AR127" s="18">
        <v>6.9240687612729196E-2</v>
      </c>
      <c r="AS127" s="17">
        <v>8870.1916417952707</v>
      </c>
      <c r="AT127" s="18">
        <v>6.5315719924530405E-2</v>
      </c>
      <c r="AU127" s="17">
        <v>1098.2042842010201</v>
      </c>
      <c r="AV127" s="18">
        <v>0.24598745354722401</v>
      </c>
      <c r="AW127" s="17">
        <v>1885.8684614316001</v>
      </c>
      <c r="AX127" s="18">
        <v>4.7484087228247401E-2</v>
      </c>
      <c r="AY127" s="17">
        <v>495.326412257936</v>
      </c>
      <c r="AZ127" s="18">
        <v>6.4009659061011706E-2</v>
      </c>
      <c r="BA127" s="17">
        <v>5098.3228662271304</v>
      </c>
      <c r="BB127" s="18">
        <v>-1.49956519353756E-2</v>
      </c>
      <c r="BC127" s="17">
        <v>8003.0396232022804</v>
      </c>
      <c r="BD127" s="18">
        <v>1.1922351891275201E-2</v>
      </c>
      <c r="BE127" s="17">
        <v>-2904.71675697514</v>
      </c>
      <c r="BF127" s="18">
        <v>6.29050380074654E-2</v>
      </c>
      <c r="BG127" s="17"/>
      <c r="BH127" s="18"/>
    </row>
    <row r="128" spans="1:60" x14ac:dyDescent="0.2">
      <c r="A128" s="16">
        <v>2009</v>
      </c>
      <c r="B128" s="16">
        <v>1</v>
      </c>
      <c r="C128" s="17">
        <v>149995.820481392</v>
      </c>
      <c r="D128" s="18">
        <v>-1.49933606077336E-2</v>
      </c>
      <c r="E128" s="17">
        <v>144468.83363536801</v>
      </c>
      <c r="F128" s="18">
        <v>-1.1885494804172E-2</v>
      </c>
      <c r="G128" s="17">
        <v>1206.01862904321</v>
      </c>
      <c r="H128" s="18">
        <v>3.1150051890782601E-3</v>
      </c>
      <c r="I128" s="17">
        <v>142.07181239951601</v>
      </c>
      <c r="J128" s="18">
        <v>2.1443382728713899E-2</v>
      </c>
      <c r="K128" s="17">
        <v>27400.6740942258</v>
      </c>
      <c r="L128" s="18">
        <v>-7.1255461738467502E-2</v>
      </c>
      <c r="M128" s="17">
        <v>7688.7974824562598</v>
      </c>
      <c r="N128" s="18">
        <v>-3.5304868673170203E-2</v>
      </c>
      <c r="O128" s="17">
        <v>19711.876611769501</v>
      </c>
      <c r="P128" s="18">
        <v>-8.4562310209793004E-2</v>
      </c>
      <c r="Q128" s="17">
        <v>2768.5018281981002</v>
      </c>
      <c r="R128" s="18">
        <v>0.23991885191030701</v>
      </c>
      <c r="S128" s="17">
        <v>800.21646758487896</v>
      </c>
      <c r="T128" s="18">
        <v>-0.10116722547712299</v>
      </c>
      <c r="U128" s="17">
        <v>6209.4351712547495</v>
      </c>
      <c r="V128" s="18">
        <v>-1.4460472039521399E-3</v>
      </c>
      <c r="W128" s="17">
        <v>24477.217666467601</v>
      </c>
      <c r="X128" s="18">
        <v>-2.9561984785774199E-2</v>
      </c>
      <c r="Y128" s="17">
        <v>6162.0153668031999</v>
      </c>
      <c r="Z128" s="18">
        <v>7.0950874933244402E-3</v>
      </c>
      <c r="AA128" s="17">
        <v>5385.0813357765301</v>
      </c>
      <c r="AB128" s="18">
        <v>-1.6615172229492398E-2</v>
      </c>
      <c r="AC128" s="17">
        <v>3233.5976910034701</v>
      </c>
      <c r="AD128" s="18">
        <v>-2.0074029804271899E-2</v>
      </c>
      <c r="AE128" s="17">
        <v>6365.9915782173102</v>
      </c>
      <c r="AF128" s="18">
        <v>1.0860442270797001E-2</v>
      </c>
      <c r="AG128" s="17">
        <v>15106.337075931</v>
      </c>
      <c r="AH128" s="18">
        <v>-0.103692933861703</v>
      </c>
      <c r="AI128" s="17">
        <v>8202.6172987657301</v>
      </c>
      <c r="AJ128" s="18">
        <v>-0.13221989992220101</v>
      </c>
      <c r="AK128" s="17">
        <v>5608.4373561351204</v>
      </c>
      <c r="AL128" s="18">
        <v>-3.6191932663557899E-2</v>
      </c>
      <c r="AM128" s="17">
        <v>23405.9575545972</v>
      </c>
      <c r="AN128" s="18">
        <v>5.37480783558262E-2</v>
      </c>
      <c r="AO128" s="17">
        <v>9586.6462624876804</v>
      </c>
      <c r="AP128" s="18">
        <v>4.5882682267258001E-2</v>
      </c>
      <c r="AQ128" s="17">
        <v>6144.7956955885602</v>
      </c>
      <c r="AR128" s="18">
        <v>6.2319553261296998E-2</v>
      </c>
      <c r="AS128" s="17">
        <v>8927.7217925873902</v>
      </c>
      <c r="AT128" s="18">
        <v>5.7312925722349001E-2</v>
      </c>
      <c r="AU128" s="17">
        <v>912.60986036625002</v>
      </c>
      <c r="AV128" s="18">
        <v>-4.6696728252450498E-2</v>
      </c>
      <c r="AW128" s="17">
        <v>1908.1017272142001</v>
      </c>
      <c r="AX128" s="18">
        <v>4.4474220382820603E-2</v>
      </c>
      <c r="AY128" s="17">
        <v>487.85739242501302</v>
      </c>
      <c r="AZ128" s="18">
        <v>1.6402506224150602E-2</v>
      </c>
      <c r="BA128" s="17">
        <v>5526.9868460234502</v>
      </c>
      <c r="BB128" s="18">
        <v>-8.9821873297278004E-2</v>
      </c>
      <c r="BC128" s="17">
        <v>8491.3185958651702</v>
      </c>
      <c r="BD128" s="18">
        <v>-4.0711691805591803E-2</v>
      </c>
      <c r="BE128" s="17">
        <v>-2964.33174984172</v>
      </c>
      <c r="BF128" s="18">
        <v>6.65893704314129E-2</v>
      </c>
      <c r="BG128" s="17"/>
      <c r="BH128" s="18"/>
    </row>
    <row r="129" spans="1:60" x14ac:dyDescent="0.2">
      <c r="A129" s="16">
        <v>2009</v>
      </c>
      <c r="B129" s="16">
        <v>2</v>
      </c>
      <c r="C129" s="17">
        <v>151707.932561897</v>
      </c>
      <c r="D129" s="18">
        <v>-3.1446860019969797E-2</v>
      </c>
      <c r="E129" s="17">
        <v>146693.20317380299</v>
      </c>
      <c r="F129" s="18">
        <v>-2.7333147485356601E-2</v>
      </c>
      <c r="G129" s="17">
        <v>1118.8710434469001</v>
      </c>
      <c r="H129" s="18">
        <v>-5.2708427559502002E-2</v>
      </c>
      <c r="I129" s="17">
        <v>174.589639650056</v>
      </c>
      <c r="J129" s="18">
        <v>6.8734439429496405E-2</v>
      </c>
      <c r="K129" s="17">
        <v>27969.345100982398</v>
      </c>
      <c r="L129" s="18">
        <v>-0.122394355037754</v>
      </c>
      <c r="M129" s="17">
        <v>8013.8488559823099</v>
      </c>
      <c r="N129" s="18">
        <v>-5.62158836225626E-2</v>
      </c>
      <c r="O129" s="17">
        <v>19955.496244999998</v>
      </c>
      <c r="P129" s="18">
        <v>-0.14643032540561399</v>
      </c>
      <c r="Q129" s="17">
        <v>2721.4270194256101</v>
      </c>
      <c r="R129" s="18">
        <v>0.165806113018127</v>
      </c>
      <c r="S129" s="17">
        <v>773.30906677073995</v>
      </c>
      <c r="T129" s="18">
        <v>-0.240430056484815</v>
      </c>
      <c r="U129" s="17">
        <v>6730.86390337171</v>
      </c>
      <c r="V129" s="18">
        <v>1.05635531244943E-2</v>
      </c>
      <c r="W129" s="17">
        <v>25537.694012857999</v>
      </c>
      <c r="X129" s="18">
        <v>-5.4230986079095503E-2</v>
      </c>
      <c r="Y129" s="17">
        <v>6473.5768499762798</v>
      </c>
      <c r="Z129" s="18">
        <v>8.3780881466550793E-3</v>
      </c>
      <c r="AA129" s="17">
        <v>5236.0946864140396</v>
      </c>
      <c r="AB129" s="18">
        <v>-1.4363656456213099E-2</v>
      </c>
      <c r="AC129" s="17">
        <v>3051.7006487599501</v>
      </c>
      <c r="AD129" s="18">
        <v>-2.61857694531825E-2</v>
      </c>
      <c r="AE129" s="17">
        <v>6096.5035863048297</v>
      </c>
      <c r="AF129" s="18">
        <v>7.8017734145761101E-3</v>
      </c>
      <c r="AG129" s="17">
        <v>15498.903459110001</v>
      </c>
      <c r="AH129" s="18">
        <v>-3.5567714760718599E-2</v>
      </c>
      <c r="AI129" s="17">
        <v>8514.8069988775896</v>
      </c>
      <c r="AJ129" s="18">
        <v>-4.8382578126725397E-2</v>
      </c>
      <c r="AK129" s="17">
        <v>5672.3393511069298</v>
      </c>
      <c r="AL129" s="18">
        <v>1.7809283751246699E-2</v>
      </c>
      <c r="AM129" s="17">
        <v>23557.0993382546</v>
      </c>
      <c r="AN129" s="18">
        <v>3.3088198459488002E-2</v>
      </c>
      <c r="AO129" s="17">
        <v>9657.7359733681096</v>
      </c>
      <c r="AP129" s="18">
        <v>4.4869545200885402E-2</v>
      </c>
      <c r="AQ129" s="17">
        <v>6165.46975834777</v>
      </c>
      <c r="AR129" s="18">
        <v>5.1614726418420798E-2</v>
      </c>
      <c r="AS129" s="17">
        <v>9017.1689988354192</v>
      </c>
      <c r="AT129" s="18">
        <v>4.6013120488678699E-2</v>
      </c>
      <c r="AU129" s="17">
        <v>972.94041840705597</v>
      </c>
      <c r="AV129" s="18">
        <v>-0.15668269931192899</v>
      </c>
      <c r="AW129" s="17">
        <v>1932.08919823784</v>
      </c>
      <c r="AX129" s="18">
        <v>4.1506930882628398E-2</v>
      </c>
      <c r="AY129" s="17">
        <v>481.397321257947</v>
      </c>
      <c r="AZ129" s="18">
        <v>-1.5976180888531699E-3</v>
      </c>
      <c r="BA129" s="17">
        <v>5014.7293880938796</v>
      </c>
      <c r="BB129" s="18">
        <v>-0.13808154576939</v>
      </c>
      <c r="BC129" s="17">
        <v>8025.7295710275903</v>
      </c>
      <c r="BD129" s="18">
        <v>-6.8579781618658395E-2</v>
      </c>
      <c r="BE129" s="17">
        <v>-3011.0001829337102</v>
      </c>
      <c r="BF129" s="18">
        <v>7.5911990161596596E-2</v>
      </c>
      <c r="BG129" s="17"/>
      <c r="BH129" s="18"/>
    </row>
    <row r="130" spans="1:60" x14ac:dyDescent="0.2">
      <c r="A130" s="16">
        <v>2009</v>
      </c>
      <c r="B130" s="16">
        <v>3</v>
      </c>
      <c r="C130" s="17">
        <v>153572.466931078</v>
      </c>
      <c r="D130" s="18">
        <v>-1.9706069802129501E-2</v>
      </c>
      <c r="E130" s="17">
        <v>148181.72178846499</v>
      </c>
      <c r="F130" s="18">
        <v>-1.7719829520125699E-2</v>
      </c>
      <c r="G130" s="17">
        <v>1064.0219660616999</v>
      </c>
      <c r="H130" s="18">
        <v>-0.12728759996950301</v>
      </c>
      <c r="I130" s="17">
        <v>173.618563504007</v>
      </c>
      <c r="J130" s="18">
        <v>0.11053856814794</v>
      </c>
      <c r="K130" s="17">
        <v>27920.6942174709</v>
      </c>
      <c r="L130" s="18">
        <v>-9.3285095615639094E-2</v>
      </c>
      <c r="M130" s="17">
        <v>8109.9821617768102</v>
      </c>
      <c r="N130" s="18">
        <v>1.60782844804763E-3</v>
      </c>
      <c r="O130" s="17">
        <v>19810.712055694101</v>
      </c>
      <c r="P130" s="18">
        <v>-0.127138419073382</v>
      </c>
      <c r="Q130" s="17">
        <v>2526.56790220418</v>
      </c>
      <c r="R130" s="18">
        <v>7.1480508087976305E-2</v>
      </c>
      <c r="S130" s="17">
        <v>789.79983754864304</v>
      </c>
      <c r="T130" s="18">
        <v>-0.17686856610270801</v>
      </c>
      <c r="U130" s="17">
        <v>7057.1260247630298</v>
      </c>
      <c r="V130" s="18">
        <v>2.6400696740147101E-2</v>
      </c>
      <c r="W130" s="17">
        <v>25595.764265422498</v>
      </c>
      <c r="X130" s="18">
        <v>-3.8877716803328001E-2</v>
      </c>
      <c r="Y130" s="17">
        <v>6400.6059157692698</v>
      </c>
      <c r="Z130" s="18">
        <v>1.5076562732887499E-3</v>
      </c>
      <c r="AA130" s="17">
        <v>5282.7765949748</v>
      </c>
      <c r="AB130" s="18">
        <v>-1.30434061255608E-2</v>
      </c>
      <c r="AC130" s="17">
        <v>3480.2531661902199</v>
      </c>
      <c r="AD130" s="18">
        <v>-8.6274452988661706E-3</v>
      </c>
      <c r="AE130" s="17">
        <v>6265.2044717663903</v>
      </c>
      <c r="AF130" s="18">
        <v>5.5143076406267699E-3</v>
      </c>
      <c r="AG130" s="17">
        <v>15776.364733242899</v>
      </c>
      <c r="AH130" s="18">
        <v>6.1628032548568497E-3</v>
      </c>
      <c r="AI130" s="17">
        <v>8751.4764909615005</v>
      </c>
      <c r="AJ130" s="18">
        <v>2.5413555806612599E-3</v>
      </c>
      <c r="AK130" s="17">
        <v>5667.7278228509003</v>
      </c>
      <c r="AL130" s="18">
        <v>3.7916425360409803E-2</v>
      </c>
      <c r="AM130" s="17">
        <v>23667.098176865598</v>
      </c>
      <c r="AN130" s="18">
        <v>1.80216427942059E-2</v>
      </c>
      <c r="AO130" s="17">
        <v>9813.3061323911406</v>
      </c>
      <c r="AP130" s="18">
        <v>5.0147184097458997E-2</v>
      </c>
      <c r="AQ130" s="17">
        <v>6226.19881195373</v>
      </c>
      <c r="AR130" s="18">
        <v>4.8919101888353501E-2</v>
      </c>
      <c r="AS130" s="17">
        <v>9146.8193884561097</v>
      </c>
      <c r="AT130" s="18">
        <v>3.8888106469101298E-2</v>
      </c>
      <c r="AU130" s="17">
        <v>972.41525670348699</v>
      </c>
      <c r="AV130" s="18">
        <v>-0.29560400261769199</v>
      </c>
      <c r="AW130" s="17">
        <v>1938.1691650416401</v>
      </c>
      <c r="AX130" s="18">
        <v>2.96093436026756E-2</v>
      </c>
      <c r="AY130" s="17">
        <v>485.52311390365998</v>
      </c>
      <c r="AZ130" s="18">
        <v>-1.33275396631277E-2</v>
      </c>
      <c r="BA130" s="17">
        <v>5390.7451426130701</v>
      </c>
      <c r="BB130" s="18">
        <v>-7.1324662188032004E-2</v>
      </c>
      <c r="BC130" s="17">
        <v>8430.2847041327695</v>
      </c>
      <c r="BD130" s="18">
        <v>-2.6326149244038002E-2</v>
      </c>
      <c r="BE130" s="17">
        <v>-3039.5395615196999</v>
      </c>
      <c r="BF130" s="18">
        <v>6.5214115054964494E-2</v>
      </c>
      <c r="BG130" s="17"/>
      <c r="BH130" s="18"/>
    </row>
    <row r="131" spans="1:60" x14ac:dyDescent="0.2">
      <c r="A131" s="16">
        <v>2009</v>
      </c>
      <c r="B131" s="16">
        <v>4</v>
      </c>
      <c r="C131" s="17">
        <v>158041.74536334901</v>
      </c>
      <c r="D131" s="18">
        <v>7.3432170833020996E-3</v>
      </c>
      <c r="E131" s="17">
        <v>152660.431240779</v>
      </c>
      <c r="F131" s="18">
        <v>5.7255150951749396E-3</v>
      </c>
      <c r="G131" s="17">
        <v>1035.71971572342</v>
      </c>
      <c r="H131" s="18">
        <v>-0.180815748635408</v>
      </c>
      <c r="I131" s="17">
        <v>167.822896151815</v>
      </c>
      <c r="J131" s="18">
        <v>9.0421511663339102E-2</v>
      </c>
      <c r="K131" s="17">
        <v>29074.0586001396</v>
      </c>
      <c r="L131" s="18">
        <v>-3.4311458972741203E-2</v>
      </c>
      <c r="M131" s="17">
        <v>7976.1890194708103</v>
      </c>
      <c r="N131" s="18">
        <v>8.0813181293393696E-2</v>
      </c>
      <c r="O131" s="17">
        <v>21097.869580668801</v>
      </c>
      <c r="P131" s="18">
        <v>-7.1693737403077204E-2</v>
      </c>
      <c r="Q131" s="17">
        <v>2217.1461796215799</v>
      </c>
      <c r="R131" s="18">
        <v>-0.15061959111843501</v>
      </c>
      <c r="S131" s="17">
        <v>775.76654803582801</v>
      </c>
      <c r="T131" s="18">
        <v>-3.61216474670416E-2</v>
      </c>
      <c r="U131" s="17">
        <v>6989.4870385776003</v>
      </c>
      <c r="V131" s="18">
        <v>2.3773398791867999E-2</v>
      </c>
      <c r="W131" s="17">
        <v>28923.482873949601</v>
      </c>
      <c r="X131" s="18">
        <v>2.4893093105743402E-2</v>
      </c>
      <c r="Y131" s="17">
        <v>7201.00288513336</v>
      </c>
      <c r="Z131" s="18">
        <v>3.1506384871474898E-2</v>
      </c>
      <c r="AA131" s="17">
        <v>5469.3204715025304</v>
      </c>
      <c r="AB131" s="18">
        <v>-1.10286764040468E-3</v>
      </c>
      <c r="AC131" s="17">
        <v>2956.7436257467598</v>
      </c>
      <c r="AD131" s="18">
        <v>-1.6772248958047499E-2</v>
      </c>
      <c r="AE131" s="17">
        <v>6811.5633490929604</v>
      </c>
      <c r="AF131" s="18">
        <v>2.68881429544954E-2</v>
      </c>
      <c r="AG131" s="17">
        <v>15802.270913358199</v>
      </c>
      <c r="AH131" s="18">
        <v>1.5852918700562001E-2</v>
      </c>
      <c r="AI131" s="17">
        <v>8818.5716158879804</v>
      </c>
      <c r="AJ131" s="18">
        <v>1.17055160610995E-2</v>
      </c>
      <c r="AK131" s="17">
        <v>5596.3614454641702</v>
      </c>
      <c r="AL131" s="18">
        <v>2.2770035844170498E-2</v>
      </c>
      <c r="AM131" s="17">
        <v>23701.175714391102</v>
      </c>
      <c r="AN131" s="18">
        <v>1.87912051846197E-2</v>
      </c>
      <c r="AO131" s="17">
        <v>9921.0420288559908</v>
      </c>
      <c r="AP131" s="18">
        <v>4.8809265446466202E-2</v>
      </c>
      <c r="AQ131" s="17">
        <v>6275.67684046254</v>
      </c>
      <c r="AR131" s="18">
        <v>3.5869655871009397E-2</v>
      </c>
      <c r="AS131" s="17">
        <v>9211.9384607041102</v>
      </c>
      <c r="AT131" s="18">
        <v>3.8527557544368402E-2</v>
      </c>
      <c r="AU131" s="17">
        <v>940.11266070991906</v>
      </c>
      <c r="AV131" s="18">
        <v>-0.143954659224553</v>
      </c>
      <c r="AW131" s="17">
        <v>1906.7958328895099</v>
      </c>
      <c r="AX131" s="18">
        <v>1.10969412161548E-2</v>
      </c>
      <c r="AY131" s="17">
        <v>480.30749086604902</v>
      </c>
      <c r="AZ131" s="18">
        <v>-3.03212609305922E-2</v>
      </c>
      <c r="BA131" s="17">
        <v>5381.3141225695899</v>
      </c>
      <c r="BB131" s="18">
        <v>5.55067350122294E-2</v>
      </c>
      <c r="BC131" s="17">
        <v>8412.7133980244598</v>
      </c>
      <c r="BD131" s="18">
        <v>5.11897721503798E-2</v>
      </c>
      <c r="BE131" s="17">
        <v>-3031.3992754548699</v>
      </c>
      <c r="BF131" s="18">
        <v>4.3612692416746597E-2</v>
      </c>
      <c r="BG131" s="17"/>
      <c r="BH131" s="18"/>
    </row>
    <row r="132" spans="1:60" x14ac:dyDescent="0.2">
      <c r="A132" s="16">
        <v>2010</v>
      </c>
      <c r="B132" s="16">
        <v>1</v>
      </c>
      <c r="C132" s="17">
        <v>155143.31367032399</v>
      </c>
      <c r="D132" s="18">
        <v>3.4317577465907502E-2</v>
      </c>
      <c r="E132" s="17">
        <v>149318.86170163099</v>
      </c>
      <c r="F132" s="18">
        <v>3.3571448901591701E-2</v>
      </c>
      <c r="G132" s="17">
        <v>1056.52881431797</v>
      </c>
      <c r="H132" s="18">
        <v>-0.12395315555269699</v>
      </c>
      <c r="I132" s="17">
        <v>154.32186547177801</v>
      </c>
      <c r="J132" s="18">
        <v>8.6224373894901798E-2</v>
      </c>
      <c r="K132" s="17">
        <v>28213.7918988499</v>
      </c>
      <c r="L132" s="18">
        <v>2.9675102219309801E-2</v>
      </c>
      <c r="M132" s="17">
        <v>8319.1981121837907</v>
      </c>
      <c r="N132" s="18">
        <v>8.1989495908290702E-2</v>
      </c>
      <c r="O132" s="17">
        <v>19894.593786666101</v>
      </c>
      <c r="P132" s="18">
        <v>9.2693952227525002E-3</v>
      </c>
      <c r="Q132" s="17">
        <v>2366.9092884148199</v>
      </c>
      <c r="R132" s="18">
        <v>-0.14505771160882999</v>
      </c>
      <c r="S132" s="17">
        <v>793.70233988833195</v>
      </c>
      <c r="T132" s="18">
        <v>-8.1404569393674908E-3</v>
      </c>
      <c r="U132" s="17">
        <v>6458.5329144039297</v>
      </c>
      <c r="V132" s="18">
        <v>4.0116006734771198E-2</v>
      </c>
      <c r="W132" s="17">
        <v>26679.332457652199</v>
      </c>
      <c r="X132" s="18">
        <v>8.9965894865630294E-2</v>
      </c>
      <c r="Y132" s="17">
        <v>6416.6156347187998</v>
      </c>
      <c r="Z132" s="18">
        <v>4.1317694416540797E-2</v>
      </c>
      <c r="AA132" s="17">
        <v>5544.5226121053402</v>
      </c>
      <c r="AB132" s="18">
        <v>2.9607960657816099E-2</v>
      </c>
      <c r="AC132" s="17">
        <v>3275.3424457436299</v>
      </c>
      <c r="AD132" s="18">
        <v>1.29096933908319E-2</v>
      </c>
      <c r="AE132" s="17">
        <v>6596.1295915779901</v>
      </c>
      <c r="AF132" s="18">
        <v>3.6151165224305802E-2</v>
      </c>
      <c r="AG132" s="17">
        <v>15299.513361867201</v>
      </c>
      <c r="AH132" s="18">
        <v>1.2787764827781E-2</v>
      </c>
      <c r="AI132" s="17">
        <v>8434.4120528758795</v>
      </c>
      <c r="AJ132" s="18">
        <v>2.8258633271240001E-2</v>
      </c>
      <c r="AK132" s="17">
        <v>5457.5882165355497</v>
      </c>
      <c r="AL132" s="18">
        <v>-2.6896821702850099E-2</v>
      </c>
      <c r="AM132" s="17">
        <v>23969.019021478402</v>
      </c>
      <c r="AN132" s="18">
        <v>2.4056331195501299E-2</v>
      </c>
      <c r="AO132" s="17">
        <v>9915.2702414431697</v>
      </c>
      <c r="AP132" s="18">
        <v>3.4279347537979898E-2</v>
      </c>
      <c r="AQ132" s="17">
        <v>6211.5926978843399</v>
      </c>
      <c r="AR132" s="18">
        <v>1.08705001117826E-2</v>
      </c>
      <c r="AS132" s="17">
        <v>9176.4178934905794</v>
      </c>
      <c r="AT132" s="18">
        <v>2.7856614115112401E-2</v>
      </c>
      <c r="AU132" s="17">
        <v>1214.03171039688</v>
      </c>
      <c r="AV132" s="18">
        <v>0.33028555039901097</v>
      </c>
      <c r="AW132" s="17">
        <v>1914.86015981279</v>
      </c>
      <c r="AX132" s="18">
        <v>3.5419666059683902E-3</v>
      </c>
      <c r="AY132" s="17">
        <v>479.04238683149401</v>
      </c>
      <c r="AZ132" s="18">
        <v>-1.8068816277850199E-2</v>
      </c>
      <c r="BA132" s="17">
        <v>5824.4519686936301</v>
      </c>
      <c r="BB132" s="18">
        <v>5.3820486814474301E-2</v>
      </c>
      <c r="BC132" s="17">
        <v>8815.9702483028595</v>
      </c>
      <c r="BD132" s="18">
        <v>3.82333613763794E-2</v>
      </c>
      <c r="BE132" s="17">
        <v>-2991.5182796092299</v>
      </c>
      <c r="BF132" s="18">
        <v>9.1712170100257707E-3</v>
      </c>
      <c r="BG132" s="17"/>
      <c r="BH132" s="18"/>
    </row>
    <row r="133" spans="1:60" x14ac:dyDescent="0.2">
      <c r="A133" s="16">
        <v>2010</v>
      </c>
      <c r="B133" s="16">
        <v>2</v>
      </c>
      <c r="C133" s="17">
        <v>158410.55206158699</v>
      </c>
      <c r="D133" s="18">
        <v>4.4181074690710101E-2</v>
      </c>
      <c r="E133" s="17">
        <v>152787.02408163401</v>
      </c>
      <c r="F133" s="18">
        <v>4.1541262826003698E-2</v>
      </c>
      <c r="G133" s="17">
        <v>1044.05759958248</v>
      </c>
      <c r="H133" s="18">
        <v>-6.6865117568821103E-2</v>
      </c>
      <c r="I133" s="17">
        <v>190.91001342168201</v>
      </c>
      <c r="J133" s="18">
        <v>9.3478477900170498E-2</v>
      </c>
      <c r="K133" s="17">
        <v>29294.962990857501</v>
      </c>
      <c r="L133" s="18">
        <v>4.7395385379565898E-2</v>
      </c>
      <c r="M133" s="17">
        <v>8397.1611967875997</v>
      </c>
      <c r="N133" s="18">
        <v>4.7831241603608E-2</v>
      </c>
      <c r="O133" s="17">
        <v>20897.801794069899</v>
      </c>
      <c r="P133" s="18">
        <v>4.7220351601426201E-2</v>
      </c>
      <c r="Q133" s="17">
        <v>2404.13804367689</v>
      </c>
      <c r="R133" s="18">
        <v>-0.11658919143666099</v>
      </c>
      <c r="S133" s="17">
        <v>844.78618678316104</v>
      </c>
      <c r="T133" s="18">
        <v>9.2430210744719202E-2</v>
      </c>
      <c r="U133" s="17">
        <v>7119.3054982043304</v>
      </c>
      <c r="V133" s="18">
        <v>5.7710510925355299E-2</v>
      </c>
      <c r="W133" s="17">
        <v>27964.738934333502</v>
      </c>
      <c r="X133" s="18">
        <v>9.5037747740791503E-2</v>
      </c>
      <c r="Y133" s="17">
        <v>6612.0555113200198</v>
      </c>
      <c r="Z133" s="18">
        <v>2.13913674855419E-2</v>
      </c>
      <c r="AA133" s="17">
        <v>5441.0524931075397</v>
      </c>
      <c r="AB133" s="18">
        <v>3.91432582808902E-2</v>
      </c>
      <c r="AC133" s="17">
        <v>3168.6047983753801</v>
      </c>
      <c r="AD133" s="18">
        <v>3.8307869306556198E-2</v>
      </c>
      <c r="AE133" s="17">
        <v>6271.1183661124096</v>
      </c>
      <c r="AF133" s="18">
        <v>2.86417907142438E-2</v>
      </c>
      <c r="AG133" s="17">
        <v>15401.736791760201</v>
      </c>
      <c r="AH133" s="18">
        <v>-6.2692607645501398E-3</v>
      </c>
      <c r="AI133" s="17">
        <v>8582.1782620729009</v>
      </c>
      <c r="AJ133" s="18">
        <v>7.9122478294806307E-3</v>
      </c>
      <c r="AK133" s="17">
        <v>5403.2179317579703</v>
      </c>
      <c r="AL133" s="18">
        <v>-4.7444520274767303E-2</v>
      </c>
      <c r="AM133" s="17">
        <v>24219.001601206499</v>
      </c>
      <c r="AN133" s="18">
        <v>2.8097782899653801E-2</v>
      </c>
      <c r="AO133" s="17">
        <v>9948.9898526377401</v>
      </c>
      <c r="AP133" s="18">
        <v>3.0157573169610201E-2</v>
      </c>
      <c r="AQ133" s="17">
        <v>6201.1782180669798</v>
      </c>
      <c r="AR133" s="18">
        <v>5.7916851624908398E-3</v>
      </c>
      <c r="AS133" s="17">
        <v>9265.2565805706308</v>
      </c>
      <c r="AT133" s="18">
        <v>2.7512801608492499E-2</v>
      </c>
      <c r="AU133" s="17">
        <v>1607.36150613943</v>
      </c>
      <c r="AV133" s="18">
        <v>0.65206571309996697</v>
      </c>
      <c r="AW133" s="17">
        <v>1920.9242766704201</v>
      </c>
      <c r="AX133" s="18">
        <v>-5.7786781156956603E-3</v>
      </c>
      <c r="AY133" s="17">
        <v>478.900330127502</v>
      </c>
      <c r="AZ133" s="18">
        <v>-5.1869651536900997E-3</v>
      </c>
      <c r="BA133" s="17">
        <v>5623.5279799528998</v>
      </c>
      <c r="BB133" s="18">
        <v>0.121402082693526</v>
      </c>
      <c r="BC133" s="17">
        <v>8620.9257239383896</v>
      </c>
      <c r="BD133" s="18">
        <v>7.4161002765334494E-2</v>
      </c>
      <c r="BE133" s="17">
        <v>-2997.3977439854898</v>
      </c>
      <c r="BF133" s="18">
        <v>-4.5175815748267302E-3</v>
      </c>
      <c r="BG133" s="17"/>
      <c r="BH133" s="18"/>
    </row>
    <row r="134" spans="1:60" x14ac:dyDescent="0.2">
      <c r="A134" s="16">
        <v>2010</v>
      </c>
      <c r="B134" s="16">
        <v>3</v>
      </c>
      <c r="C134" s="17">
        <v>158633.93463064599</v>
      </c>
      <c r="D134" s="18">
        <v>3.2958171479006398E-2</v>
      </c>
      <c r="E134" s="17">
        <v>153049.63108489799</v>
      </c>
      <c r="F134" s="18">
        <v>3.28509430021489E-2</v>
      </c>
      <c r="G134" s="17">
        <v>1046.20501953865</v>
      </c>
      <c r="H134" s="18">
        <v>-1.674490479646E-2</v>
      </c>
      <c r="I134" s="17">
        <v>189.54321321744899</v>
      </c>
      <c r="J134" s="18">
        <v>9.1722045108814307E-2</v>
      </c>
      <c r="K134" s="17">
        <v>28808.2526422376</v>
      </c>
      <c r="L134" s="18">
        <v>3.1788551454116999E-2</v>
      </c>
      <c r="M134" s="17">
        <v>7939.4001751076303</v>
      </c>
      <c r="N134" s="18">
        <v>-2.1033583461274E-2</v>
      </c>
      <c r="O134" s="17">
        <v>20868.85246713</v>
      </c>
      <c r="P134" s="18">
        <v>5.34125380481607E-2</v>
      </c>
      <c r="Q134" s="17">
        <v>2502.6164452191701</v>
      </c>
      <c r="R134" s="18">
        <v>-9.4798390196073595E-3</v>
      </c>
      <c r="S134" s="17">
        <v>791.05547280456096</v>
      </c>
      <c r="T134" s="18">
        <v>1.5898145279631399E-3</v>
      </c>
      <c r="U134" s="17">
        <v>7358.0583319707102</v>
      </c>
      <c r="V134" s="18">
        <v>4.2642331474841602E-2</v>
      </c>
      <c r="W134" s="17">
        <v>28267.702854037201</v>
      </c>
      <c r="X134" s="18">
        <v>0.10438987329729001</v>
      </c>
      <c r="Y134" s="17">
        <v>6597.3117617244698</v>
      </c>
      <c r="Z134" s="18">
        <v>3.0732378862847999E-2</v>
      </c>
      <c r="AA134" s="17">
        <v>5479.2534430191599</v>
      </c>
      <c r="AB134" s="18">
        <v>3.7191966101928202E-2</v>
      </c>
      <c r="AC134" s="17">
        <v>3550.8947368406598</v>
      </c>
      <c r="AD134" s="18">
        <v>2.02978252664789E-2</v>
      </c>
      <c r="AE134" s="17">
        <v>6465.0194271722103</v>
      </c>
      <c r="AF134" s="18">
        <v>3.1892806740190502E-2</v>
      </c>
      <c r="AG134" s="17">
        <v>14766.771040711899</v>
      </c>
      <c r="AH134" s="18">
        <v>-6.3994063879851196E-2</v>
      </c>
      <c r="AI134" s="17">
        <v>7916.0535931210998</v>
      </c>
      <c r="AJ134" s="18">
        <v>-9.5460794381750896E-2</v>
      </c>
      <c r="AK134" s="17">
        <v>5433.4845307611604</v>
      </c>
      <c r="AL134" s="18">
        <v>-4.1329312100226598E-2</v>
      </c>
      <c r="AM134" s="17">
        <v>24397.056603720899</v>
      </c>
      <c r="AN134" s="18">
        <v>3.0842751460287799E-2</v>
      </c>
      <c r="AO134" s="17">
        <v>10058.4504122049</v>
      </c>
      <c r="AP134" s="18">
        <v>2.4980804278041498E-2</v>
      </c>
      <c r="AQ134" s="17">
        <v>6245.3400681728299</v>
      </c>
      <c r="AR134" s="18">
        <v>3.0743085463875702E-3</v>
      </c>
      <c r="AS134" s="17">
        <v>9357.1529815351896</v>
      </c>
      <c r="AT134" s="18">
        <v>2.2995271268232399E-2</v>
      </c>
      <c r="AU134" s="17">
        <v>1343.1423281504599</v>
      </c>
      <c r="AV134" s="18">
        <v>0.38124357767046102</v>
      </c>
      <c r="AW134" s="17">
        <v>1945.57564742975</v>
      </c>
      <c r="AX134" s="18">
        <v>3.8213807760922899E-3</v>
      </c>
      <c r="AY134" s="17">
        <v>477.54041691434497</v>
      </c>
      <c r="AZ134" s="18">
        <v>-1.6441435558304102E-2</v>
      </c>
      <c r="BA134" s="17">
        <v>5584.3035457484502</v>
      </c>
      <c r="BB134" s="18">
        <v>3.5905686137028402E-2</v>
      </c>
      <c r="BC134" s="17">
        <v>8615.1272392147202</v>
      </c>
      <c r="BD134" s="18">
        <v>2.1926013363621401E-2</v>
      </c>
      <c r="BE134" s="17">
        <v>-3030.82369346627</v>
      </c>
      <c r="BF134" s="18">
        <v>-2.8674961707255702E-3</v>
      </c>
      <c r="BG134" s="17"/>
      <c r="BH134" s="18"/>
    </row>
    <row r="135" spans="1:60" x14ac:dyDescent="0.2">
      <c r="A135" s="16">
        <v>2010</v>
      </c>
      <c r="B135" s="16">
        <v>4</v>
      </c>
      <c r="C135" s="17">
        <v>163984.21962084901</v>
      </c>
      <c r="D135" s="18">
        <v>3.7600662051900297E-2</v>
      </c>
      <c r="E135" s="17">
        <v>158433.18490099401</v>
      </c>
      <c r="F135" s="18">
        <v>3.78143413672756E-2</v>
      </c>
      <c r="G135" s="17">
        <v>1057.76706785289</v>
      </c>
      <c r="H135" s="18">
        <v>2.12869870050485E-2</v>
      </c>
      <c r="I135" s="17">
        <v>174.914423654746</v>
      </c>
      <c r="J135" s="18">
        <v>4.22560190864254E-2</v>
      </c>
      <c r="K135" s="17">
        <v>30208.229672623998</v>
      </c>
      <c r="L135" s="18">
        <v>3.90097264397389E-2</v>
      </c>
      <c r="M135" s="17">
        <v>7662.9052420807802</v>
      </c>
      <c r="N135" s="18">
        <v>-3.9277376278981001E-2</v>
      </c>
      <c r="O135" s="17">
        <v>22545.324430543202</v>
      </c>
      <c r="P135" s="18">
        <v>6.8606682980004302E-2</v>
      </c>
      <c r="Q135" s="17">
        <v>2570.3623039440099</v>
      </c>
      <c r="R135" s="18">
        <v>0.15931115754519801</v>
      </c>
      <c r="S135" s="17">
        <v>796.03507799331601</v>
      </c>
      <c r="T135" s="18">
        <v>2.6127099716797501E-2</v>
      </c>
      <c r="U135" s="17">
        <v>7438.0676843301299</v>
      </c>
      <c r="V135" s="18">
        <v>6.4179337235571898E-2</v>
      </c>
      <c r="W135" s="17">
        <v>30889.268212003601</v>
      </c>
      <c r="X135" s="18">
        <v>6.7965028507146696E-2</v>
      </c>
      <c r="Y135" s="17">
        <v>7271.1889610298003</v>
      </c>
      <c r="Z135" s="18">
        <v>9.7467084815852107E-3</v>
      </c>
      <c r="AA135" s="17">
        <v>5810.8065766954596</v>
      </c>
      <c r="AB135" s="18">
        <v>6.2436660453929302E-2</v>
      </c>
      <c r="AC135" s="17">
        <v>3021.0637001407099</v>
      </c>
      <c r="AD135" s="18">
        <v>2.17536866686272E-2</v>
      </c>
      <c r="AE135" s="17">
        <v>7126.6079249107897</v>
      </c>
      <c r="AF135" s="18">
        <v>4.6251434461043801E-2</v>
      </c>
      <c r="AG135" s="17">
        <v>15363.6162615061</v>
      </c>
      <c r="AH135" s="18">
        <v>-2.7758962889399101E-2</v>
      </c>
      <c r="AI135" s="17">
        <v>8339.7063953901106</v>
      </c>
      <c r="AJ135" s="18">
        <v>-5.4301903001515599E-2</v>
      </c>
      <c r="AK135" s="17">
        <v>5555.5649366932603</v>
      </c>
      <c r="AL135" s="18">
        <v>-7.2898273580901396E-3</v>
      </c>
      <c r="AM135" s="17">
        <v>24566.443251052198</v>
      </c>
      <c r="AN135" s="18">
        <v>3.6507367697194801E-2</v>
      </c>
      <c r="AO135" s="17">
        <v>10169.065579517301</v>
      </c>
      <c r="AP135" s="18">
        <v>2.4999748004287399E-2</v>
      </c>
      <c r="AQ135" s="17">
        <v>6327.2809530212598</v>
      </c>
      <c r="AR135" s="18">
        <v>8.2228760133089603E-3</v>
      </c>
      <c r="AS135" s="17">
        <v>9409.5114899769396</v>
      </c>
      <c r="AT135" s="18">
        <v>2.14474977352077E-2</v>
      </c>
      <c r="AU135" s="17">
        <v>1066.24704390959</v>
      </c>
      <c r="AV135" s="18">
        <v>0.134169433591524</v>
      </c>
      <c r="AW135" s="17">
        <v>1960.01465102212</v>
      </c>
      <c r="AX135" s="18">
        <v>2.7910076797243801E-2</v>
      </c>
      <c r="AY135" s="17">
        <v>477.88302683835298</v>
      </c>
      <c r="AZ135" s="18">
        <v>-5.0477331163940597E-3</v>
      </c>
      <c r="BA135" s="17">
        <v>5551.0347198550298</v>
      </c>
      <c r="BB135" s="18">
        <v>3.1538875713203997E-2</v>
      </c>
      <c r="BC135" s="17">
        <v>8625.8216721940298</v>
      </c>
      <c r="BD135" s="18">
        <v>2.5331693127642801E-2</v>
      </c>
      <c r="BE135" s="17">
        <v>-3074.786952339</v>
      </c>
      <c r="BF135" s="18">
        <v>1.43127555764233E-2</v>
      </c>
      <c r="BG135" s="17"/>
      <c r="BH135" s="18"/>
    </row>
    <row r="136" spans="1:60" x14ac:dyDescent="0.2">
      <c r="A136" s="16">
        <v>2011</v>
      </c>
      <c r="B136" s="16">
        <v>1</v>
      </c>
      <c r="C136" s="17">
        <v>159594.45750254299</v>
      </c>
      <c r="D136" s="18">
        <v>2.8690529594315398E-2</v>
      </c>
      <c r="E136" s="17">
        <v>153720.33788228099</v>
      </c>
      <c r="F136" s="18">
        <v>2.94770274196543E-2</v>
      </c>
      <c r="G136" s="17">
        <v>1103.4262893426101</v>
      </c>
      <c r="H136" s="18">
        <v>4.4388259353736997E-2</v>
      </c>
      <c r="I136" s="17">
        <v>164.41121887428</v>
      </c>
      <c r="J136" s="18">
        <v>6.5378638157713706E-2</v>
      </c>
      <c r="K136" s="17">
        <v>29789.255863033301</v>
      </c>
      <c r="L136" s="18">
        <v>5.5840206443418201E-2</v>
      </c>
      <c r="M136" s="17">
        <v>8018.2797355407101</v>
      </c>
      <c r="N136" s="18">
        <v>-3.61715603577673E-2</v>
      </c>
      <c r="O136" s="17">
        <v>21770.976127492599</v>
      </c>
      <c r="P136" s="18">
        <v>9.4316192677636093E-2</v>
      </c>
      <c r="Q136" s="17">
        <v>2322.1736579926601</v>
      </c>
      <c r="R136" s="18">
        <v>-1.89004414495836E-2</v>
      </c>
      <c r="S136" s="17">
        <v>848.80250008160897</v>
      </c>
      <c r="T136" s="18">
        <v>6.9421693025409903E-2</v>
      </c>
      <c r="U136" s="17">
        <v>6876.6922724422102</v>
      </c>
      <c r="V136" s="18">
        <v>6.4745254623646206E-2</v>
      </c>
      <c r="W136" s="17">
        <v>27129.649518157199</v>
      </c>
      <c r="X136" s="18">
        <v>1.6878872858597301E-2</v>
      </c>
      <c r="Y136" s="17">
        <v>6303.7175111901097</v>
      </c>
      <c r="Z136" s="18">
        <v>-1.7594652688533701E-2</v>
      </c>
      <c r="AA136" s="17">
        <v>5780.4954379229403</v>
      </c>
      <c r="AB136" s="18">
        <v>4.2559629083736901E-2</v>
      </c>
      <c r="AC136" s="17">
        <v>3342.2921823989</v>
      </c>
      <c r="AD136" s="18">
        <v>2.0440530345848799E-2</v>
      </c>
      <c r="AE136" s="17">
        <v>6675.1734418220803</v>
      </c>
      <c r="AF136" s="18">
        <v>1.19833682990422E-2</v>
      </c>
      <c r="AG136" s="17">
        <v>15567.676670725699</v>
      </c>
      <c r="AH136" s="18">
        <v>1.7527571140066901E-2</v>
      </c>
      <c r="AI136" s="17">
        <v>8269.0521460128093</v>
      </c>
      <c r="AJ136" s="18">
        <v>-1.96053863418598E-2</v>
      </c>
      <c r="AK136" s="17">
        <v>5785.0836301895997</v>
      </c>
      <c r="AL136" s="18">
        <v>6.0007351353808899E-2</v>
      </c>
      <c r="AM136" s="17">
        <v>24812.923017737699</v>
      </c>
      <c r="AN136" s="18">
        <v>3.5208115755721602E-2</v>
      </c>
      <c r="AO136" s="17">
        <v>10202.351625773599</v>
      </c>
      <c r="AP136" s="18">
        <v>2.89534604039796E-2</v>
      </c>
      <c r="AQ136" s="17">
        <v>6378.2354632190199</v>
      </c>
      <c r="AR136" s="18">
        <v>2.6827703205883902E-2</v>
      </c>
      <c r="AS136" s="17">
        <v>9334.1758023629009</v>
      </c>
      <c r="AT136" s="18">
        <v>1.71916657135056E-2</v>
      </c>
      <c r="AU136" s="17">
        <v>936.74177602125496</v>
      </c>
      <c r="AV136" s="18">
        <v>-0.22840419405929499</v>
      </c>
      <c r="AW136" s="17">
        <v>1982.05767117807</v>
      </c>
      <c r="AX136" s="18">
        <v>3.50926468551402E-2</v>
      </c>
      <c r="AY136" s="17">
        <v>473.80347319524799</v>
      </c>
      <c r="AZ136" s="18">
        <v>-1.0936221470708701E-2</v>
      </c>
      <c r="BA136" s="17">
        <v>5874.1196202617302</v>
      </c>
      <c r="BB136" s="18">
        <v>8.5274377460864397E-3</v>
      </c>
      <c r="BC136" s="17">
        <v>8996.4531681890294</v>
      </c>
      <c r="BD136" s="18">
        <v>2.0472269620116099E-2</v>
      </c>
      <c r="BE136" s="17">
        <v>-3122.3335479273001</v>
      </c>
      <c r="BF136" s="18">
        <v>4.3728721034309997E-2</v>
      </c>
      <c r="BG136" s="17"/>
      <c r="BH136" s="18"/>
    </row>
    <row r="137" spans="1:60" x14ac:dyDescent="0.2">
      <c r="A137" s="16">
        <v>2011</v>
      </c>
      <c r="B137" s="16">
        <v>2</v>
      </c>
      <c r="C137" s="17">
        <v>161873.23598254501</v>
      </c>
      <c r="D137" s="18">
        <v>2.18589221228889E-2</v>
      </c>
      <c r="E137" s="17">
        <v>156049.023078011</v>
      </c>
      <c r="F137" s="18">
        <v>2.13499740307375E-2</v>
      </c>
      <c r="G137" s="17">
        <v>1120.28960145787</v>
      </c>
      <c r="H137" s="18">
        <v>7.3015130492686001E-2</v>
      </c>
      <c r="I137" s="17">
        <v>181.70661590173</v>
      </c>
      <c r="J137" s="18">
        <v>-4.8208039772245199E-2</v>
      </c>
      <c r="K137" s="17">
        <v>30608.9715164396</v>
      </c>
      <c r="L137" s="18">
        <v>4.48544183514481E-2</v>
      </c>
      <c r="M137" s="17">
        <v>7936.2391392070504</v>
      </c>
      <c r="N137" s="18">
        <v>-5.48902238243184E-2</v>
      </c>
      <c r="O137" s="17">
        <v>22672.732377232602</v>
      </c>
      <c r="P137" s="18">
        <v>8.4933841398875595E-2</v>
      </c>
      <c r="Q137" s="17">
        <v>2234.2535200370698</v>
      </c>
      <c r="R137" s="18">
        <v>-7.0663381450426499E-2</v>
      </c>
      <c r="S137" s="17">
        <v>836.52267935679004</v>
      </c>
      <c r="T137" s="18">
        <v>-9.7817738448563504E-3</v>
      </c>
      <c r="U137" s="17">
        <v>7489.9870652862701</v>
      </c>
      <c r="V137" s="18">
        <v>5.2067096597475201E-2</v>
      </c>
      <c r="W137" s="17">
        <v>27814.838780509599</v>
      </c>
      <c r="X137" s="18">
        <v>-5.3603273098976603E-3</v>
      </c>
      <c r="Y137" s="17">
        <v>6585.54285118999</v>
      </c>
      <c r="Z137" s="18">
        <v>-4.0097455450329696E-3</v>
      </c>
      <c r="AA137" s="17">
        <v>5672.0017997696104</v>
      </c>
      <c r="AB137" s="18">
        <v>4.2445704568119497E-2</v>
      </c>
      <c r="AC137" s="17">
        <v>3250.7774256172002</v>
      </c>
      <c r="AD137" s="18">
        <v>2.59333784017346E-2</v>
      </c>
      <c r="AE137" s="17">
        <v>6427.3473582253</v>
      </c>
      <c r="AF137" s="18">
        <v>2.49124610623053E-2</v>
      </c>
      <c r="AG137" s="17">
        <v>15564.247984301201</v>
      </c>
      <c r="AH137" s="18">
        <v>1.05514848577304E-2</v>
      </c>
      <c r="AI137" s="17">
        <v>8069.6143609602796</v>
      </c>
      <c r="AJ137" s="18">
        <v>-5.9724219826309898E-2</v>
      </c>
      <c r="AK137" s="17">
        <v>5951.2274791035597</v>
      </c>
      <c r="AL137" s="18">
        <v>0.101422810308022</v>
      </c>
      <c r="AM137" s="17">
        <v>25149.175463187501</v>
      </c>
      <c r="AN137" s="18">
        <v>3.8406779820962397E-2</v>
      </c>
      <c r="AO137" s="17">
        <v>10284.3829141432</v>
      </c>
      <c r="AP137" s="18">
        <v>3.3711267824497501E-2</v>
      </c>
      <c r="AQ137" s="17">
        <v>6410.0054903651699</v>
      </c>
      <c r="AR137" s="18">
        <v>3.3675418598643203E-2</v>
      </c>
      <c r="AS137" s="17">
        <v>9512.1747814224309</v>
      </c>
      <c r="AT137" s="18">
        <v>2.6649904263805101E-2</v>
      </c>
      <c r="AU137" s="17">
        <v>992.63347093165999</v>
      </c>
      <c r="AV137" s="18">
        <v>-0.38244541309454999</v>
      </c>
      <c r="AW137" s="17">
        <v>2025.3919709797101</v>
      </c>
      <c r="AX137" s="18">
        <v>5.4384077278864199E-2</v>
      </c>
      <c r="AY137" s="17">
        <v>474.31464007875201</v>
      </c>
      <c r="AZ137" s="18">
        <v>-9.5754581073886902E-3</v>
      </c>
      <c r="BA137" s="17">
        <v>5824.21290453445</v>
      </c>
      <c r="BB137" s="18">
        <v>3.5686658854897899E-2</v>
      </c>
      <c r="BC137" s="17">
        <v>9024.3706170471305</v>
      </c>
      <c r="BD137" s="18">
        <v>4.6798326076334697E-2</v>
      </c>
      <c r="BE137" s="17">
        <v>-3200.1577125126701</v>
      </c>
      <c r="BF137" s="18">
        <v>6.7645333000611499E-2</v>
      </c>
      <c r="BG137" s="17"/>
      <c r="BH137" s="18"/>
    </row>
    <row r="138" spans="1:60" x14ac:dyDescent="0.2">
      <c r="A138" s="16">
        <v>2011</v>
      </c>
      <c r="B138" s="16">
        <v>3</v>
      </c>
      <c r="C138" s="17">
        <v>160149.85257960501</v>
      </c>
      <c r="D138" s="18">
        <v>9.5560760847834807E-3</v>
      </c>
      <c r="E138" s="17">
        <v>154561.699179255</v>
      </c>
      <c r="F138" s="18">
        <v>9.8795931988819898E-3</v>
      </c>
      <c r="G138" s="17">
        <v>1076.0652407857499</v>
      </c>
      <c r="H138" s="18">
        <v>2.8541462418397501E-2</v>
      </c>
      <c r="I138" s="17">
        <v>180.367909282141</v>
      </c>
      <c r="J138" s="18">
        <v>-4.8407451681121899E-2</v>
      </c>
      <c r="K138" s="17">
        <v>29601.828108592701</v>
      </c>
      <c r="L138" s="18">
        <v>2.75468101522949E-2</v>
      </c>
      <c r="M138" s="17">
        <v>7528.3008412601503</v>
      </c>
      <c r="N138" s="18">
        <v>-5.1779646419183797E-2</v>
      </c>
      <c r="O138" s="17">
        <v>22073.527267332502</v>
      </c>
      <c r="P138" s="18">
        <v>5.7725972336044602E-2</v>
      </c>
      <c r="Q138" s="17">
        <v>2468.0214835000402</v>
      </c>
      <c r="R138" s="18">
        <v>-1.38235172973564E-2</v>
      </c>
      <c r="S138" s="17">
        <v>806.52837373300702</v>
      </c>
      <c r="T138" s="18">
        <v>1.9559817813521001E-2</v>
      </c>
      <c r="U138" s="17">
        <v>7678.2334768046603</v>
      </c>
      <c r="V138" s="18">
        <v>4.3513537184503702E-2</v>
      </c>
      <c r="W138" s="17">
        <v>26301.875239194502</v>
      </c>
      <c r="X138" s="18">
        <v>-6.9543238974651103E-2</v>
      </c>
      <c r="Y138" s="17">
        <v>6265.9498136147304</v>
      </c>
      <c r="Z138" s="18">
        <v>-5.0226813598865903E-2</v>
      </c>
      <c r="AA138" s="17">
        <v>5758.9567821394803</v>
      </c>
      <c r="AB138" s="18">
        <v>5.1047709697874297E-2</v>
      </c>
      <c r="AC138" s="17">
        <v>3536.5562078780999</v>
      </c>
      <c r="AD138" s="18">
        <v>-4.03800451018643E-3</v>
      </c>
      <c r="AE138" s="17">
        <v>6464.4409582797498</v>
      </c>
      <c r="AF138" s="18">
        <v>-8.9476744653538303E-5</v>
      </c>
      <c r="AG138" s="17">
        <v>15308.4463685588</v>
      </c>
      <c r="AH138" s="18">
        <v>3.6682042834786002E-2</v>
      </c>
      <c r="AI138" s="17">
        <v>7760.0148978747702</v>
      </c>
      <c r="AJ138" s="18">
        <v>-1.97116774679147E-2</v>
      </c>
      <c r="AK138" s="17">
        <v>6065.1965310637297</v>
      </c>
      <c r="AL138" s="18">
        <v>0.11626277699442999</v>
      </c>
      <c r="AM138" s="17">
        <v>25393.548120656498</v>
      </c>
      <c r="AN138" s="18">
        <v>4.0844743409894198E-2</v>
      </c>
      <c r="AO138" s="17">
        <v>10356.5036082636</v>
      </c>
      <c r="AP138" s="18">
        <v>2.9632118650900301E-2</v>
      </c>
      <c r="AQ138" s="17">
        <v>6462.1328094606597</v>
      </c>
      <c r="AR138" s="18">
        <v>3.4712720031474097E-2</v>
      </c>
      <c r="AS138" s="17">
        <v>9658.1244144801803</v>
      </c>
      <c r="AT138" s="18">
        <v>3.2164851161342198E-2</v>
      </c>
      <c r="AU138" s="17">
        <v>988.94762361782398</v>
      </c>
      <c r="AV138" s="18">
        <v>-0.263706010233759</v>
      </c>
      <c r="AW138" s="17">
        <v>2044.2009766353699</v>
      </c>
      <c r="AX138" s="18">
        <v>5.0692107159088499E-2</v>
      </c>
      <c r="AY138" s="17">
        <v>476.92147739246099</v>
      </c>
      <c r="AZ138" s="18">
        <v>-1.29609871743097E-3</v>
      </c>
      <c r="BA138" s="17">
        <v>5588.1534003496899</v>
      </c>
      <c r="BB138" s="18">
        <v>6.8940639950909599E-4</v>
      </c>
      <c r="BC138" s="17">
        <v>8867.6818315834407</v>
      </c>
      <c r="BD138" s="18">
        <v>2.93152480928114E-2</v>
      </c>
      <c r="BE138" s="17">
        <v>-3279.5284312337499</v>
      </c>
      <c r="BF138" s="18">
        <v>8.20584642728064E-2</v>
      </c>
      <c r="BG138" s="17"/>
      <c r="BH138" s="18"/>
    </row>
    <row r="139" spans="1:60" x14ac:dyDescent="0.2">
      <c r="A139" s="16">
        <v>2011</v>
      </c>
      <c r="B139" s="16">
        <v>4</v>
      </c>
      <c r="C139" s="17">
        <v>164194.71197013301</v>
      </c>
      <c r="D139" s="18">
        <v>1.28361344629147E-3</v>
      </c>
      <c r="E139" s="17">
        <v>159063.41413392901</v>
      </c>
      <c r="F139" s="18">
        <v>3.9778865351327601E-3</v>
      </c>
      <c r="G139" s="17">
        <v>1066.03056298006</v>
      </c>
      <c r="H139" s="18">
        <v>7.8122068443144997E-3</v>
      </c>
      <c r="I139" s="17">
        <v>169.48662181330101</v>
      </c>
      <c r="J139" s="18">
        <v>-3.10311850105555E-2</v>
      </c>
      <c r="K139" s="17">
        <v>30824.624684798899</v>
      </c>
      <c r="L139" s="18">
        <v>2.0404870422893E-2</v>
      </c>
      <c r="M139" s="17">
        <v>7594.4416663068896</v>
      </c>
      <c r="N139" s="18">
        <v>-8.9344150307285597E-3</v>
      </c>
      <c r="O139" s="17">
        <v>23230.183018492</v>
      </c>
      <c r="P139" s="18">
        <v>3.0376967519747399E-2</v>
      </c>
      <c r="Q139" s="17">
        <v>2492.23696679157</v>
      </c>
      <c r="R139" s="18">
        <v>-3.0394679004033798E-2</v>
      </c>
      <c r="S139" s="17">
        <v>762.85568740855399</v>
      </c>
      <c r="T139" s="18">
        <v>-4.1680814705303798E-2</v>
      </c>
      <c r="U139" s="17">
        <v>7623.7665215381603</v>
      </c>
      <c r="V139" s="18">
        <v>2.4966005297214301E-2</v>
      </c>
      <c r="W139" s="17">
        <v>28963.562878818899</v>
      </c>
      <c r="X139" s="18">
        <v>-6.2342212834824599E-2</v>
      </c>
      <c r="Y139" s="17">
        <v>6948.1172409955698</v>
      </c>
      <c r="Z139" s="18">
        <v>-4.44317596153464E-2</v>
      </c>
      <c r="AA139" s="17">
        <v>5900.7037506193701</v>
      </c>
      <c r="AB139" s="18">
        <v>1.54706877156172E-2</v>
      </c>
      <c r="AC139" s="17">
        <v>2987.0050880087801</v>
      </c>
      <c r="AD139" s="18">
        <v>-1.12737153242904E-2</v>
      </c>
      <c r="AE139" s="17">
        <v>7147.5266299124796</v>
      </c>
      <c r="AF139" s="18">
        <v>2.9352961776629698E-3</v>
      </c>
      <c r="AG139" s="17">
        <v>15600.2221151869</v>
      </c>
      <c r="AH139" s="18">
        <v>1.54004011590418E-2</v>
      </c>
      <c r="AI139" s="17">
        <v>7974.6756648623405</v>
      </c>
      <c r="AJ139" s="18">
        <v>-4.3770213628808702E-2</v>
      </c>
      <c r="AK139" s="17">
        <v>6134.1514904198002</v>
      </c>
      <c r="AL139" s="18">
        <v>0.10414540381034899</v>
      </c>
      <c r="AM139" s="17">
        <v>25374.573796143501</v>
      </c>
      <c r="AN139" s="18">
        <v>3.2895708053167098E-2</v>
      </c>
      <c r="AO139" s="17">
        <v>10389.4295049089</v>
      </c>
      <c r="AP139" s="18">
        <v>2.1670026972329601E-2</v>
      </c>
      <c r="AQ139" s="17">
        <v>6499.1914027482499</v>
      </c>
      <c r="AR139" s="18">
        <v>2.7169719663690198E-2</v>
      </c>
      <c r="AS139" s="17">
        <v>9841.6184361161595</v>
      </c>
      <c r="AT139" s="18">
        <v>4.5922357031978403E-2</v>
      </c>
      <c r="AU139" s="17">
        <v>884.15665143448803</v>
      </c>
      <c r="AV139" s="18">
        <v>-0.170776925962143</v>
      </c>
      <c r="AW139" s="17">
        <v>2058.0164301565601</v>
      </c>
      <c r="AX139" s="18">
        <v>5.0000533967096798E-2</v>
      </c>
      <c r="AY139" s="17">
        <v>478.40640454465102</v>
      </c>
      <c r="AZ139" s="18">
        <v>1.0952004505391201E-3</v>
      </c>
      <c r="BA139" s="17">
        <v>5131.2978362041204</v>
      </c>
      <c r="BB139" s="18">
        <v>-7.5614170120317001E-2</v>
      </c>
      <c r="BC139" s="17">
        <v>8489.8729043904004</v>
      </c>
      <c r="BD139" s="18">
        <v>-1.5760674515433799E-2</v>
      </c>
      <c r="BE139" s="17">
        <v>-3358.5750681862801</v>
      </c>
      <c r="BF139" s="18">
        <v>9.2295212724055498E-2</v>
      </c>
      <c r="BG139" s="17"/>
      <c r="BH139" s="18"/>
    </row>
    <row r="140" spans="1:60" x14ac:dyDescent="0.2">
      <c r="A140" s="16">
        <v>2012</v>
      </c>
      <c r="B140" s="16">
        <v>1</v>
      </c>
      <c r="C140" s="17">
        <v>161049.09992459501</v>
      </c>
      <c r="D140" s="18">
        <v>9.1146174172667092E-3</v>
      </c>
      <c r="E140" s="17">
        <v>155228.467925298</v>
      </c>
      <c r="F140" s="18">
        <v>9.8108686449274209E-3</v>
      </c>
      <c r="G140" s="17">
        <v>1031.2405260701601</v>
      </c>
      <c r="H140" s="18">
        <v>-6.5419651470749393E-2</v>
      </c>
      <c r="I140" s="17">
        <v>148.08473080264801</v>
      </c>
      <c r="J140" s="18">
        <v>-9.9302761596319095E-2</v>
      </c>
      <c r="K140" s="17">
        <v>29598.788437571999</v>
      </c>
      <c r="L140" s="18">
        <v>-6.3938295853057702E-3</v>
      </c>
      <c r="M140" s="17">
        <v>7911.1142079999399</v>
      </c>
      <c r="N140" s="18">
        <v>-1.33651520120656E-2</v>
      </c>
      <c r="O140" s="17">
        <v>21687.674229572101</v>
      </c>
      <c r="P140" s="18">
        <v>-3.8262821764498702E-3</v>
      </c>
      <c r="Q140" s="17">
        <v>2497.76917187769</v>
      </c>
      <c r="R140" s="18">
        <v>7.5616874423089203E-2</v>
      </c>
      <c r="S140" s="17">
        <v>722.37068785905501</v>
      </c>
      <c r="T140" s="18">
        <v>-0.14895315719545901</v>
      </c>
      <c r="U140" s="17">
        <v>6977.5087393972499</v>
      </c>
      <c r="V140" s="18">
        <v>1.4660604686216499E-2</v>
      </c>
      <c r="W140" s="17">
        <v>26554.250292977002</v>
      </c>
      <c r="X140" s="18">
        <v>-2.1209239168205898E-2</v>
      </c>
      <c r="Y140" s="17">
        <v>6222.4299647151602</v>
      </c>
      <c r="Z140" s="18">
        <v>-1.2895175954608901E-2</v>
      </c>
      <c r="AA140" s="17">
        <v>5888.2524282214799</v>
      </c>
      <c r="AB140" s="18">
        <v>1.86414800350156E-2</v>
      </c>
      <c r="AC140" s="17">
        <v>3210.3091330478501</v>
      </c>
      <c r="AD140" s="18">
        <v>-3.9488782592405999E-2</v>
      </c>
      <c r="AE140" s="17">
        <v>6789.6289793299702</v>
      </c>
      <c r="AF140" s="18">
        <v>1.7146451475072801E-2</v>
      </c>
      <c r="AG140" s="17">
        <v>15707.487493259099</v>
      </c>
      <c r="AH140" s="18">
        <v>8.9808405898002003E-3</v>
      </c>
      <c r="AI140" s="17">
        <v>8026.6488011880601</v>
      </c>
      <c r="AJ140" s="18">
        <v>-2.9314526084059898E-2</v>
      </c>
      <c r="AK140" s="17">
        <v>6161.7187168210403</v>
      </c>
      <c r="AL140" s="18">
        <v>6.5104518915847898E-2</v>
      </c>
      <c r="AM140" s="17">
        <v>25576.002655641401</v>
      </c>
      <c r="AN140" s="18">
        <v>3.0753315010818599E-2</v>
      </c>
      <c r="AO140" s="17">
        <v>10376.6554795747</v>
      </c>
      <c r="AP140" s="18">
        <v>1.7084674219695301E-2</v>
      </c>
      <c r="AQ140" s="17">
        <v>6488.3452704302499</v>
      </c>
      <c r="AR140" s="18">
        <v>1.7263365055460299E-2</v>
      </c>
      <c r="AS140" s="17">
        <v>10109.3187474529</v>
      </c>
      <c r="AT140" s="18">
        <v>8.3043533944773901E-2</v>
      </c>
      <c r="AU140" s="17">
        <v>1020.93006964458</v>
      </c>
      <c r="AV140" s="18">
        <v>8.9873533751119394E-2</v>
      </c>
      <c r="AW140" s="17">
        <v>2038.3461487678001</v>
      </c>
      <c r="AX140" s="18">
        <v>2.8399010991577701E-2</v>
      </c>
      <c r="AY140" s="17">
        <v>493.178933372431</v>
      </c>
      <c r="AZ140" s="18">
        <v>4.0893453242371702E-2</v>
      </c>
      <c r="BA140" s="17">
        <v>5820.6319992966901</v>
      </c>
      <c r="BB140" s="18">
        <v>-9.1056404061892193E-3</v>
      </c>
      <c r="BC140" s="17">
        <v>9254.8647376127992</v>
      </c>
      <c r="BD140" s="18">
        <v>2.8723716401648301E-2</v>
      </c>
      <c r="BE140" s="17">
        <v>-3434.23273831612</v>
      </c>
      <c r="BF140" s="18">
        <v>9.9892976071010497E-2</v>
      </c>
      <c r="BG140" s="17"/>
      <c r="BH140" s="18"/>
    </row>
    <row r="141" spans="1:60" x14ac:dyDescent="0.2">
      <c r="A141" s="16">
        <v>2012</v>
      </c>
      <c r="B141" s="16">
        <v>2</v>
      </c>
      <c r="C141" s="17">
        <v>162852.00941157801</v>
      </c>
      <c r="D141" s="18">
        <v>6.0465426732942999E-3</v>
      </c>
      <c r="E141" s="17">
        <v>157519.66038916001</v>
      </c>
      <c r="F141" s="18">
        <v>9.4242006911742192E-3</v>
      </c>
      <c r="G141" s="17">
        <v>1041.2675366101901</v>
      </c>
      <c r="H141" s="18">
        <v>-7.0537176052378206E-2</v>
      </c>
      <c r="I141" s="17">
        <v>183.328008322117</v>
      </c>
      <c r="J141" s="18">
        <v>8.9231336588422305E-3</v>
      </c>
      <c r="K141" s="17">
        <v>29920.582395002501</v>
      </c>
      <c r="L141" s="18">
        <v>-2.2489782809832298E-2</v>
      </c>
      <c r="M141" s="17">
        <v>7979.1080092635402</v>
      </c>
      <c r="N141" s="18">
        <v>5.4016605730424798E-3</v>
      </c>
      <c r="O141" s="17">
        <v>21941.474385738999</v>
      </c>
      <c r="P141" s="18">
        <v>-3.2252750984167897E-2</v>
      </c>
      <c r="Q141" s="17">
        <v>2529.8061716724801</v>
      </c>
      <c r="R141" s="18">
        <v>0.132282504641867</v>
      </c>
      <c r="S141" s="17">
        <v>685.12914599408703</v>
      </c>
      <c r="T141" s="18">
        <v>-0.18097959218405299</v>
      </c>
      <c r="U141" s="17">
        <v>7581.9988669150498</v>
      </c>
      <c r="V141" s="18">
        <v>1.22846409248458E-2</v>
      </c>
      <c r="W141" s="17">
        <v>27628.375973345501</v>
      </c>
      <c r="X141" s="18">
        <v>-6.7037169848626101E-3</v>
      </c>
      <c r="Y141" s="17">
        <v>6385.2726449482498</v>
      </c>
      <c r="Z141" s="18">
        <v>-3.0410584331032699E-2</v>
      </c>
      <c r="AA141" s="17">
        <v>5826.5650953372897</v>
      </c>
      <c r="AB141" s="18">
        <v>2.7250219767906501E-2</v>
      </c>
      <c r="AC141" s="17">
        <v>3115.0040307582999</v>
      </c>
      <c r="AD141" s="18">
        <v>-4.1766438326093398E-2</v>
      </c>
      <c r="AE141" s="17">
        <v>6560.6451491083699</v>
      </c>
      <c r="AF141" s="18">
        <v>2.0739160878319E-2</v>
      </c>
      <c r="AG141" s="17">
        <v>15738.273775699599</v>
      </c>
      <c r="AH141" s="18">
        <v>1.1181124303201799E-2</v>
      </c>
      <c r="AI141" s="17">
        <v>8031.3184355051699</v>
      </c>
      <c r="AJ141" s="18">
        <v>-4.7456946196077201E-3</v>
      </c>
      <c r="AK141" s="17">
        <v>6202.4988761002796</v>
      </c>
      <c r="AL141" s="18">
        <v>4.2221776579538503E-2</v>
      </c>
      <c r="AM141" s="17">
        <v>25711.134933841899</v>
      </c>
      <c r="AN141" s="18">
        <v>2.2345045525525201E-2</v>
      </c>
      <c r="AO141" s="17">
        <v>10401.3725392529</v>
      </c>
      <c r="AP141" s="18">
        <v>1.1375463757659099E-2</v>
      </c>
      <c r="AQ141" s="17">
        <v>6493.2260481358599</v>
      </c>
      <c r="AR141" s="18">
        <v>1.29829152090075E-2</v>
      </c>
      <c r="AS141" s="17">
        <v>10330.020466404299</v>
      </c>
      <c r="AT141" s="18">
        <v>8.5978832787969806E-2</v>
      </c>
      <c r="AU141" s="17">
        <v>1246.75166957651</v>
      </c>
      <c r="AV141" s="18">
        <v>0.25600405999440801</v>
      </c>
      <c r="AW141" s="17">
        <v>2028.3114938864801</v>
      </c>
      <c r="AX141" s="18">
        <v>1.44146068939044E-3</v>
      </c>
      <c r="AY141" s="17">
        <v>497.86708929620403</v>
      </c>
      <c r="AZ141" s="18">
        <v>4.9655750059796097E-2</v>
      </c>
      <c r="BA141" s="17">
        <v>5332.3490224182797</v>
      </c>
      <c r="BB141" s="18">
        <v>-8.4451562842633998E-2</v>
      </c>
      <c r="BC141" s="17">
        <v>8827.3088439851999</v>
      </c>
      <c r="BD141" s="18">
        <v>-2.1836622344573599E-2</v>
      </c>
      <c r="BE141" s="17">
        <v>-3494.9598215669198</v>
      </c>
      <c r="BF141" s="18">
        <v>9.2121118875349406E-2</v>
      </c>
      <c r="BG141" s="17"/>
      <c r="BH141" s="18"/>
    </row>
    <row r="142" spans="1:60" x14ac:dyDescent="0.2">
      <c r="A142" s="16">
        <v>2012</v>
      </c>
      <c r="B142" s="16">
        <v>3</v>
      </c>
      <c r="C142" s="17">
        <v>163082.65734558701</v>
      </c>
      <c r="D142" s="18">
        <v>1.8312878337020101E-2</v>
      </c>
      <c r="E142" s="17">
        <v>158183.32090460401</v>
      </c>
      <c r="F142" s="18">
        <v>2.3431559982712801E-2</v>
      </c>
      <c r="G142" s="17">
        <v>1026.81991776828</v>
      </c>
      <c r="H142" s="18">
        <v>-4.5764254016343403E-2</v>
      </c>
      <c r="I142" s="17">
        <v>184.890710008242</v>
      </c>
      <c r="J142" s="18">
        <v>2.5075418039172601E-2</v>
      </c>
      <c r="K142" s="17">
        <v>29690.787809761601</v>
      </c>
      <c r="L142" s="18">
        <v>3.0052097067305699E-3</v>
      </c>
      <c r="M142" s="17">
        <v>8167.7353636992502</v>
      </c>
      <c r="N142" s="18">
        <v>8.4937429563729294E-2</v>
      </c>
      <c r="O142" s="17">
        <v>21523.052446062298</v>
      </c>
      <c r="P142" s="18">
        <v>-2.4938235498268301E-2</v>
      </c>
      <c r="Q142" s="17">
        <v>2650.7160676265298</v>
      </c>
      <c r="R142" s="18">
        <v>7.4024713864079106E-2</v>
      </c>
      <c r="S142" s="17">
        <v>654.7271937424</v>
      </c>
      <c r="T142" s="18">
        <v>-0.18821554818709901</v>
      </c>
      <c r="U142" s="17">
        <v>7786.54609935387</v>
      </c>
      <c r="V142" s="18">
        <v>1.4106450771055301E-2</v>
      </c>
      <c r="W142" s="17">
        <v>26968.343956848701</v>
      </c>
      <c r="X142" s="18">
        <v>2.5339209147379201E-2</v>
      </c>
      <c r="Y142" s="17">
        <v>6169.1010636409301</v>
      </c>
      <c r="Z142" s="18">
        <v>-1.5456355836647E-2</v>
      </c>
      <c r="AA142" s="17">
        <v>5909.4593248883002</v>
      </c>
      <c r="AB142" s="18">
        <v>2.61336468465223E-2</v>
      </c>
      <c r="AC142" s="17">
        <v>3423.6497714710699</v>
      </c>
      <c r="AD142" s="18">
        <v>-3.1925531440874302E-2</v>
      </c>
      <c r="AE142" s="17">
        <v>6645.5194923713998</v>
      </c>
      <c r="AF142" s="18">
        <v>2.80114762065726E-2</v>
      </c>
      <c r="AG142" s="17">
        <v>15790.0824787488</v>
      </c>
      <c r="AH142" s="18">
        <v>3.1462115657875399E-2</v>
      </c>
      <c r="AI142" s="17">
        <v>8009.1613299814799</v>
      </c>
      <c r="AJ142" s="18">
        <v>3.2106437343947199E-2</v>
      </c>
      <c r="AK142" s="17">
        <v>6254.17900383714</v>
      </c>
      <c r="AL142" s="18">
        <v>3.1158507693115799E-2</v>
      </c>
      <c r="AM142" s="17">
        <v>25934.1204158853</v>
      </c>
      <c r="AN142" s="18">
        <v>2.1287781158438698E-2</v>
      </c>
      <c r="AO142" s="17">
        <v>10460.2457278162</v>
      </c>
      <c r="AP142" s="18">
        <v>1.0017098769689901E-2</v>
      </c>
      <c r="AQ142" s="17">
        <v>6506.5473481116396</v>
      </c>
      <c r="AR142" s="18">
        <v>6.8730464013309102E-3</v>
      </c>
      <c r="AS142" s="17">
        <v>10555.7847458784</v>
      </c>
      <c r="AT142" s="18">
        <v>9.2943546062878496E-2</v>
      </c>
      <c r="AU142" s="17">
        <v>1465.84511444086</v>
      </c>
      <c r="AV142" s="18">
        <v>0.48222724786821902</v>
      </c>
      <c r="AW142" s="17">
        <v>2031.1904883398399</v>
      </c>
      <c r="AX142" s="18">
        <v>-6.3645837391876903E-3</v>
      </c>
      <c r="AY142" s="17">
        <v>498.04424154270203</v>
      </c>
      <c r="AZ142" s="18">
        <v>4.4289815308231201E-2</v>
      </c>
      <c r="BA142" s="17">
        <v>4899.3364409829901</v>
      </c>
      <c r="BB142" s="18">
        <v>-0.123263788593132</v>
      </c>
      <c r="BC142" s="17">
        <v>8446.0689235211794</v>
      </c>
      <c r="BD142" s="18">
        <v>-4.75448844545392E-2</v>
      </c>
      <c r="BE142" s="17">
        <v>-3546.7324825382002</v>
      </c>
      <c r="BF142" s="18">
        <v>8.1476363723404194E-2</v>
      </c>
      <c r="BG142" s="17"/>
      <c r="BH142" s="18"/>
    </row>
    <row r="143" spans="1:60" x14ac:dyDescent="0.2">
      <c r="A143" s="16">
        <v>2012</v>
      </c>
      <c r="B143" s="16">
        <v>4</v>
      </c>
      <c r="C143" s="17">
        <v>167409.85727373799</v>
      </c>
      <c r="D143" s="18">
        <v>1.95812962855333E-2</v>
      </c>
      <c r="E143" s="17">
        <v>162308.63099155601</v>
      </c>
      <c r="F143" s="18">
        <v>2.0402031952455199E-2</v>
      </c>
      <c r="G143" s="17">
        <v>1047.62573892572</v>
      </c>
      <c r="H143" s="18">
        <v>-1.7264818377153199E-2</v>
      </c>
      <c r="I143" s="17">
        <v>174.35369155716199</v>
      </c>
      <c r="J143" s="18">
        <v>2.8716542295726701E-2</v>
      </c>
      <c r="K143" s="17">
        <v>30822.692160026101</v>
      </c>
      <c r="L143" s="18">
        <v>-6.2694186631184797E-5</v>
      </c>
      <c r="M143" s="17">
        <v>8114.9807133719696</v>
      </c>
      <c r="N143" s="18">
        <v>6.8542108812881003E-2</v>
      </c>
      <c r="O143" s="17">
        <v>22707.711446654099</v>
      </c>
      <c r="P143" s="18">
        <v>-2.2491065671846201E-2</v>
      </c>
      <c r="Q143" s="17">
        <v>2606.1090255274398</v>
      </c>
      <c r="R143" s="18">
        <v>4.5690702871835603E-2</v>
      </c>
      <c r="S143" s="17">
        <v>658.265400235058</v>
      </c>
      <c r="T143" s="18">
        <v>-0.137103634278185</v>
      </c>
      <c r="U143" s="17">
        <v>7757.17975296853</v>
      </c>
      <c r="V143" s="18">
        <v>1.7499648114020799E-2</v>
      </c>
      <c r="W143" s="17">
        <v>29631.417722346101</v>
      </c>
      <c r="X143" s="18">
        <v>2.3058449208111401E-2</v>
      </c>
      <c r="Y143" s="17">
        <v>6847.13230723166</v>
      </c>
      <c r="Z143" s="18">
        <v>-1.4534143604842099E-2</v>
      </c>
      <c r="AA143" s="17">
        <v>6120.8144488273301</v>
      </c>
      <c r="AB143" s="18">
        <v>3.7302448574012798E-2</v>
      </c>
      <c r="AC143" s="17">
        <v>2956.30892980822</v>
      </c>
      <c r="AD143" s="18">
        <v>-1.0276567095178501E-2</v>
      </c>
      <c r="AE143" s="17">
        <v>7230.5883118355596</v>
      </c>
      <c r="AF143" s="18">
        <v>1.16210384688138E-2</v>
      </c>
      <c r="AG143" s="17">
        <v>15940.388219017999</v>
      </c>
      <c r="AH143" s="18">
        <v>2.18052090104544E-2</v>
      </c>
      <c r="AI143" s="17">
        <v>8086.7192135988898</v>
      </c>
      <c r="AJ143" s="18">
        <v>1.4049919199878001E-2</v>
      </c>
      <c r="AK143" s="17">
        <v>6311.3761886624497</v>
      </c>
      <c r="AL143" s="18">
        <v>2.88914772514892E-2</v>
      </c>
      <c r="AM143" s="17">
        <v>25974.543347915998</v>
      </c>
      <c r="AN143" s="18">
        <v>2.36445174052042E-2</v>
      </c>
      <c r="AO143" s="17">
        <v>10509.4804004587</v>
      </c>
      <c r="AP143" s="18">
        <v>1.1555099872725801E-2</v>
      </c>
      <c r="AQ143" s="17">
        <v>6543.7479640332504</v>
      </c>
      <c r="AR143" s="18">
        <v>6.85570842953753E-3</v>
      </c>
      <c r="AS143" s="17">
        <v>10724.638110452501</v>
      </c>
      <c r="AT143" s="18">
        <v>8.9723014570029597E-2</v>
      </c>
      <c r="AU143" s="17">
        <v>1065.4793601174099</v>
      </c>
      <c r="AV143" s="18">
        <v>0.20507984460529799</v>
      </c>
      <c r="AW143" s="17">
        <v>2050.74532160218</v>
      </c>
      <c r="AX143" s="18">
        <v>-3.5330663292233401E-3</v>
      </c>
      <c r="AY143" s="17">
        <v>494.25308590113502</v>
      </c>
      <c r="AZ143" s="18">
        <v>3.3123890495501802E-2</v>
      </c>
      <c r="BA143" s="17">
        <v>5101.2262821820404</v>
      </c>
      <c r="BB143" s="18">
        <v>-5.8604187443399604E-3</v>
      </c>
      <c r="BC143" s="17">
        <v>8685.97145597081</v>
      </c>
      <c r="BD143" s="18">
        <v>2.3097937246975501E-2</v>
      </c>
      <c r="BE143" s="17">
        <v>-3584.74517378877</v>
      </c>
      <c r="BF143" s="18">
        <v>6.7341089899957796E-2</v>
      </c>
      <c r="BG143" s="17"/>
      <c r="BH143" s="18"/>
    </row>
    <row r="144" spans="1:60" x14ac:dyDescent="0.2">
      <c r="A144" s="16">
        <v>2013</v>
      </c>
      <c r="B144" s="16">
        <v>1</v>
      </c>
      <c r="C144" s="17">
        <v>162562.98520024499</v>
      </c>
      <c r="D144" s="18">
        <v>9.4001473858538204E-3</v>
      </c>
      <c r="E144" s="17">
        <v>157147.19433963101</v>
      </c>
      <c r="F144" s="18">
        <v>1.2360660644129299E-2</v>
      </c>
      <c r="G144" s="17">
        <v>1061.0851196905201</v>
      </c>
      <c r="H144" s="18">
        <v>2.8940477867071199E-2</v>
      </c>
      <c r="I144" s="17">
        <v>156.17321731894</v>
      </c>
      <c r="J144" s="18">
        <v>5.4620665293788201E-2</v>
      </c>
      <c r="K144" s="17">
        <v>29600.069733012901</v>
      </c>
      <c r="L144" s="18">
        <v>4.3288779997041602E-5</v>
      </c>
      <c r="M144" s="17">
        <v>8365.5504050956697</v>
      </c>
      <c r="N144" s="18">
        <v>5.7442755236195603E-2</v>
      </c>
      <c r="O144" s="17">
        <v>21234.519327917202</v>
      </c>
      <c r="P144" s="18">
        <v>-2.08945826490229E-2</v>
      </c>
      <c r="Q144" s="17">
        <v>2598.67603228589</v>
      </c>
      <c r="R144" s="18">
        <v>4.0398793268931601E-2</v>
      </c>
      <c r="S144" s="17">
        <v>688.73026522983298</v>
      </c>
      <c r="T144" s="18">
        <v>-4.6569473532937798E-2</v>
      </c>
      <c r="U144" s="17">
        <v>7131.8549556695598</v>
      </c>
      <c r="V144" s="18">
        <v>2.2120533565342701E-2</v>
      </c>
      <c r="W144" s="17">
        <v>26104.046969669798</v>
      </c>
      <c r="X144" s="18">
        <v>-1.6954096551025099E-2</v>
      </c>
      <c r="Y144" s="17">
        <v>6032.9005136729502</v>
      </c>
      <c r="Z144" s="18">
        <v>-3.0459073403309202E-2</v>
      </c>
      <c r="AA144" s="17">
        <v>5950.7141787764804</v>
      </c>
      <c r="AB144" s="18">
        <v>1.0607858836967399E-2</v>
      </c>
      <c r="AC144" s="17">
        <v>3245.7056561720201</v>
      </c>
      <c r="AD144" s="18">
        <v>1.10258924163384E-2</v>
      </c>
      <c r="AE144" s="17">
        <v>7006.4932855761499</v>
      </c>
      <c r="AF144" s="18">
        <v>3.1940523835158899E-2</v>
      </c>
      <c r="AG144" s="17">
        <v>16110.829568419</v>
      </c>
      <c r="AH144" s="18">
        <v>2.5678331772221299E-2</v>
      </c>
      <c r="AI144" s="17">
        <v>8149.49235549882</v>
      </c>
      <c r="AJ144" s="18">
        <v>1.53044635879147E-2</v>
      </c>
      <c r="AK144" s="17">
        <v>6364.4275387379503</v>
      </c>
      <c r="AL144" s="18">
        <v>3.2898097305794002E-2</v>
      </c>
      <c r="AM144" s="17">
        <v>26201.172445588101</v>
      </c>
      <c r="AN144" s="18">
        <v>2.4443608266859301E-2</v>
      </c>
      <c r="AO144" s="17">
        <v>10558.208383126001</v>
      </c>
      <c r="AP144" s="18">
        <v>1.7496283258963099E-2</v>
      </c>
      <c r="AQ144" s="17">
        <v>6542.4082784345101</v>
      </c>
      <c r="AR144" s="18">
        <v>8.3323260016152593E-3</v>
      </c>
      <c r="AS144" s="17">
        <v>10800.8129213911</v>
      </c>
      <c r="AT144" s="18">
        <v>6.8401659024986503E-2</v>
      </c>
      <c r="AU144" s="17">
        <v>836.19340920659704</v>
      </c>
      <c r="AV144" s="18">
        <v>-0.18094937736754099</v>
      </c>
      <c r="AW144" s="17">
        <v>2064.6964862103</v>
      </c>
      <c r="AX144" s="18">
        <v>1.2927312399037201E-2</v>
      </c>
      <c r="AY144" s="17">
        <v>489.32343385340499</v>
      </c>
      <c r="AZ144" s="18">
        <v>-7.8176484398094805E-3</v>
      </c>
      <c r="BA144" s="17">
        <v>5415.79086061423</v>
      </c>
      <c r="BB144" s="18">
        <v>-6.9552780304848794E-2</v>
      </c>
      <c r="BC144" s="17">
        <v>8962.0569730497009</v>
      </c>
      <c r="BD144" s="18">
        <v>-3.1638254352125299E-2</v>
      </c>
      <c r="BE144" s="17">
        <v>-3546.2661124354599</v>
      </c>
      <c r="BF144" s="18">
        <v>3.2622533956239201E-2</v>
      </c>
      <c r="BG144" s="17"/>
      <c r="BH144" s="18"/>
    </row>
    <row r="145" spans="1:60" x14ac:dyDescent="0.2">
      <c r="A145" s="16">
        <v>2013</v>
      </c>
      <c r="B145" s="16">
        <v>2</v>
      </c>
      <c r="C145" s="17">
        <v>166526.41382985801</v>
      </c>
      <c r="D145" s="18">
        <v>2.25628435998819E-2</v>
      </c>
      <c r="E145" s="17">
        <v>160906.20858906701</v>
      </c>
      <c r="F145" s="18">
        <v>2.1499209632249699E-2</v>
      </c>
      <c r="G145" s="17">
        <v>1076.5853209698</v>
      </c>
      <c r="H145" s="18">
        <v>3.3918069197269397E-2</v>
      </c>
      <c r="I145" s="17">
        <v>190.78513538087199</v>
      </c>
      <c r="J145" s="18">
        <v>4.0676419969894601E-2</v>
      </c>
      <c r="K145" s="17">
        <v>30961.819279439798</v>
      </c>
      <c r="L145" s="18">
        <v>3.4800020624305102E-2</v>
      </c>
      <c r="M145" s="17">
        <v>8647.6708896827404</v>
      </c>
      <c r="N145" s="18">
        <v>8.37891753869002E-2</v>
      </c>
      <c r="O145" s="17">
        <v>22314.148389757102</v>
      </c>
      <c r="P145" s="18">
        <v>1.6984911654812199E-2</v>
      </c>
      <c r="Q145" s="17">
        <v>2590.4540859453</v>
      </c>
      <c r="R145" s="18">
        <v>2.3973344263257E-2</v>
      </c>
      <c r="S145" s="17">
        <v>699.37796648469703</v>
      </c>
      <c r="T145" s="18">
        <v>2.07972767965308E-2</v>
      </c>
      <c r="U145" s="17">
        <v>7813.4425982897701</v>
      </c>
      <c r="V145" s="18">
        <v>3.0525424157559398E-2</v>
      </c>
      <c r="W145" s="17">
        <v>27396.871686153401</v>
      </c>
      <c r="X145" s="18">
        <v>-8.3792216891593902E-3</v>
      </c>
      <c r="Y145" s="17">
        <v>6368.7478843912704</v>
      </c>
      <c r="Z145" s="18">
        <v>-2.5879490940847699E-3</v>
      </c>
      <c r="AA145" s="17">
        <v>5794.9692070715</v>
      </c>
      <c r="AB145" s="18">
        <v>-5.4227298157333301E-3</v>
      </c>
      <c r="AC145" s="17">
        <v>3176.6136560365198</v>
      </c>
      <c r="AD145" s="18">
        <v>1.97783452829801E-2</v>
      </c>
      <c r="AE145" s="17">
        <v>6766.3781777527001</v>
      </c>
      <c r="AF145" s="18">
        <v>3.1358658175910402E-2</v>
      </c>
      <c r="AG145" s="17">
        <v>16346.7838866932</v>
      </c>
      <c r="AH145" s="18">
        <v>3.8664349068142201E-2</v>
      </c>
      <c r="AI145" s="17">
        <v>8350.8848204303395</v>
      </c>
      <c r="AJ145" s="18">
        <v>3.9790027937682798E-2</v>
      </c>
      <c r="AK145" s="17">
        <v>6368.3741487297902</v>
      </c>
      <c r="AL145" s="18">
        <v>2.6743297490736902E-2</v>
      </c>
      <c r="AM145" s="17">
        <v>26566.860073865901</v>
      </c>
      <c r="AN145" s="18">
        <v>3.3282277979011003E-2</v>
      </c>
      <c r="AO145" s="17">
        <v>10599.8161434502</v>
      </c>
      <c r="AP145" s="18">
        <v>1.9078597891611499E-2</v>
      </c>
      <c r="AQ145" s="17">
        <v>6531.4058155390103</v>
      </c>
      <c r="AR145" s="18">
        <v>5.8799381263048298E-3</v>
      </c>
      <c r="AS145" s="17">
        <v>10902.4269934809</v>
      </c>
      <c r="AT145" s="18">
        <v>5.5411945110681801E-2</v>
      </c>
      <c r="AU145" s="17">
        <v>904.97976570715196</v>
      </c>
      <c r="AV145" s="18">
        <v>-0.27412989467697801</v>
      </c>
      <c r="AW145" s="17">
        <v>2100.1098873843798</v>
      </c>
      <c r="AX145" s="18">
        <v>3.5398110060662E-2</v>
      </c>
      <c r="AY145" s="17">
        <v>486.52890942186599</v>
      </c>
      <c r="AZ145" s="18">
        <v>-2.2773507464343399E-2</v>
      </c>
      <c r="BA145" s="17">
        <v>5620.2052407909096</v>
      </c>
      <c r="BB145" s="18">
        <v>5.3983003956122197E-2</v>
      </c>
      <c r="BC145" s="17">
        <v>9152.7472517084097</v>
      </c>
      <c r="BD145" s="18">
        <v>3.6867227993836002E-2</v>
      </c>
      <c r="BE145" s="17">
        <v>-3532.5420109174902</v>
      </c>
      <c r="BF145" s="18">
        <v>1.0753253619301101E-2</v>
      </c>
      <c r="BG145" s="17"/>
      <c r="BH145" s="18"/>
    </row>
    <row r="146" spans="1:60" x14ac:dyDescent="0.2">
      <c r="A146" s="16">
        <v>2013</v>
      </c>
      <c r="B146" s="16">
        <v>3</v>
      </c>
      <c r="C146" s="17">
        <v>166468.15152563399</v>
      </c>
      <c r="D146" s="18">
        <v>2.0759375859766199E-2</v>
      </c>
      <c r="E146" s="17">
        <v>161177.52928970501</v>
      </c>
      <c r="F146" s="18">
        <v>1.89287237616294E-2</v>
      </c>
      <c r="G146" s="17">
        <v>1114.0892052608599</v>
      </c>
      <c r="H146" s="18">
        <v>8.4989866268131403E-2</v>
      </c>
      <c r="I146" s="17">
        <v>188.24168064030999</v>
      </c>
      <c r="J146" s="18">
        <v>1.81240616790217E-2</v>
      </c>
      <c r="K146" s="17">
        <v>30647.529504419501</v>
      </c>
      <c r="L146" s="18">
        <v>3.2223519995093097E-2</v>
      </c>
      <c r="M146" s="17">
        <v>8500.6529882701707</v>
      </c>
      <c r="N146" s="18">
        <v>4.0760089516433701E-2</v>
      </c>
      <c r="O146" s="17">
        <v>22146.876516149299</v>
      </c>
      <c r="P146" s="18">
        <v>2.8983996189681799E-2</v>
      </c>
      <c r="Q146" s="17">
        <v>2487.80909350293</v>
      </c>
      <c r="R146" s="18">
        <v>-6.1457723108559098E-2</v>
      </c>
      <c r="S146" s="17">
        <v>708.65624697820704</v>
      </c>
      <c r="T146" s="18">
        <v>8.2368738844571299E-2</v>
      </c>
      <c r="U146" s="17">
        <v>7991.2467084773698</v>
      </c>
      <c r="V146" s="18">
        <v>2.6289012677968699E-2</v>
      </c>
      <c r="W146" s="17">
        <v>26886.282650833</v>
      </c>
      <c r="X146" s="18">
        <v>-3.0428752372408901E-3</v>
      </c>
      <c r="Y146" s="17">
        <v>6226.00108876996</v>
      </c>
      <c r="Z146" s="18">
        <v>9.2233900112907996E-3</v>
      </c>
      <c r="AA146" s="17">
        <v>5816.8199426709698</v>
      </c>
      <c r="AB146" s="18">
        <v>-1.5676456529140001E-2</v>
      </c>
      <c r="AC146" s="17">
        <v>3576.4682924660601</v>
      </c>
      <c r="AD146" s="18">
        <v>4.46361430624145E-2</v>
      </c>
      <c r="AE146" s="17">
        <v>6755.4804077452</v>
      </c>
      <c r="AF146" s="18">
        <v>1.6546624458784201E-2</v>
      </c>
      <c r="AG146" s="17">
        <v>16073.2209768296</v>
      </c>
      <c r="AH146" s="18">
        <v>1.79314134971678E-2</v>
      </c>
      <c r="AI146" s="17">
        <v>8133.7952556478303</v>
      </c>
      <c r="AJ146" s="18">
        <v>1.5561420295005001E-2</v>
      </c>
      <c r="AK146" s="17">
        <v>6318.18411647841</v>
      </c>
      <c r="AL146" s="18">
        <v>1.02339751711622E-2</v>
      </c>
      <c r="AM146" s="17">
        <v>27047.9054036544</v>
      </c>
      <c r="AN146" s="18">
        <v>4.2946703798246499E-2</v>
      </c>
      <c r="AO146" s="17">
        <v>10726.7023149221</v>
      </c>
      <c r="AP146" s="18">
        <v>2.54732626784628E-2</v>
      </c>
      <c r="AQ146" s="17">
        <v>6647.7545698910299</v>
      </c>
      <c r="AR146" s="18">
        <v>2.1702327551703399E-2</v>
      </c>
      <c r="AS146" s="17">
        <v>10994.1766781285</v>
      </c>
      <c r="AT146" s="18">
        <v>4.1530965513605099E-2</v>
      </c>
      <c r="AU146" s="17">
        <v>947.83307302430103</v>
      </c>
      <c r="AV146" s="18">
        <v>-0.353387978247724</v>
      </c>
      <c r="AW146" s="17">
        <v>2078.8640317987902</v>
      </c>
      <c r="AX146" s="18">
        <v>2.34707398112688E-2</v>
      </c>
      <c r="AY146" s="17">
        <v>488.448508461372</v>
      </c>
      <c r="AZ146" s="18">
        <v>-1.9266828688968798E-2</v>
      </c>
      <c r="BA146" s="17">
        <v>5290.6222359290696</v>
      </c>
      <c r="BB146" s="18">
        <v>7.9865059209441605E-2</v>
      </c>
      <c r="BC146" s="17">
        <v>8825.0436883953498</v>
      </c>
      <c r="BD146" s="18">
        <v>4.4869958830051002E-2</v>
      </c>
      <c r="BE146" s="17">
        <v>-3534.4214524662798</v>
      </c>
      <c r="BF146" s="18">
        <v>-3.4710906820641899E-3</v>
      </c>
      <c r="BG146" s="17"/>
      <c r="BH146" s="18"/>
    </row>
    <row r="147" spans="1:60" x14ac:dyDescent="0.2">
      <c r="A147" s="16">
        <v>2013</v>
      </c>
      <c r="B147" s="16">
        <v>4</v>
      </c>
      <c r="C147" s="17">
        <v>170652.893581574</v>
      </c>
      <c r="D147" s="18">
        <v>1.9371836047458801E-2</v>
      </c>
      <c r="E147" s="17">
        <v>165595.60548540801</v>
      </c>
      <c r="F147" s="18">
        <v>2.0251384499833502E-2</v>
      </c>
      <c r="G147" s="17">
        <v>1148.52379292051</v>
      </c>
      <c r="H147" s="18">
        <v>9.6311163658752794E-2</v>
      </c>
      <c r="I147" s="17">
        <v>177.29522558991499</v>
      </c>
      <c r="J147" s="18">
        <v>1.6871074001827899E-2</v>
      </c>
      <c r="K147" s="17">
        <v>31501.794026821899</v>
      </c>
      <c r="L147" s="18">
        <v>2.2032529257018499E-2</v>
      </c>
      <c r="M147" s="17">
        <v>8216.8255808975191</v>
      </c>
      <c r="N147" s="18">
        <v>1.2550229153068099E-2</v>
      </c>
      <c r="O147" s="17">
        <v>23284.968445924402</v>
      </c>
      <c r="P147" s="18">
        <v>2.5421187891453399E-2</v>
      </c>
      <c r="Q147" s="17">
        <v>2523.6000413370102</v>
      </c>
      <c r="R147" s="18">
        <v>-3.1659835940184101E-2</v>
      </c>
      <c r="S147" s="17">
        <v>724.70091926558405</v>
      </c>
      <c r="T147" s="18">
        <v>0.100925126866462</v>
      </c>
      <c r="U147" s="17">
        <v>7997.5178818663999</v>
      </c>
      <c r="V147" s="18">
        <v>3.0982668515048901E-2</v>
      </c>
      <c r="W147" s="17">
        <v>29772.9331142193</v>
      </c>
      <c r="X147" s="18">
        <v>4.7758562617332698E-3</v>
      </c>
      <c r="Y147" s="17">
        <v>6982.87552146282</v>
      </c>
      <c r="Z147" s="18">
        <v>1.9824827115987501E-2</v>
      </c>
      <c r="AA147" s="17">
        <v>5977.0692610962597</v>
      </c>
      <c r="AB147" s="18">
        <v>-2.3484650438736401E-2</v>
      </c>
      <c r="AC147" s="17">
        <v>3051.2221392863298</v>
      </c>
      <c r="AD147" s="18">
        <v>3.2105308251485103E-2</v>
      </c>
      <c r="AE147" s="17">
        <v>7292.2605470190501</v>
      </c>
      <c r="AF147" s="18">
        <v>8.5293523187515204E-3</v>
      </c>
      <c r="AG147" s="17">
        <v>16020.1807296894</v>
      </c>
      <c r="AH147" s="18">
        <v>5.0056817672838897E-3</v>
      </c>
      <c r="AI147" s="17">
        <v>8193.9846988201098</v>
      </c>
      <c r="AJ147" s="18">
        <v>1.32644008513161E-2</v>
      </c>
      <c r="AK147" s="17">
        <v>6207.0706332729997</v>
      </c>
      <c r="AL147" s="18">
        <v>-1.6526594560600901E-2</v>
      </c>
      <c r="AM147" s="17">
        <v>27170.202095579702</v>
      </c>
      <c r="AN147" s="18">
        <v>4.6031944879587401E-2</v>
      </c>
      <c r="AO147" s="17">
        <v>10816.270696801501</v>
      </c>
      <c r="AP147" s="18">
        <v>2.9191766353105601E-2</v>
      </c>
      <c r="AQ147" s="17">
        <v>6729.95039120605</v>
      </c>
      <c r="AR147" s="18">
        <v>2.8455012050622602E-2</v>
      </c>
      <c r="AS147" s="17">
        <v>11110.4416641394</v>
      </c>
      <c r="AT147" s="18">
        <v>3.5973573160558797E-2</v>
      </c>
      <c r="AU147" s="17">
        <v>1002.62258309495</v>
      </c>
      <c r="AV147" s="18">
        <v>-5.89938945560948E-2</v>
      </c>
      <c r="AW147" s="17">
        <v>2088.9931626458601</v>
      </c>
      <c r="AX147" s="18">
        <v>1.8650702571781901E-2</v>
      </c>
      <c r="AY147" s="17">
        <v>490.02721282882902</v>
      </c>
      <c r="AZ147" s="18">
        <v>-8.5500185893646607E-3</v>
      </c>
      <c r="BA147" s="17">
        <v>5057.2880961657802</v>
      </c>
      <c r="BB147" s="18">
        <v>-8.6132595548110702E-3</v>
      </c>
      <c r="BC147" s="17">
        <v>8584.0006934565408</v>
      </c>
      <c r="BD147" s="18">
        <v>-1.1739707300577201E-2</v>
      </c>
      <c r="BE147" s="17">
        <v>-3526.7125972907602</v>
      </c>
      <c r="BF147" s="18">
        <v>-1.6188759224040401E-2</v>
      </c>
      <c r="BG147" s="17"/>
      <c r="BH147" s="18"/>
    </row>
    <row r="148" spans="1:60" x14ac:dyDescent="0.2">
      <c r="A148" s="16">
        <v>2014</v>
      </c>
      <c r="B148" s="16">
        <v>1</v>
      </c>
      <c r="C148" s="17">
        <v>166468.75723177099</v>
      </c>
      <c r="D148" s="18">
        <v>2.40262076063316E-2</v>
      </c>
      <c r="E148" s="17">
        <v>160882.55466284099</v>
      </c>
      <c r="F148" s="18">
        <v>2.37698187289128E-2</v>
      </c>
      <c r="G148" s="17">
        <v>1204.61309041394</v>
      </c>
      <c r="H148" s="18">
        <v>0.13526527519798501</v>
      </c>
      <c r="I148" s="17">
        <v>158.619350183888</v>
      </c>
      <c r="J148" s="18">
        <v>1.5662947251403599E-2</v>
      </c>
      <c r="K148" s="17">
        <v>30432.972311694401</v>
      </c>
      <c r="L148" s="18">
        <v>2.8138534341106001E-2</v>
      </c>
      <c r="M148" s="17">
        <v>8529.4045112002495</v>
      </c>
      <c r="N148" s="18">
        <v>1.95867693301774E-2</v>
      </c>
      <c r="O148" s="17">
        <v>21903.5678004941</v>
      </c>
      <c r="P148" s="18">
        <v>3.15075873508157E-2</v>
      </c>
      <c r="Q148" s="17">
        <v>2283.8229242032799</v>
      </c>
      <c r="R148" s="18">
        <v>-0.121159045672059</v>
      </c>
      <c r="S148" s="17">
        <v>735.70470042095405</v>
      </c>
      <c r="T148" s="18">
        <v>6.8204401000798498E-2</v>
      </c>
      <c r="U148" s="17">
        <v>7434.64956723861</v>
      </c>
      <c r="V148" s="18">
        <v>4.2456641848603399E-2</v>
      </c>
      <c r="W148" s="17">
        <v>26509.727215753199</v>
      </c>
      <c r="X148" s="18">
        <v>1.5540894733862901E-2</v>
      </c>
      <c r="Y148" s="17">
        <v>6070.6125001099599</v>
      </c>
      <c r="Z148" s="18">
        <v>6.2510539253120001E-3</v>
      </c>
      <c r="AA148" s="17">
        <v>6034.1596123781201</v>
      </c>
      <c r="AB148" s="18">
        <v>1.40227594696531E-2</v>
      </c>
      <c r="AC148" s="17">
        <v>3330.4812511728701</v>
      </c>
      <c r="AD148" s="18">
        <v>2.6119310862227098E-2</v>
      </c>
      <c r="AE148" s="17">
        <v>6996.7692480324504</v>
      </c>
      <c r="AF148" s="18">
        <v>-1.38786082386189E-3</v>
      </c>
      <c r="AG148" s="17">
        <v>15556.3316189297</v>
      </c>
      <c r="AH148" s="18">
        <v>-3.4417715557998801E-2</v>
      </c>
      <c r="AI148" s="17">
        <v>7908.5045820139903</v>
      </c>
      <c r="AJ148" s="18">
        <v>-2.95708938633743E-2</v>
      </c>
      <c r="AK148" s="17">
        <v>6026.4316276365298</v>
      </c>
      <c r="AL148" s="18">
        <v>-5.3107040506654497E-2</v>
      </c>
      <c r="AM148" s="17">
        <v>27440.5298488564</v>
      </c>
      <c r="AN148" s="18">
        <v>4.7301600943322697E-2</v>
      </c>
      <c r="AO148" s="17">
        <v>10801.220276546601</v>
      </c>
      <c r="AP148" s="18">
        <v>2.30163948846627E-2</v>
      </c>
      <c r="AQ148" s="17">
        <v>6762.0171667536697</v>
      </c>
      <c r="AR148" s="18">
        <v>3.3566980074148503E-2</v>
      </c>
      <c r="AS148" s="17">
        <v>11216.5631102516</v>
      </c>
      <c r="AT148" s="18">
        <v>3.8492490508478902E-2</v>
      </c>
      <c r="AU148" s="17">
        <v>1405.8892135516001</v>
      </c>
      <c r="AV148" s="18">
        <v>0.68129669293321804</v>
      </c>
      <c r="AW148" s="17">
        <v>2079.0745256269902</v>
      </c>
      <c r="AX148" s="18">
        <v>6.96375448532849E-3</v>
      </c>
      <c r="AY148" s="17">
        <v>499.40963083288602</v>
      </c>
      <c r="AZ148" s="18">
        <v>2.0612536170712299E-2</v>
      </c>
      <c r="BA148" s="17">
        <v>5586.2025689301099</v>
      </c>
      <c r="BB148" s="18">
        <v>3.14657106785972E-2</v>
      </c>
      <c r="BC148" s="17">
        <v>9086.6542599680906</v>
      </c>
      <c r="BD148" s="18">
        <v>1.3902755505022801E-2</v>
      </c>
      <c r="BE148" s="17">
        <v>-3500.4516910379798</v>
      </c>
      <c r="BF148" s="18">
        <v>-1.29190590736628E-2</v>
      </c>
      <c r="BG148" s="17"/>
      <c r="BH148" s="18"/>
    </row>
    <row r="149" spans="1:60" x14ac:dyDescent="0.2">
      <c r="A149" s="16">
        <v>2014</v>
      </c>
      <c r="B149" s="16">
        <v>2</v>
      </c>
      <c r="C149" s="17">
        <v>169560.74810188499</v>
      </c>
      <c r="D149" s="18">
        <v>1.82213391992436E-2</v>
      </c>
      <c r="E149" s="17">
        <v>164190.102007279</v>
      </c>
      <c r="F149" s="18">
        <v>2.04087427514901E-2</v>
      </c>
      <c r="G149" s="17">
        <v>1226.48940971557</v>
      </c>
      <c r="H149" s="18">
        <v>0.139240323851649</v>
      </c>
      <c r="I149" s="17">
        <v>176.48779323081999</v>
      </c>
      <c r="J149" s="18">
        <v>-7.4939497364455404E-2</v>
      </c>
      <c r="K149" s="17">
        <v>31050.447365596599</v>
      </c>
      <c r="L149" s="18">
        <v>2.86249607482292E-3</v>
      </c>
      <c r="M149" s="17">
        <v>8579.9485052549899</v>
      </c>
      <c r="N149" s="18">
        <v>-7.8312860528204596E-3</v>
      </c>
      <c r="O149" s="17">
        <v>22470.498860341599</v>
      </c>
      <c r="P149" s="18">
        <v>7.0067863605451901E-3</v>
      </c>
      <c r="Q149" s="17">
        <v>2274.1301946198901</v>
      </c>
      <c r="R149" s="18">
        <v>-0.12211136767165399</v>
      </c>
      <c r="S149" s="17">
        <v>745.39255997314001</v>
      </c>
      <c r="T149" s="18">
        <v>6.5793599017320806E-2</v>
      </c>
      <c r="U149" s="17">
        <v>8012.6546564035398</v>
      </c>
      <c r="V149" s="18">
        <v>2.54960672722386E-2</v>
      </c>
      <c r="W149" s="17">
        <v>28146.005779585201</v>
      </c>
      <c r="X149" s="18">
        <v>2.7343782239578101E-2</v>
      </c>
      <c r="Y149" s="17">
        <v>6468.0728559597601</v>
      </c>
      <c r="Z149" s="18">
        <v>1.5595682757660901E-2</v>
      </c>
      <c r="AA149" s="17">
        <v>5882.8629606198401</v>
      </c>
      <c r="AB149" s="18">
        <v>1.5167251180745699E-2</v>
      </c>
      <c r="AC149" s="17">
        <v>3233.87462949067</v>
      </c>
      <c r="AD149" s="18">
        <v>1.8025790874927901E-2</v>
      </c>
      <c r="AE149" s="17">
        <v>7003.1503159972299</v>
      </c>
      <c r="AF149" s="18">
        <v>3.4992448252894E-2</v>
      </c>
      <c r="AG149" s="17">
        <v>15371.600741264199</v>
      </c>
      <c r="AH149" s="18">
        <v>-5.965596365551E-2</v>
      </c>
      <c r="AI149" s="17">
        <v>7817.4919677874504</v>
      </c>
      <c r="AJ149" s="18">
        <v>-6.3872615191380905E-2</v>
      </c>
      <c r="AK149" s="17">
        <v>5912.8507034118302</v>
      </c>
      <c r="AL149" s="18">
        <v>-7.1529001701135603E-2</v>
      </c>
      <c r="AM149" s="17">
        <v>27749.531518448501</v>
      </c>
      <c r="AN149" s="18">
        <v>4.4516794280329501E-2</v>
      </c>
      <c r="AO149" s="17">
        <v>10815.686805237499</v>
      </c>
      <c r="AP149" s="18">
        <v>2.0365510011290701E-2</v>
      </c>
      <c r="AQ149" s="17">
        <v>6776.0705103234704</v>
      </c>
      <c r="AR149" s="18">
        <v>3.7459729450951301E-2</v>
      </c>
      <c r="AS149" s="17">
        <v>11203.7357313836</v>
      </c>
      <c r="AT149" s="18">
        <v>2.7636849857636699E-2</v>
      </c>
      <c r="AU149" s="17">
        <v>1870.43930003376</v>
      </c>
      <c r="AV149" s="18">
        <v>1.0668299678194499</v>
      </c>
      <c r="AW149" s="17">
        <v>2148.7876146200201</v>
      </c>
      <c r="AX149" s="18">
        <v>2.3178657235057201E-2</v>
      </c>
      <c r="AY149" s="17">
        <v>502.75412073536802</v>
      </c>
      <c r="AZ149" s="18">
        <v>3.3348915140073002E-2</v>
      </c>
      <c r="BA149" s="17">
        <v>5370.6460946064999</v>
      </c>
      <c r="BB149" s="18">
        <v>-4.4403920407237001E-2</v>
      </c>
      <c r="BC149" s="17">
        <v>8867.2947357582907</v>
      </c>
      <c r="BD149" s="18">
        <v>-3.1187632314094701E-2</v>
      </c>
      <c r="BE149" s="17">
        <v>-3496.6486411517899</v>
      </c>
      <c r="BF149" s="18">
        <v>-1.01607764761965E-2</v>
      </c>
      <c r="BG149" s="17"/>
      <c r="BH149" s="18"/>
    </row>
    <row r="150" spans="1:60" x14ac:dyDescent="0.2">
      <c r="A150" s="16">
        <v>2014</v>
      </c>
      <c r="B150" s="16">
        <v>3</v>
      </c>
      <c r="C150" s="17">
        <v>169455.62759426501</v>
      </c>
      <c r="D150" s="18">
        <v>1.7946232004454301E-2</v>
      </c>
      <c r="E150" s="17">
        <v>163904.85019531299</v>
      </c>
      <c r="F150" s="18">
        <v>1.69212229373903E-2</v>
      </c>
      <c r="G150" s="17">
        <v>1211.55342511968</v>
      </c>
      <c r="H150" s="18">
        <v>8.7483317672038194E-2</v>
      </c>
      <c r="I150" s="17">
        <v>173.60266194767101</v>
      </c>
      <c r="J150" s="18">
        <v>-7.7767148289599394E-2</v>
      </c>
      <c r="K150" s="17">
        <v>30759.3960786717</v>
      </c>
      <c r="L150" s="18">
        <v>3.6501008747249499E-3</v>
      </c>
      <c r="M150" s="17">
        <v>8627.2126685870498</v>
      </c>
      <c r="N150" s="18">
        <v>1.48882304090654E-2</v>
      </c>
      <c r="O150" s="17">
        <v>22132.183410084701</v>
      </c>
      <c r="P150" s="18">
        <v>-6.6343920118583399E-4</v>
      </c>
      <c r="Q150" s="17">
        <v>2268.8770778406001</v>
      </c>
      <c r="R150" s="18">
        <v>-8.8001935612374294E-2</v>
      </c>
      <c r="S150" s="17">
        <v>750.55853788848401</v>
      </c>
      <c r="T150" s="18">
        <v>5.9129219687194902E-2</v>
      </c>
      <c r="U150" s="17">
        <v>8170.6690943099702</v>
      </c>
      <c r="V150" s="18">
        <v>2.2452364740817899E-2</v>
      </c>
      <c r="W150" s="17">
        <v>27349.987862839698</v>
      </c>
      <c r="X150" s="18">
        <v>1.72469068345651E-2</v>
      </c>
      <c r="Y150" s="17">
        <v>6257.9073891791504</v>
      </c>
      <c r="Z150" s="18">
        <v>5.1246859668458997E-3</v>
      </c>
      <c r="AA150" s="17">
        <v>5939.4695513508204</v>
      </c>
      <c r="AB150" s="18">
        <v>2.1085336986301301E-2</v>
      </c>
      <c r="AC150" s="17">
        <v>3609.1541105414599</v>
      </c>
      <c r="AD150" s="18">
        <v>9.13913263099775E-3</v>
      </c>
      <c r="AE150" s="17">
        <v>7050.1586267785597</v>
      </c>
      <c r="AF150" s="18">
        <v>4.3620616336257599E-2</v>
      </c>
      <c r="AG150" s="17">
        <v>15213.358712724499</v>
      </c>
      <c r="AH150" s="18">
        <v>-5.3496574541260902E-2</v>
      </c>
      <c r="AI150" s="17">
        <v>7722.6290289668104</v>
      </c>
      <c r="AJ150" s="18">
        <v>-5.0550353648933802E-2</v>
      </c>
      <c r="AK150" s="17">
        <v>5853.2415253670897</v>
      </c>
      <c r="AL150" s="18">
        <v>-7.3588009234917304E-2</v>
      </c>
      <c r="AM150" s="17">
        <v>28120.121180546899</v>
      </c>
      <c r="AN150" s="18">
        <v>3.9641360796373697E-2</v>
      </c>
      <c r="AO150" s="17">
        <v>10860.7274226389</v>
      </c>
      <c r="AP150" s="18">
        <v>1.2494530358159801E-2</v>
      </c>
      <c r="AQ150" s="17">
        <v>6804.6050727538304</v>
      </c>
      <c r="AR150" s="18">
        <v>2.3594508674133801E-2</v>
      </c>
      <c r="AS150" s="17">
        <v>11391.488789892201</v>
      </c>
      <c r="AT150" s="18">
        <v>3.6138414307466803E-2</v>
      </c>
      <c r="AU150" s="17">
        <v>1602.23834346591</v>
      </c>
      <c r="AV150" s="18">
        <v>0.69042249006311296</v>
      </c>
      <c r="AW150" s="17">
        <v>2115.8115239860199</v>
      </c>
      <c r="AX150" s="18">
        <v>1.7772923876726399E-2</v>
      </c>
      <c r="AY150" s="17">
        <v>513.07212201651703</v>
      </c>
      <c r="AZ150" s="18">
        <v>5.0411892202742802E-2</v>
      </c>
      <c r="BA150" s="17">
        <v>5550.7773989519201</v>
      </c>
      <c r="BB150" s="18">
        <v>4.9172885800864402E-2</v>
      </c>
      <c r="BC150" s="17">
        <v>9070.4364645551796</v>
      </c>
      <c r="BD150" s="18">
        <v>2.7806409217271798E-2</v>
      </c>
      <c r="BE150" s="17">
        <v>-3519.6590656032499</v>
      </c>
      <c r="BF150" s="18">
        <v>-4.1767477539302903E-3</v>
      </c>
      <c r="BG150" s="17"/>
      <c r="BH150" s="18"/>
    </row>
    <row r="151" spans="1:60" x14ac:dyDescent="0.2">
      <c r="A151" s="16">
        <v>2014</v>
      </c>
      <c r="B151" s="16">
        <v>4</v>
      </c>
      <c r="C151" s="17">
        <v>173536.81628387599</v>
      </c>
      <c r="D151" s="18">
        <v>1.68993483894491E-2</v>
      </c>
      <c r="E151" s="17">
        <v>168520.72269518499</v>
      </c>
      <c r="F151" s="18">
        <v>1.7664220020830599E-2</v>
      </c>
      <c r="G151" s="17">
        <v>1139.0229068650699</v>
      </c>
      <c r="H151" s="18">
        <v>-8.2722588021323408E-3</v>
      </c>
      <c r="I151" s="17">
        <v>166.461010465843</v>
      </c>
      <c r="J151" s="18">
        <v>-6.1108329838118501E-2</v>
      </c>
      <c r="K151" s="17">
        <v>31730.895373097901</v>
      </c>
      <c r="L151" s="18">
        <v>7.2726444113271303E-3</v>
      </c>
      <c r="M151" s="17">
        <v>8543.06232520921</v>
      </c>
      <c r="N151" s="18">
        <v>3.9703501200041499E-2</v>
      </c>
      <c r="O151" s="17">
        <v>23187.8330478887</v>
      </c>
      <c r="P151" s="18">
        <v>-4.1715924271630298E-3</v>
      </c>
      <c r="Q151" s="17">
        <v>2435.92308833995</v>
      </c>
      <c r="R151" s="18">
        <v>-3.4742808512006798E-2</v>
      </c>
      <c r="S151" s="17">
        <v>742.48506677338196</v>
      </c>
      <c r="T151" s="18">
        <v>2.45399819912193E-2</v>
      </c>
      <c r="U151" s="17">
        <v>8124.1888520887796</v>
      </c>
      <c r="V151" s="18">
        <v>1.5838785494884301E-2</v>
      </c>
      <c r="W151" s="17">
        <v>30418.2567693118</v>
      </c>
      <c r="X151" s="18">
        <v>2.16748431408058E-2</v>
      </c>
      <c r="Y151" s="17">
        <v>6998.4954093714296</v>
      </c>
      <c r="Z151" s="18">
        <v>2.2368847705505099E-3</v>
      </c>
      <c r="AA151" s="17">
        <v>6138.3325153219203</v>
      </c>
      <c r="AB151" s="18">
        <v>2.6980322158102001E-2</v>
      </c>
      <c r="AC151" s="17">
        <v>3076.1580280922699</v>
      </c>
      <c r="AD151" s="18">
        <v>8.1724265450486798E-3</v>
      </c>
      <c r="AE151" s="17">
        <v>7539.3543414524802</v>
      </c>
      <c r="AF151" s="18">
        <v>3.3884389187716302E-2</v>
      </c>
      <c r="AG151" s="17">
        <v>15486.5154674316</v>
      </c>
      <c r="AH151" s="18">
        <v>-3.3312062533025301E-2</v>
      </c>
      <c r="AI151" s="17">
        <v>8003.4353417188504</v>
      </c>
      <c r="AJ151" s="18">
        <v>-2.3254785565891101E-2</v>
      </c>
      <c r="AK151" s="17">
        <v>5837.71077724116</v>
      </c>
      <c r="AL151" s="18">
        <v>-5.9506307863147402E-2</v>
      </c>
      <c r="AM151" s="17">
        <v>28206.7873050362</v>
      </c>
      <c r="AN151" s="18">
        <v>3.8151545793069501E-2</v>
      </c>
      <c r="AO151" s="17">
        <v>10958.3313149694</v>
      </c>
      <c r="AP151" s="18">
        <v>1.31339740054712E-2</v>
      </c>
      <c r="AQ151" s="17">
        <v>6893.5828346753297</v>
      </c>
      <c r="AR151" s="18">
        <v>2.4314063842593998E-2</v>
      </c>
      <c r="AS151" s="17">
        <v>11604.7815639153</v>
      </c>
      <c r="AT151" s="18">
        <v>4.4493271709571403E-2</v>
      </c>
      <c r="AU151" s="17">
        <v>1215.57320229118</v>
      </c>
      <c r="AV151" s="18">
        <v>0.212393599333139</v>
      </c>
      <c r="AW151" s="17">
        <v>2119.3541640113599</v>
      </c>
      <c r="AX151" s="18">
        <v>1.45337964280579E-2</v>
      </c>
      <c r="AY151" s="17">
        <v>524.71889104524803</v>
      </c>
      <c r="AZ151" s="18">
        <v>7.0795411577555506E-2</v>
      </c>
      <c r="BA151" s="17">
        <v>5016.0935886914704</v>
      </c>
      <c r="BB151" s="18">
        <v>-8.1455726252863698E-3</v>
      </c>
      <c r="BC151" s="17">
        <v>8568.1893236484502</v>
      </c>
      <c r="BD151" s="18">
        <v>-1.8419581233431999E-3</v>
      </c>
      <c r="BE151" s="17">
        <v>-3552.0957349569799</v>
      </c>
      <c r="BF151" s="18">
        <v>7.1973933134550404E-3</v>
      </c>
      <c r="BG151" s="17"/>
      <c r="BH151" s="18"/>
    </row>
    <row r="152" spans="1:60" x14ac:dyDescent="0.2">
      <c r="A152" s="16">
        <v>2015</v>
      </c>
      <c r="B152" s="16">
        <v>1</v>
      </c>
      <c r="C152" s="17">
        <v>167337.95286155201</v>
      </c>
      <c r="D152" s="18">
        <v>5.2213739336732798E-3</v>
      </c>
      <c r="E152" s="17">
        <v>161907.65152343901</v>
      </c>
      <c r="F152" s="18">
        <v>6.3717092430950499E-3</v>
      </c>
      <c r="G152" s="17">
        <v>1064.76287914145</v>
      </c>
      <c r="H152" s="18">
        <v>-0.116095543361922</v>
      </c>
      <c r="I152" s="17">
        <v>153.44490169922301</v>
      </c>
      <c r="J152" s="18">
        <v>-3.2621798530041199E-2</v>
      </c>
      <c r="K152" s="17">
        <v>29802.830602578699</v>
      </c>
      <c r="L152" s="18">
        <v>-2.0705887767442602E-2</v>
      </c>
      <c r="M152" s="17">
        <v>8763.8273518817896</v>
      </c>
      <c r="N152" s="18">
        <v>2.74840805561174E-2</v>
      </c>
      <c r="O152" s="17">
        <v>21039.003250696998</v>
      </c>
      <c r="P152" s="18">
        <v>-3.9471402908966599E-2</v>
      </c>
      <c r="Q152" s="17">
        <v>2777.40542361293</v>
      </c>
      <c r="R152" s="18">
        <v>0.21612117742527501</v>
      </c>
      <c r="S152" s="17">
        <v>721.56691432268406</v>
      </c>
      <c r="T152" s="18">
        <v>-1.92166586541868E-2</v>
      </c>
      <c r="U152" s="17">
        <v>7649.4596890985003</v>
      </c>
      <c r="V152" s="18">
        <v>2.8893106516610499E-2</v>
      </c>
      <c r="W152" s="17">
        <v>26449.907423731001</v>
      </c>
      <c r="X152" s="18">
        <v>-2.2565223525438101E-3</v>
      </c>
      <c r="Y152" s="17">
        <v>5982.45837485435</v>
      </c>
      <c r="Z152" s="18">
        <v>-1.45214548373859E-2</v>
      </c>
      <c r="AA152" s="17">
        <v>6184.9270318164799</v>
      </c>
      <c r="AB152" s="18">
        <v>2.49856532016637E-2</v>
      </c>
      <c r="AC152" s="17">
        <v>3272.6803641342599</v>
      </c>
      <c r="AD152" s="18">
        <v>-1.7355115576241E-2</v>
      </c>
      <c r="AE152" s="17">
        <v>7163.9624877775204</v>
      </c>
      <c r="AF152" s="18">
        <v>2.3895777296369498E-2</v>
      </c>
      <c r="AG152" s="17">
        <v>15523.7785515334</v>
      </c>
      <c r="AH152" s="18">
        <v>-2.09259279075091E-3</v>
      </c>
      <c r="AI152" s="17">
        <v>8019.3667183576599</v>
      </c>
      <c r="AJ152" s="18">
        <v>1.4018090929074601E-2</v>
      </c>
      <c r="AK152" s="17">
        <v>5857.9758883178301</v>
      </c>
      <c r="AL152" s="18">
        <v>-2.7952816812221701E-2</v>
      </c>
      <c r="AM152" s="17">
        <v>28242.553124385198</v>
      </c>
      <c r="AN152" s="18">
        <v>2.9227689113377399E-2</v>
      </c>
      <c r="AO152" s="17">
        <v>10917.274796559501</v>
      </c>
      <c r="AP152" s="18">
        <v>1.07445748759407E-2</v>
      </c>
      <c r="AQ152" s="17">
        <v>6892.8941475455003</v>
      </c>
      <c r="AR152" s="18">
        <v>1.93547247166579E-2</v>
      </c>
      <c r="AS152" s="17">
        <v>11533.1433077687</v>
      </c>
      <c r="AT152" s="18">
        <v>2.8224349509323701E-2</v>
      </c>
      <c r="AU152" s="17">
        <v>905.16892358192194</v>
      </c>
      <c r="AV152" s="18">
        <v>-0.35615913767824298</v>
      </c>
      <c r="AW152" s="17">
        <v>2122.4083182149502</v>
      </c>
      <c r="AX152" s="18">
        <v>2.08428279283994E-2</v>
      </c>
      <c r="AY152" s="17">
        <v>529.48263593715296</v>
      </c>
      <c r="AZ152" s="18">
        <v>6.0217110859703403E-2</v>
      </c>
      <c r="BA152" s="17">
        <v>5430.3013381131204</v>
      </c>
      <c r="BB152" s="18">
        <v>-2.7908266643263499E-2</v>
      </c>
      <c r="BC152" s="17">
        <v>9007.2740462069196</v>
      </c>
      <c r="BD152" s="18">
        <v>-8.73591219497394E-3</v>
      </c>
      <c r="BE152" s="17">
        <v>-3576.9727080938001</v>
      </c>
      <c r="BF152" s="18">
        <v>2.1860326554921299E-2</v>
      </c>
      <c r="BG152" s="17"/>
      <c r="BH152" s="18"/>
    </row>
    <row r="153" spans="1:60" x14ac:dyDescent="0.2">
      <c r="A153" s="16">
        <v>2015</v>
      </c>
      <c r="B153" s="16">
        <v>2</v>
      </c>
      <c r="C153" s="17">
        <v>169153.90686676701</v>
      </c>
      <c r="D153" s="18">
        <v>-2.3993833459229302E-3</v>
      </c>
      <c r="E153" s="17">
        <v>163845.56705546699</v>
      </c>
      <c r="F153" s="18">
        <v>-2.0983905095331998E-3</v>
      </c>
      <c r="G153" s="17">
        <v>1025.6995947287801</v>
      </c>
      <c r="H153" s="18">
        <v>-0.16371100589719501</v>
      </c>
      <c r="I153" s="17">
        <v>179.482890094543</v>
      </c>
      <c r="J153" s="18">
        <v>1.6970561016685901E-2</v>
      </c>
      <c r="K153" s="17">
        <v>30014.3748990276</v>
      </c>
      <c r="L153" s="18">
        <v>-3.33673925650722E-2</v>
      </c>
      <c r="M153" s="17">
        <v>8991.1479826117502</v>
      </c>
      <c r="N153" s="18">
        <v>4.7925634647447299E-2</v>
      </c>
      <c r="O153" s="17">
        <v>21023.226916415901</v>
      </c>
      <c r="P153" s="18">
        <v>-6.44076463509244E-2</v>
      </c>
      <c r="Q153" s="17">
        <v>2864.00203489257</v>
      </c>
      <c r="R153" s="18">
        <v>0.25938349601451599</v>
      </c>
      <c r="S153" s="17">
        <v>726.05985373751105</v>
      </c>
      <c r="T153" s="18">
        <v>-2.5936274754776001E-2</v>
      </c>
      <c r="U153" s="17">
        <v>8184.6896221893103</v>
      </c>
      <c r="V153" s="18">
        <v>2.1470408143483301E-2</v>
      </c>
      <c r="W153" s="17">
        <v>27626.3523571962</v>
      </c>
      <c r="X153" s="18">
        <v>-1.8462776795347101E-2</v>
      </c>
      <c r="Y153" s="17">
        <v>6319.3349535457701</v>
      </c>
      <c r="Z153" s="18">
        <v>-2.2995706097672999E-2</v>
      </c>
      <c r="AA153" s="17">
        <v>6049.0189229889302</v>
      </c>
      <c r="AB153" s="18">
        <v>2.8244064748974999E-2</v>
      </c>
      <c r="AC153" s="17">
        <v>3181.91044384009</v>
      </c>
      <c r="AD153" s="18">
        <v>-1.6068707542556401E-2</v>
      </c>
      <c r="AE153" s="17">
        <v>7134.27651740492</v>
      </c>
      <c r="AF153" s="18">
        <v>1.8723887892020199E-2</v>
      </c>
      <c r="AG153" s="17">
        <v>15511.316242922599</v>
      </c>
      <c r="AH153" s="18">
        <v>9.0891966302106796E-3</v>
      </c>
      <c r="AI153" s="17">
        <v>7935.0121605027698</v>
      </c>
      <c r="AJ153" s="18">
        <v>1.50329790167447E-2</v>
      </c>
      <c r="AK153" s="17">
        <v>5870.4236262472596</v>
      </c>
      <c r="AL153" s="18">
        <v>-7.1754013914297997E-3</v>
      </c>
      <c r="AM153" s="17">
        <v>28406.694606519399</v>
      </c>
      <c r="AN153" s="18">
        <v>2.3681952527165699E-2</v>
      </c>
      <c r="AO153" s="17">
        <v>10926.478665724801</v>
      </c>
      <c r="AP153" s="18">
        <v>1.0243626917313E-2</v>
      </c>
      <c r="AQ153" s="17">
        <v>6911.0912695740799</v>
      </c>
      <c r="AR153" s="18">
        <v>1.9926114854457801E-2</v>
      </c>
      <c r="AS153" s="17">
        <v>11529.641433368201</v>
      </c>
      <c r="AT153" s="18">
        <v>2.90890208229138E-2</v>
      </c>
      <c r="AU153" s="17">
        <v>892.48942984430698</v>
      </c>
      <c r="AV153" s="18">
        <v>-0.52284501837178199</v>
      </c>
      <c r="AW153" s="17">
        <v>2152.9579411899599</v>
      </c>
      <c r="AX153" s="18">
        <v>1.9407811835687699E-3</v>
      </c>
      <c r="AY153" s="17">
        <v>529.03033022352599</v>
      </c>
      <c r="AZ153" s="18">
        <v>5.2264533306507703E-2</v>
      </c>
      <c r="BA153" s="17">
        <v>5308.3398112999803</v>
      </c>
      <c r="BB153" s="18">
        <v>-1.1601264020932801E-2</v>
      </c>
      <c r="BC153" s="17">
        <v>8920.0769876184404</v>
      </c>
      <c r="BD153" s="18">
        <v>5.9524639061909702E-3</v>
      </c>
      <c r="BE153" s="17">
        <v>-3611.7371763184701</v>
      </c>
      <c r="BF153" s="18">
        <v>3.2913954754335999E-2</v>
      </c>
      <c r="BG153" s="17"/>
      <c r="BH153" s="18"/>
    </row>
    <row r="154" spans="1:60" x14ac:dyDescent="0.2">
      <c r="A154" s="16">
        <v>2015</v>
      </c>
      <c r="B154" s="16">
        <v>3</v>
      </c>
      <c r="C154" s="17">
        <v>169323.059931945</v>
      </c>
      <c r="D154" s="18">
        <v>-7.8231489979008195E-4</v>
      </c>
      <c r="E154" s="17">
        <v>163950.18000955501</v>
      </c>
      <c r="F154" s="18">
        <v>2.76561762431848E-4</v>
      </c>
      <c r="G154" s="17">
        <v>1042.66208408335</v>
      </c>
      <c r="H154" s="18">
        <v>-0.13940065500590801</v>
      </c>
      <c r="I154" s="17">
        <v>182.09195178612401</v>
      </c>
      <c r="J154" s="18">
        <v>4.8900689328207798E-2</v>
      </c>
      <c r="K154" s="17">
        <v>30019.5641431318</v>
      </c>
      <c r="L154" s="18">
        <v>-2.40522256564367E-2</v>
      </c>
      <c r="M154" s="17">
        <v>9456.4575526694807</v>
      </c>
      <c r="N154" s="18">
        <v>9.6119675721201503E-2</v>
      </c>
      <c r="O154" s="17">
        <v>20563.106590462299</v>
      </c>
      <c r="P154" s="18">
        <v>-7.08957083243488E-2</v>
      </c>
      <c r="Q154" s="17">
        <v>2608.57653793996</v>
      </c>
      <c r="R154" s="18">
        <v>0.14972140333960199</v>
      </c>
      <c r="S154" s="17">
        <v>722.67020873752301</v>
      </c>
      <c r="T154" s="18">
        <v>-3.7156767584601298E-2</v>
      </c>
      <c r="U154" s="17">
        <v>8346.9360640695395</v>
      </c>
      <c r="V154" s="18">
        <v>2.1573137735112501E-2</v>
      </c>
      <c r="W154" s="17">
        <v>27046.257132967599</v>
      </c>
      <c r="X154" s="18">
        <v>-1.11053332599383E-2</v>
      </c>
      <c r="Y154" s="17">
        <v>6130.7265734422599</v>
      </c>
      <c r="Z154" s="18">
        <v>-2.03232179429178E-2</v>
      </c>
      <c r="AA154" s="17">
        <v>6110.5545602215598</v>
      </c>
      <c r="AB154" s="18">
        <v>2.88047623430987E-2</v>
      </c>
      <c r="AC154" s="17">
        <v>3513.4612987123301</v>
      </c>
      <c r="AD154" s="18">
        <v>-2.6513916806611301E-2</v>
      </c>
      <c r="AE154" s="17">
        <v>7204.0242066738101</v>
      </c>
      <c r="AF154" s="18">
        <v>2.1824413894863601E-2</v>
      </c>
      <c r="AG154" s="17">
        <v>15459.887809695399</v>
      </c>
      <c r="AH154" s="18">
        <v>1.6204777763158901E-2</v>
      </c>
      <c r="AI154" s="17">
        <v>7869.0667717632195</v>
      </c>
      <c r="AJ154" s="18">
        <v>1.8962162010778001E-2</v>
      </c>
      <c r="AK154" s="17">
        <v>5873.3708617762104</v>
      </c>
      <c r="AL154" s="18">
        <v>3.43900662938412E-3</v>
      </c>
      <c r="AM154" s="17">
        <v>28520.2372477805</v>
      </c>
      <c r="AN154" s="18">
        <v>1.42288173178451E-2</v>
      </c>
      <c r="AO154" s="17">
        <v>10954.235597832399</v>
      </c>
      <c r="AP154" s="18">
        <v>8.6097525105563993E-3</v>
      </c>
      <c r="AQ154" s="17">
        <v>6920.2648986047598</v>
      </c>
      <c r="AR154" s="18">
        <v>1.69972870746069E-2</v>
      </c>
      <c r="AS154" s="17">
        <v>11721.635494447401</v>
      </c>
      <c r="AT154" s="18">
        <v>2.8981875033585999E-2</v>
      </c>
      <c r="AU154" s="17">
        <v>908.41714384507998</v>
      </c>
      <c r="AV154" s="18">
        <v>-0.43303245266242901</v>
      </c>
      <c r="AW154" s="17">
        <v>2131.5964196981099</v>
      </c>
      <c r="AX154" s="18">
        <v>7.4604450978490401E-3</v>
      </c>
      <c r="AY154" s="17">
        <v>537.10720932728805</v>
      </c>
      <c r="AZ154" s="18">
        <v>4.6845436108097903E-2</v>
      </c>
      <c r="BA154" s="17">
        <v>5372.8799223904798</v>
      </c>
      <c r="BB154" s="18">
        <v>-3.2049110201218298E-2</v>
      </c>
      <c r="BC154" s="17">
        <v>9039.3322061342496</v>
      </c>
      <c r="BD154" s="18">
        <v>-3.4291909261996399E-3</v>
      </c>
      <c r="BE154" s="17">
        <v>-3666.4522837437698</v>
      </c>
      <c r="BF154" s="18">
        <v>4.1706658345148598E-2</v>
      </c>
      <c r="BG154" s="17"/>
      <c r="BH154" s="18"/>
    </row>
    <row r="155" spans="1:60" x14ac:dyDescent="0.2">
      <c r="A155" s="16">
        <v>2015</v>
      </c>
      <c r="B155" s="16">
        <v>4</v>
      </c>
      <c r="C155" s="17">
        <v>173817.82002561999</v>
      </c>
      <c r="D155" s="18">
        <v>1.61927450186794E-3</v>
      </c>
      <c r="E155" s="17">
        <v>168843.11384975401</v>
      </c>
      <c r="F155" s="18">
        <v>1.9130653453938199E-3</v>
      </c>
      <c r="G155" s="17">
        <v>1058.7051642174399</v>
      </c>
      <c r="H155" s="18">
        <v>-7.0514598225850295E-2</v>
      </c>
      <c r="I155" s="17">
        <v>175.396810014311</v>
      </c>
      <c r="J155" s="18">
        <v>5.3681036318722099E-2</v>
      </c>
      <c r="K155" s="17">
        <v>31524.177271263801</v>
      </c>
      <c r="L155" s="18">
        <v>-6.5147264016164304E-3</v>
      </c>
      <c r="M155" s="17">
        <v>9835.0649994692794</v>
      </c>
      <c r="N155" s="18">
        <v>0.15123413889274501</v>
      </c>
      <c r="O155" s="17">
        <v>21689.1122717945</v>
      </c>
      <c r="P155" s="18">
        <v>-6.4633929914834701E-2</v>
      </c>
      <c r="Q155" s="17">
        <v>2472.4421966136101</v>
      </c>
      <c r="R155" s="18">
        <v>1.49918970957932E-2</v>
      </c>
      <c r="S155" s="17">
        <v>709.26546337651098</v>
      </c>
      <c r="T155" s="18">
        <v>-4.47411064322586E-2</v>
      </c>
      <c r="U155" s="17">
        <v>8316.3329493767396</v>
      </c>
      <c r="V155" s="18">
        <v>2.3650865432375899E-2</v>
      </c>
      <c r="W155" s="17">
        <v>29785.050327409299</v>
      </c>
      <c r="X155" s="18">
        <v>-2.0816657795502999E-2</v>
      </c>
      <c r="Y155" s="17">
        <v>6851.3150199083202</v>
      </c>
      <c r="Z155" s="18">
        <v>-2.1030290205810501E-2</v>
      </c>
      <c r="AA155" s="17">
        <v>6307.8679519074303</v>
      </c>
      <c r="AB155" s="18">
        <v>2.7619135353507799E-2</v>
      </c>
      <c r="AC155" s="17">
        <v>3018.77985091759</v>
      </c>
      <c r="AD155" s="18">
        <v>-1.8652545366880099E-2</v>
      </c>
      <c r="AE155" s="17">
        <v>7815.8304528079498</v>
      </c>
      <c r="AF155" s="18">
        <v>3.6671059461334199E-2</v>
      </c>
      <c r="AG155" s="17">
        <v>15739.014335497601</v>
      </c>
      <c r="AH155" s="18">
        <v>1.63044339184653E-2</v>
      </c>
      <c r="AI155" s="17">
        <v>8132.2557657918496</v>
      </c>
      <c r="AJ155" s="18">
        <v>1.6095641255637901E-2</v>
      </c>
      <c r="AK155" s="17">
        <v>5866.1480080759002</v>
      </c>
      <c r="AL155" s="18">
        <v>4.8712983427701096E-3</v>
      </c>
      <c r="AM155" s="17">
        <v>28443.6097838276</v>
      </c>
      <c r="AN155" s="18">
        <v>8.3959394676993392E-3</v>
      </c>
      <c r="AO155" s="17">
        <v>11028.381621443599</v>
      </c>
      <c r="AP155" s="18">
        <v>6.39242458187939E-3</v>
      </c>
      <c r="AQ155" s="17">
        <v>7006.2775614811599</v>
      </c>
      <c r="AR155" s="18">
        <v>1.6347772922807001E-2</v>
      </c>
      <c r="AS155" s="17">
        <v>11799.888235165099</v>
      </c>
      <c r="AT155" s="18">
        <v>1.6812610403330999E-2</v>
      </c>
      <c r="AU155" s="17">
        <v>921.85894625119101</v>
      </c>
      <c r="AV155" s="18">
        <v>-0.24162613611946801</v>
      </c>
      <c r="AW155" s="17">
        <v>2174.0236251646302</v>
      </c>
      <c r="AX155" s="18">
        <v>2.5795339958564902E-2</v>
      </c>
      <c r="AY155" s="17">
        <v>546.21130301825497</v>
      </c>
      <c r="AZ155" s="18">
        <v>4.0959859345246298E-2</v>
      </c>
      <c r="BA155" s="17">
        <v>4974.7061758664204</v>
      </c>
      <c r="BB155" s="18">
        <v>-8.2509251658213802E-3</v>
      </c>
      <c r="BC155" s="17">
        <v>8687.6798327803808</v>
      </c>
      <c r="BD155" s="18">
        <v>1.3945829698479399E-2</v>
      </c>
      <c r="BE155" s="17">
        <v>-3712.97365691396</v>
      </c>
      <c r="BF155" s="18">
        <v>4.5290987056948902E-2</v>
      </c>
      <c r="BG155" s="17"/>
      <c r="BH155" s="18"/>
    </row>
    <row r="156" spans="1:60" x14ac:dyDescent="0.2">
      <c r="A156" s="16">
        <v>2016</v>
      </c>
      <c r="B156" s="16">
        <v>1</v>
      </c>
      <c r="C156" s="17">
        <v>168900.67024464501</v>
      </c>
      <c r="D156" s="18">
        <v>9.3386906937085196E-3</v>
      </c>
      <c r="E156" s="17">
        <v>163811.12815675701</v>
      </c>
      <c r="F156" s="18">
        <v>1.17565576142191E-2</v>
      </c>
      <c r="G156" s="17">
        <v>1102.6596542728701</v>
      </c>
      <c r="H156" s="18">
        <v>3.5591750871308399E-2</v>
      </c>
      <c r="I156" s="17">
        <v>164.58888247808201</v>
      </c>
      <c r="J156" s="18">
        <v>7.2625291915548104E-2</v>
      </c>
      <c r="K156" s="17">
        <v>30692.532661982899</v>
      </c>
      <c r="L156" s="18">
        <v>2.9852938174510499E-2</v>
      </c>
      <c r="M156" s="17">
        <v>10087.282028252001</v>
      </c>
      <c r="N156" s="18">
        <v>0.15101332137562001</v>
      </c>
      <c r="O156" s="17">
        <v>20605.250633731001</v>
      </c>
      <c r="P156" s="18">
        <v>-2.0616595368015501E-2</v>
      </c>
      <c r="Q156" s="17">
        <v>2406.2225565714898</v>
      </c>
      <c r="R156" s="18">
        <v>-0.13364374674497201</v>
      </c>
      <c r="S156" s="17">
        <v>723.25764616257504</v>
      </c>
      <c r="T156" s="18">
        <v>2.3431393628658998E-3</v>
      </c>
      <c r="U156" s="17">
        <v>7702.9102779984696</v>
      </c>
      <c r="V156" s="18">
        <v>6.9874986041347197E-3</v>
      </c>
      <c r="W156" s="17">
        <v>26264.9924959542</v>
      </c>
      <c r="X156" s="18">
        <v>-6.9911370506683399E-3</v>
      </c>
      <c r="Y156" s="17">
        <v>5951.3845758491098</v>
      </c>
      <c r="Z156" s="18">
        <v>-5.1941521458552797E-3</v>
      </c>
      <c r="AA156" s="17">
        <v>6170.0010079147296</v>
      </c>
      <c r="AB156" s="18">
        <v>-2.41329021748615E-3</v>
      </c>
      <c r="AC156" s="17">
        <v>3252.7970425682402</v>
      </c>
      <c r="AD156" s="18">
        <v>-6.0755464493032997E-3</v>
      </c>
      <c r="AE156" s="17">
        <v>7345.3644747867902</v>
      </c>
      <c r="AF156" s="18">
        <v>2.53214596417504E-2</v>
      </c>
      <c r="AG156" s="17">
        <v>15497.5763789502</v>
      </c>
      <c r="AH156" s="18">
        <v>-1.6878733805839601E-3</v>
      </c>
      <c r="AI156" s="17">
        <v>7919.8363645321697</v>
      </c>
      <c r="AJ156" s="18">
        <v>-1.24112485837133E-2</v>
      </c>
      <c r="AK156" s="17">
        <v>5849.10870846529</v>
      </c>
      <c r="AL156" s="18">
        <v>-1.5136934705076699E-3</v>
      </c>
      <c r="AM156" s="17">
        <v>28435.342407653101</v>
      </c>
      <c r="AN156" s="18">
        <v>6.8261988361606497E-3</v>
      </c>
      <c r="AO156" s="17">
        <v>11025.887343009401</v>
      </c>
      <c r="AP156" s="18">
        <v>9.9486866891109697E-3</v>
      </c>
      <c r="AQ156" s="17">
        <v>7021.5905989446401</v>
      </c>
      <c r="AR156" s="18">
        <v>1.86708875320485E-2</v>
      </c>
      <c r="AS156" s="17">
        <v>12032.1851641577</v>
      </c>
      <c r="AT156" s="18">
        <v>4.3270238049747403E-2</v>
      </c>
      <c r="AU156" s="17">
        <v>1275.1636275979999</v>
      </c>
      <c r="AV156" s="18">
        <v>0.40875763006969101</v>
      </c>
      <c r="AW156" s="17">
        <v>2150.00766954745</v>
      </c>
      <c r="AX156" s="18">
        <v>1.30037896551958E-2</v>
      </c>
      <c r="AY156" s="17">
        <v>548.04826620651397</v>
      </c>
      <c r="AZ156" s="18">
        <v>3.5063718825264899E-2</v>
      </c>
      <c r="BA156" s="17">
        <v>5089.5420878872801</v>
      </c>
      <c r="BB156" s="18">
        <v>-6.2751443982342198E-2</v>
      </c>
      <c r="BC156" s="17">
        <v>8791.3627688668003</v>
      </c>
      <c r="BD156" s="18">
        <v>-2.39707680961527E-2</v>
      </c>
      <c r="BE156" s="17">
        <v>-3701.8206809795201</v>
      </c>
      <c r="BF156" s="18">
        <v>3.4903250059253203E-2</v>
      </c>
      <c r="BG156" s="17"/>
      <c r="BH156" s="18"/>
    </row>
    <row r="157" spans="1:60" x14ac:dyDescent="0.2">
      <c r="A157" s="16">
        <v>2016</v>
      </c>
      <c r="B157" s="16">
        <v>2</v>
      </c>
      <c r="C157" s="17">
        <v>172752.52254261501</v>
      </c>
      <c r="D157" s="18">
        <v>2.1274209638457699E-2</v>
      </c>
      <c r="E157" s="17">
        <v>167255.978604401</v>
      </c>
      <c r="F157" s="18">
        <v>2.0814792918865298E-2</v>
      </c>
      <c r="G157" s="17">
        <v>1119.3870433669599</v>
      </c>
      <c r="H157" s="18">
        <v>9.1340046461612506E-2</v>
      </c>
      <c r="I157" s="17">
        <v>191.50716930105801</v>
      </c>
      <c r="J157" s="18">
        <v>6.6994013747945697E-2</v>
      </c>
      <c r="K157" s="17">
        <v>31528.0142324482</v>
      </c>
      <c r="L157" s="18">
        <v>5.0430480012082501E-2</v>
      </c>
      <c r="M157" s="17">
        <v>10395.024915811</v>
      </c>
      <c r="N157" s="18">
        <v>0.15613989847728599</v>
      </c>
      <c r="O157" s="17">
        <v>21132.989316637198</v>
      </c>
      <c r="P157" s="18">
        <v>5.2210063021105304E-3</v>
      </c>
      <c r="Q157" s="17">
        <v>2498.8468434500601</v>
      </c>
      <c r="R157" s="18">
        <v>-0.12749823044598901</v>
      </c>
      <c r="S157" s="17">
        <v>758.27005172147506</v>
      </c>
      <c r="T157" s="18">
        <v>4.4363006463112899E-2</v>
      </c>
      <c r="U157" s="17">
        <v>8237.4953419702397</v>
      </c>
      <c r="V157" s="18">
        <v>6.4517681449729504E-3</v>
      </c>
      <c r="W157" s="17">
        <v>27351.256100070401</v>
      </c>
      <c r="X157" s="18">
        <v>-9.9577480794037498E-3</v>
      </c>
      <c r="Y157" s="17">
        <v>6263.8691616855504</v>
      </c>
      <c r="Z157" s="18">
        <v>-8.7771564995304807E-3</v>
      </c>
      <c r="AA157" s="17">
        <v>6243.1194430739197</v>
      </c>
      <c r="AB157" s="18">
        <v>3.2087934019733498E-2</v>
      </c>
      <c r="AC157" s="17">
        <v>3144.06317752325</v>
      </c>
      <c r="AD157" s="18">
        <v>-1.1894510227372399E-2</v>
      </c>
      <c r="AE157" s="17">
        <v>7305.2332185001296</v>
      </c>
      <c r="AF157" s="18">
        <v>2.3962724275984601E-2</v>
      </c>
      <c r="AG157" s="17">
        <v>15477.4946581031</v>
      </c>
      <c r="AH157" s="18">
        <v>-2.1804458299885502E-3</v>
      </c>
      <c r="AI157" s="17">
        <v>7886.1777564372696</v>
      </c>
      <c r="AJ157" s="18">
        <v>-6.1542947985100396E-3</v>
      </c>
      <c r="AK157" s="17">
        <v>5797.9140837812802</v>
      </c>
      <c r="AL157" s="18">
        <v>-1.23516712050863E-2</v>
      </c>
      <c r="AM157" s="17">
        <v>28833.173353774699</v>
      </c>
      <c r="AN157" s="18">
        <v>1.50133182745358E-2</v>
      </c>
      <c r="AO157" s="17">
        <v>11054.3977222583</v>
      </c>
      <c r="AP157" s="18">
        <v>1.1707253585246701E-2</v>
      </c>
      <c r="AQ157" s="17">
        <v>7050.9734125077202</v>
      </c>
      <c r="AR157" s="18">
        <v>2.0240239562377998E-2</v>
      </c>
      <c r="AS157" s="17">
        <v>12089.529910564001</v>
      </c>
      <c r="AT157" s="18">
        <v>4.8560788332534098E-2</v>
      </c>
      <c r="AU157" s="17">
        <v>1657.7542366876201</v>
      </c>
      <c r="AV157" s="18">
        <v>0.85744971453254604</v>
      </c>
      <c r="AW157" s="17">
        <v>2160.3126734330599</v>
      </c>
      <c r="AX157" s="18">
        <v>3.4161058617976402E-3</v>
      </c>
      <c r="AY157" s="17">
        <v>555.15001564698503</v>
      </c>
      <c r="AZ157" s="18">
        <v>4.937275602407E-2</v>
      </c>
      <c r="BA157" s="17">
        <v>5496.5439382141103</v>
      </c>
      <c r="BB157" s="18">
        <v>3.5454423342208698E-2</v>
      </c>
      <c r="BC157" s="17">
        <v>9204.1066653703892</v>
      </c>
      <c r="BD157" s="18">
        <v>3.1841617302876803E-2</v>
      </c>
      <c r="BE157" s="17">
        <v>-3707.5627271562798</v>
      </c>
      <c r="BF157" s="18">
        <v>2.6531706533389401E-2</v>
      </c>
      <c r="BG157" s="17"/>
      <c r="BH157" s="18"/>
    </row>
    <row r="158" spans="1:60" x14ac:dyDescent="0.2">
      <c r="A158" s="16">
        <v>2016</v>
      </c>
      <c r="B158" s="16">
        <v>3</v>
      </c>
      <c r="C158" s="17">
        <v>171875.29729059199</v>
      </c>
      <c r="D158" s="18">
        <v>1.5073182351374999E-2</v>
      </c>
      <c r="E158" s="17">
        <v>166608.30328149299</v>
      </c>
      <c r="F158" s="18">
        <v>1.6212993921589099E-2</v>
      </c>
      <c r="G158" s="17">
        <v>1148.2690111596601</v>
      </c>
      <c r="H158" s="18">
        <v>0.10128586115141799</v>
      </c>
      <c r="I158" s="17">
        <v>187.32960098687499</v>
      </c>
      <c r="J158" s="18">
        <v>2.8763760009023101E-2</v>
      </c>
      <c r="K158" s="17">
        <v>31198.888834237401</v>
      </c>
      <c r="L158" s="18">
        <v>3.9285203658609297E-2</v>
      </c>
      <c r="M158" s="17">
        <v>10451.719201983</v>
      </c>
      <c r="N158" s="18">
        <v>0.105246773833671</v>
      </c>
      <c r="O158" s="17">
        <v>20747.169632254401</v>
      </c>
      <c r="P158" s="18">
        <v>8.9511300728011296E-3</v>
      </c>
      <c r="Q158" s="17">
        <v>2272.2492119305898</v>
      </c>
      <c r="R158" s="18">
        <v>-0.12893136203508601</v>
      </c>
      <c r="S158" s="17">
        <v>741.09861811971405</v>
      </c>
      <c r="T158" s="18">
        <v>2.55004415006739E-2</v>
      </c>
      <c r="U158" s="17">
        <v>8329.1788885015194</v>
      </c>
      <c r="V158" s="18">
        <v>-2.1273884730541601E-3</v>
      </c>
      <c r="W158" s="17">
        <v>26302.572233801999</v>
      </c>
      <c r="X158" s="18">
        <v>-2.74967769295941E-2</v>
      </c>
      <c r="Y158" s="17">
        <v>6054.0548726465004</v>
      </c>
      <c r="Z158" s="18">
        <v>-1.2506136079841201E-2</v>
      </c>
      <c r="AA158" s="17">
        <v>6299.5494892229499</v>
      </c>
      <c r="AB158" s="18">
        <v>3.0929259715920102E-2</v>
      </c>
      <c r="AC158" s="17">
        <v>3516.9487092506401</v>
      </c>
      <c r="AD158" s="18">
        <v>9.9258544262092996E-4</v>
      </c>
      <c r="AE158" s="17">
        <v>7224.5763994908402</v>
      </c>
      <c r="AF158" s="18">
        <v>2.8528767016065002E-3</v>
      </c>
      <c r="AG158" s="17">
        <v>15279.7820070617</v>
      </c>
      <c r="AH158" s="18">
        <v>-1.16498777255537E-2</v>
      </c>
      <c r="AI158" s="17">
        <v>7703.6790039691896</v>
      </c>
      <c r="AJ158" s="18">
        <v>-2.1017456401246099E-2</v>
      </c>
      <c r="AK158" s="17">
        <v>5711.34641627152</v>
      </c>
      <c r="AL158" s="18">
        <v>-2.75862787005581E-2</v>
      </c>
      <c r="AM158" s="17">
        <v>28964.394582918001</v>
      </c>
      <c r="AN158" s="18">
        <v>1.5573409550512901E-2</v>
      </c>
      <c r="AO158" s="17">
        <v>11087.9967062262</v>
      </c>
      <c r="AP158" s="18">
        <v>1.2210903006345799E-2</v>
      </c>
      <c r="AQ158" s="17">
        <v>7064.8209502427599</v>
      </c>
      <c r="AR158" s="18">
        <v>2.0888803211442299E-2</v>
      </c>
      <c r="AS158" s="17">
        <v>12243.3846843435</v>
      </c>
      <c r="AT158" s="18">
        <v>4.4511637488063201E-2</v>
      </c>
      <c r="AU158" s="17">
        <v>2011.93585231817</v>
      </c>
      <c r="AV158" s="18">
        <v>1.21477089677348</v>
      </c>
      <c r="AW158" s="17">
        <v>2171.9460188687499</v>
      </c>
      <c r="AX158" s="18">
        <v>1.8929286424844299E-2</v>
      </c>
      <c r="AY158" s="17">
        <v>563.38148281176802</v>
      </c>
      <c r="AZ158" s="18">
        <v>4.8918117329662697E-2</v>
      </c>
      <c r="BA158" s="17">
        <v>5266.9940090991404</v>
      </c>
      <c r="BB158" s="18">
        <v>-1.9707478078950898E-2</v>
      </c>
      <c r="BC158" s="17">
        <v>9002.6860602426295</v>
      </c>
      <c r="BD158" s="18">
        <v>-4.0540766791111703E-3</v>
      </c>
      <c r="BE158" s="17">
        <v>-3735.6920511434901</v>
      </c>
      <c r="BF158" s="18">
        <v>1.8884677077815E-2</v>
      </c>
      <c r="BG158" s="17"/>
      <c r="BH158" s="18"/>
    </row>
    <row r="159" spans="1:60" x14ac:dyDescent="0.2">
      <c r="A159" s="16">
        <v>2016</v>
      </c>
      <c r="B159" s="16">
        <v>4</v>
      </c>
      <c r="C159" s="17">
        <v>174875.699207117</v>
      </c>
      <c r="D159" s="18">
        <v>6.0861376660978897E-3</v>
      </c>
      <c r="E159" s="17">
        <v>170319.10351200801</v>
      </c>
      <c r="F159" s="18">
        <v>8.7417818150836695E-3</v>
      </c>
      <c r="G159" s="17">
        <v>1134.75791836899</v>
      </c>
      <c r="H159" s="18">
        <v>7.1835631601710401E-2</v>
      </c>
      <c r="I159" s="17">
        <v>178.401324517782</v>
      </c>
      <c r="J159" s="18">
        <v>1.7129812698564201E-2</v>
      </c>
      <c r="K159" s="17">
        <v>32178.224941884899</v>
      </c>
      <c r="L159" s="18">
        <v>2.0747493740853801E-2</v>
      </c>
      <c r="M159" s="17">
        <v>10522.8811327405</v>
      </c>
      <c r="N159" s="18">
        <v>6.99350876998142E-2</v>
      </c>
      <c r="O159" s="17">
        <v>21655.3438091444</v>
      </c>
      <c r="P159" s="18">
        <v>-1.5569315252267301E-3</v>
      </c>
      <c r="Q159" s="17">
        <v>1874.75638643871</v>
      </c>
      <c r="R159" s="18">
        <v>-0.24173904287571199</v>
      </c>
      <c r="S159" s="17">
        <v>735.29900021744595</v>
      </c>
      <c r="T159" s="18">
        <v>3.6704926695569698E-2</v>
      </c>
      <c r="U159" s="17">
        <v>8279.5197571435692</v>
      </c>
      <c r="V159" s="18">
        <v>-4.4266135636057396E-3</v>
      </c>
      <c r="W159" s="17">
        <v>29189.4137857594</v>
      </c>
      <c r="X159" s="18">
        <v>-1.99978356626003E-2</v>
      </c>
      <c r="Y159" s="17">
        <v>6825.9947106966501</v>
      </c>
      <c r="Z159" s="18">
        <v>-3.6956860307970599E-3</v>
      </c>
      <c r="AA159" s="17">
        <v>6510.0383284066002</v>
      </c>
      <c r="AB159" s="18">
        <v>3.2050508672748702E-2</v>
      </c>
      <c r="AC159" s="17">
        <v>3003.9300789857198</v>
      </c>
      <c r="AD159" s="18">
        <v>-4.9191304650282302E-3</v>
      </c>
      <c r="AE159" s="17">
        <v>7899.4833089113399</v>
      </c>
      <c r="AF159" s="18">
        <v>1.07030029129331E-2</v>
      </c>
      <c r="AG159" s="17">
        <v>15236.5189131524</v>
      </c>
      <c r="AH159" s="18">
        <v>-3.1926740241408E-2</v>
      </c>
      <c r="AI159" s="17">
        <v>7763.1855819385701</v>
      </c>
      <c r="AJ159" s="18">
        <v>-4.5383494381198701E-2</v>
      </c>
      <c r="AK159" s="17">
        <v>5584.6657511220001</v>
      </c>
      <c r="AL159" s="18">
        <v>-4.7984172333597301E-2</v>
      </c>
      <c r="AM159" s="17">
        <v>29211.063998492202</v>
      </c>
      <c r="AN159" s="18">
        <v>2.6981603970005499E-2</v>
      </c>
      <c r="AO159" s="17">
        <v>11195.4307681479</v>
      </c>
      <c r="AP159" s="18">
        <v>1.5147204044834999E-2</v>
      </c>
      <c r="AQ159" s="17">
        <v>7113.9305235472802</v>
      </c>
      <c r="AR159" s="18">
        <v>1.5365215140486801E-2</v>
      </c>
      <c r="AS159" s="17">
        <v>12354.259525244101</v>
      </c>
      <c r="AT159" s="18">
        <v>4.6981062788962198E-2</v>
      </c>
      <c r="AU159" s="17">
        <v>1460.47755579364</v>
      </c>
      <c r="AV159" s="18">
        <v>0.584274429111722</v>
      </c>
      <c r="AW159" s="17">
        <v>2193.5623009184401</v>
      </c>
      <c r="AX159" s="18">
        <v>8.9873336828738496E-3</v>
      </c>
      <c r="AY159" s="17">
        <v>570.03509607712294</v>
      </c>
      <c r="AZ159" s="18">
        <v>4.3616440976637298E-2</v>
      </c>
      <c r="BA159" s="17">
        <v>4556.5956951094804</v>
      </c>
      <c r="BB159" s="18">
        <v>-8.4047271532397896E-2</v>
      </c>
      <c r="BC159" s="17">
        <v>8332.9658172101899</v>
      </c>
      <c r="BD159" s="18">
        <v>-4.0829545102684897E-2</v>
      </c>
      <c r="BE159" s="17">
        <v>-3776.37012210071</v>
      </c>
      <c r="BF159" s="18">
        <v>1.7074310524314702E-2</v>
      </c>
      <c r="BG159" s="17"/>
      <c r="BH159" s="18"/>
    </row>
    <row r="160" spans="1:60" x14ac:dyDescent="0.2">
      <c r="A160" s="16">
        <v>2017</v>
      </c>
      <c r="B160" s="16">
        <v>1</v>
      </c>
      <c r="C160" s="17">
        <v>170357.82306401501</v>
      </c>
      <c r="D160" s="18">
        <v>8.6272767139394801E-3</v>
      </c>
      <c r="E160" s="17">
        <v>164919.140015732</v>
      </c>
      <c r="F160" s="18">
        <v>6.7639596371915599E-3</v>
      </c>
      <c r="G160" s="17">
        <v>1101.0373556090699</v>
      </c>
      <c r="H160" s="18">
        <v>-1.47125965614903E-3</v>
      </c>
      <c r="I160" s="17">
        <v>161.119545642708</v>
      </c>
      <c r="J160" s="18">
        <v>-2.10788042493463E-2</v>
      </c>
      <c r="K160" s="17">
        <v>31594.066114977399</v>
      </c>
      <c r="L160" s="18">
        <v>2.9373055098549199E-2</v>
      </c>
      <c r="M160" s="17">
        <v>10798.4312693965</v>
      </c>
      <c r="N160" s="18">
        <v>7.0499589399081894E-2</v>
      </c>
      <c r="O160" s="17">
        <v>20795.634845580898</v>
      </c>
      <c r="P160" s="18">
        <v>9.2395969956453605E-3</v>
      </c>
      <c r="Q160" s="17">
        <v>1997.25564915473</v>
      </c>
      <c r="R160" s="18">
        <v>-0.16996221164158501</v>
      </c>
      <c r="S160" s="17">
        <v>733.09924472123998</v>
      </c>
      <c r="T160" s="18">
        <v>1.36073204491947E-2</v>
      </c>
      <c r="U160" s="17">
        <v>7661.17138047973</v>
      </c>
      <c r="V160" s="18">
        <v>-5.41858804171114E-3</v>
      </c>
      <c r="W160" s="17">
        <v>26383.9441883609</v>
      </c>
      <c r="X160" s="18">
        <v>4.5289063922246998E-3</v>
      </c>
      <c r="Y160" s="17">
        <v>5960.4879750692498</v>
      </c>
      <c r="Z160" s="18">
        <v>1.5296271151896701E-3</v>
      </c>
      <c r="AA160" s="17">
        <v>6343.5124895558101</v>
      </c>
      <c r="AB160" s="18">
        <v>2.8121791458137101E-2</v>
      </c>
      <c r="AC160" s="17">
        <v>3234.7969946074199</v>
      </c>
      <c r="AD160" s="18">
        <v>-5.5337138239041099E-3</v>
      </c>
      <c r="AE160" s="17">
        <v>7328.607222785</v>
      </c>
      <c r="AF160" s="18">
        <v>-2.2813370336222101E-3</v>
      </c>
      <c r="AG160" s="17">
        <v>14554.9362215169</v>
      </c>
      <c r="AH160" s="18">
        <v>-6.0825004786793903E-2</v>
      </c>
      <c r="AI160" s="17">
        <v>7166.2017030656898</v>
      </c>
      <c r="AJ160" s="18">
        <v>-9.5157857659978806E-2</v>
      </c>
      <c r="AK160" s="17">
        <v>5409.4069012615801</v>
      </c>
      <c r="AL160" s="18">
        <v>-7.5174155434543102E-2</v>
      </c>
      <c r="AM160" s="17">
        <v>29224.909768547099</v>
      </c>
      <c r="AN160" s="18">
        <v>2.7767112826519801E-2</v>
      </c>
      <c r="AO160" s="17">
        <v>11223.760187297699</v>
      </c>
      <c r="AP160" s="18">
        <v>1.794620588191E-2</v>
      </c>
      <c r="AQ160" s="17">
        <v>7081.3734001838102</v>
      </c>
      <c r="AR160" s="18">
        <v>8.5141394099736995E-3</v>
      </c>
      <c r="AS160" s="17">
        <v>12406.724708699499</v>
      </c>
      <c r="AT160" s="18">
        <v>3.1128140020441099E-2</v>
      </c>
      <c r="AU160" s="17">
        <v>1119.91521040251</v>
      </c>
      <c r="AV160" s="18">
        <v>-0.121747839912854</v>
      </c>
      <c r="AW160" s="17">
        <v>2201.2978135993699</v>
      </c>
      <c r="AX160" s="18">
        <v>2.3855795855234601E-2</v>
      </c>
      <c r="AY160" s="17">
        <v>567.61251959159995</v>
      </c>
      <c r="AZ160" s="18">
        <v>3.5698048130881302E-2</v>
      </c>
      <c r="BA160" s="17">
        <v>5438.6830482825899</v>
      </c>
      <c r="BB160" s="18">
        <v>6.8599680357539106E-2</v>
      </c>
      <c r="BC160" s="17">
        <v>9220.5470810126899</v>
      </c>
      <c r="BD160" s="18">
        <v>4.8818860446275099E-2</v>
      </c>
      <c r="BE160" s="17">
        <v>-3781.8640327301</v>
      </c>
      <c r="BF160" s="18">
        <v>2.16226983013665E-2</v>
      </c>
      <c r="BG160" s="17"/>
      <c r="BH160" s="18"/>
    </row>
    <row r="161" spans="1:60" x14ac:dyDescent="0.2">
      <c r="A161" s="16">
        <v>2017</v>
      </c>
      <c r="B161" s="16">
        <v>2</v>
      </c>
      <c r="C161" s="17">
        <v>172105.55431778901</v>
      </c>
      <c r="D161" s="18">
        <v>-3.7450580477990099E-3</v>
      </c>
      <c r="E161" s="17">
        <v>167318.906152004</v>
      </c>
      <c r="F161" s="18">
        <v>3.7623496707062099E-4</v>
      </c>
      <c r="G161" s="17">
        <v>1085.33863686737</v>
      </c>
      <c r="H161" s="18">
        <v>-3.0417009649473799E-2</v>
      </c>
      <c r="I161" s="17">
        <v>187.67635940727101</v>
      </c>
      <c r="J161" s="18">
        <v>-2.0003480328011702E-2</v>
      </c>
      <c r="K161" s="17">
        <v>31934.478030267201</v>
      </c>
      <c r="L161" s="18">
        <v>1.28921471178691E-2</v>
      </c>
      <c r="M161" s="17">
        <v>10711.312038578</v>
      </c>
      <c r="N161" s="18">
        <v>3.0426778706986301E-2</v>
      </c>
      <c r="O161" s="17">
        <v>21223.165991689199</v>
      </c>
      <c r="P161" s="18">
        <v>4.2671045587008303E-3</v>
      </c>
      <c r="Q161" s="17">
        <v>2406.26712477602</v>
      </c>
      <c r="R161" s="18">
        <v>-3.7048976777710699E-2</v>
      </c>
      <c r="S161" s="17">
        <v>726.81887260426095</v>
      </c>
      <c r="T161" s="18">
        <v>-4.1477543582013603E-2</v>
      </c>
      <c r="U161" s="17">
        <v>8205.7500998892592</v>
      </c>
      <c r="V161" s="18">
        <v>-3.85374932101457E-3</v>
      </c>
      <c r="W161" s="17">
        <v>27337.267277468301</v>
      </c>
      <c r="X161" s="18">
        <v>-5.11450828837412E-4</v>
      </c>
      <c r="Y161" s="17">
        <v>6187.9147955894496</v>
      </c>
      <c r="Z161" s="18">
        <v>-1.21257906472069E-2</v>
      </c>
      <c r="AA161" s="17">
        <v>6308.5536872689399</v>
      </c>
      <c r="AB161" s="18">
        <v>1.0481017509221599E-2</v>
      </c>
      <c r="AC161" s="17">
        <v>3249.4095805136699</v>
      </c>
      <c r="AD161" s="18">
        <v>3.3506452333253799E-2</v>
      </c>
      <c r="AE161" s="17">
        <v>7240.5812775766599</v>
      </c>
      <c r="AF161" s="18">
        <v>-8.8500858206338497E-3</v>
      </c>
      <c r="AG161" s="17">
        <v>14621.329055727399</v>
      </c>
      <c r="AH161" s="18">
        <v>-5.5316808132603798E-2</v>
      </c>
      <c r="AI161" s="17">
        <v>7164.2339884801404</v>
      </c>
      <c r="AJ161" s="18">
        <v>-9.1545459695964199E-2</v>
      </c>
      <c r="AK161" s="17">
        <v>5343.4014195521104</v>
      </c>
      <c r="AL161" s="18">
        <v>-7.8392445569449201E-2</v>
      </c>
      <c r="AM161" s="17">
        <v>29425.2871051644</v>
      </c>
      <c r="AN161" s="18">
        <v>2.0535850984027201E-2</v>
      </c>
      <c r="AO161" s="17">
        <v>11264.873816499199</v>
      </c>
      <c r="AP161" s="18">
        <v>1.9040032711786101E-2</v>
      </c>
      <c r="AQ161" s="17">
        <v>7048.8224117096697</v>
      </c>
      <c r="AR161" s="18">
        <v>-3.0506437511612601E-4</v>
      </c>
      <c r="AS161" s="17">
        <v>12399.093045333901</v>
      </c>
      <c r="AT161" s="18">
        <v>2.5605886834304099E-2</v>
      </c>
      <c r="AU161" s="17">
        <v>1138.48572895302</v>
      </c>
      <c r="AV161" s="18">
        <v>-0.31323612164138398</v>
      </c>
      <c r="AW161" s="17">
        <v>2162.9668635521998</v>
      </c>
      <c r="AX161" s="18">
        <v>1.2286138723236501E-3</v>
      </c>
      <c r="AY161" s="17">
        <v>575.90717842506604</v>
      </c>
      <c r="AZ161" s="18">
        <v>3.7390186783818197E-2</v>
      </c>
      <c r="BA161" s="17">
        <v>4786.6481657857203</v>
      </c>
      <c r="BB161" s="18">
        <v>-0.12915311519533401</v>
      </c>
      <c r="BC161" s="17">
        <v>8596.8951804100107</v>
      </c>
      <c r="BD161" s="18">
        <v>-6.5971800092772995E-2</v>
      </c>
      <c r="BE161" s="17">
        <v>-3810.2470146242899</v>
      </c>
      <c r="BF161" s="18">
        <v>2.7695900251636801E-2</v>
      </c>
      <c r="BG161" s="17"/>
      <c r="BH161" s="18"/>
    </row>
    <row r="162" spans="1:60" x14ac:dyDescent="0.2">
      <c r="A162" s="16">
        <v>2017</v>
      </c>
      <c r="B162" s="16">
        <v>3</v>
      </c>
      <c r="C162" s="17">
        <v>173640.620088089</v>
      </c>
      <c r="D162" s="18">
        <v>1.02709512380506E-2</v>
      </c>
      <c r="E162" s="17">
        <v>167926.06005544899</v>
      </c>
      <c r="F162" s="18">
        <v>7.9093103284846294E-3</v>
      </c>
      <c r="G162" s="17">
        <v>1107.21663888899</v>
      </c>
      <c r="H162" s="18">
        <v>-3.5751528493493799E-2</v>
      </c>
      <c r="I162" s="17">
        <v>188.98680336833601</v>
      </c>
      <c r="J162" s="18">
        <v>8.8464523104252492E-3</v>
      </c>
      <c r="K162" s="17">
        <v>31507.346463404301</v>
      </c>
      <c r="L162" s="18">
        <v>9.8868145851507307E-3</v>
      </c>
      <c r="M162" s="17">
        <v>10746.5297083888</v>
      </c>
      <c r="N162" s="18">
        <v>2.8206891202152001E-2</v>
      </c>
      <c r="O162" s="17">
        <v>20760.816755015501</v>
      </c>
      <c r="P162" s="18">
        <v>6.5778238684854895E-4</v>
      </c>
      <c r="Q162" s="17">
        <v>2545.7388099796599</v>
      </c>
      <c r="R162" s="18">
        <v>0.120360740632279</v>
      </c>
      <c r="S162" s="17">
        <v>741.09163517498598</v>
      </c>
      <c r="T162" s="18">
        <v>-9.4224230862138808E-6</v>
      </c>
      <c r="U162" s="17">
        <v>8315.0675725777292</v>
      </c>
      <c r="V162" s="18">
        <v>-1.6942025273666301E-3</v>
      </c>
      <c r="W162" s="17">
        <v>26995.359991768601</v>
      </c>
      <c r="X162" s="18">
        <v>2.6339163782482099E-2</v>
      </c>
      <c r="Y162" s="17">
        <v>5983.0053601954496</v>
      </c>
      <c r="Z162" s="18">
        <v>-1.173585538051E-2</v>
      </c>
      <c r="AA162" s="17">
        <v>6291.2156108250201</v>
      </c>
      <c r="AB162" s="18">
        <v>-1.32293244337323E-3</v>
      </c>
      <c r="AC162" s="17">
        <v>3617.7970180799998</v>
      </c>
      <c r="AD162" s="18">
        <v>2.8674944438085399E-2</v>
      </c>
      <c r="AE162" s="17">
        <v>7427.8270284192004</v>
      </c>
      <c r="AF162" s="18">
        <v>2.81332243842949E-2</v>
      </c>
      <c r="AG162" s="17">
        <v>14492.4103608277</v>
      </c>
      <c r="AH162" s="18">
        <v>-5.1530293159294999E-2</v>
      </c>
      <c r="AI162" s="17">
        <v>6891.3342442002004</v>
      </c>
      <c r="AJ162" s="18">
        <v>-0.105448936715878</v>
      </c>
      <c r="AK162" s="17">
        <v>5380.0869105761503</v>
      </c>
      <c r="AL162" s="18">
        <v>-5.8000247498840897E-2</v>
      </c>
      <c r="AM162" s="17">
        <v>29796.739788226201</v>
      </c>
      <c r="AN162" s="18">
        <v>2.8736841121444399E-2</v>
      </c>
      <c r="AO162" s="17">
        <v>11350.9234315465</v>
      </c>
      <c r="AP162" s="18">
        <v>2.3712734796603099E-2</v>
      </c>
      <c r="AQ162" s="17">
        <v>7084.2680771710102</v>
      </c>
      <c r="AR162" s="18">
        <v>2.7526708836938E-3</v>
      </c>
      <c r="AS162" s="17">
        <v>12489.638549474401</v>
      </c>
      <c r="AT162" s="18">
        <v>2.0113217993208001E-2</v>
      </c>
      <c r="AU162" s="17">
        <v>1181.50125842798</v>
      </c>
      <c r="AV162" s="18">
        <v>-0.41275401148269902</v>
      </c>
      <c r="AW162" s="17">
        <v>2215.2075450073298</v>
      </c>
      <c r="AX162" s="18">
        <v>1.9918324747829001E-2</v>
      </c>
      <c r="AY162" s="17">
        <v>577.72347228070998</v>
      </c>
      <c r="AZ162" s="18">
        <v>2.54569770333293E-2</v>
      </c>
      <c r="BA162" s="17">
        <v>5714.5600326406402</v>
      </c>
      <c r="BB162" s="18">
        <v>8.4975609003597602E-2</v>
      </c>
      <c r="BC162" s="17">
        <v>9543.9282916621796</v>
      </c>
      <c r="BD162" s="18">
        <v>6.0120082806149E-2</v>
      </c>
      <c r="BE162" s="17">
        <v>-3829.3682590215399</v>
      </c>
      <c r="BF162" s="18">
        <v>2.5075998394829199E-2</v>
      </c>
      <c r="BG162" s="17"/>
      <c r="BH162" s="18"/>
    </row>
    <row r="163" spans="1:60" x14ac:dyDescent="0.2">
      <c r="A163" s="16">
        <v>2017</v>
      </c>
      <c r="B163" s="16">
        <v>4</v>
      </c>
      <c r="C163" s="17">
        <v>179738.65235853201</v>
      </c>
      <c r="D163" s="18">
        <v>2.78080555129325E-2</v>
      </c>
      <c r="E163" s="17">
        <v>174571.03166406101</v>
      </c>
      <c r="F163" s="18">
        <v>2.4964481754409001E-2</v>
      </c>
      <c r="G163" s="17">
        <v>1127.89558764754</v>
      </c>
      <c r="H163" s="18">
        <v>-6.0473961982291397E-3</v>
      </c>
      <c r="I163" s="17">
        <v>185.16559373694901</v>
      </c>
      <c r="J163" s="18">
        <v>3.79160257775637E-2</v>
      </c>
      <c r="K163" s="17">
        <v>33223.606268875701</v>
      </c>
      <c r="L163" s="18">
        <v>3.2487227896464702E-2</v>
      </c>
      <c r="M163" s="17">
        <v>10965.6955854957</v>
      </c>
      <c r="N163" s="18">
        <v>4.2081103755640302E-2</v>
      </c>
      <c r="O163" s="17">
        <v>22257.91068338</v>
      </c>
      <c r="P163" s="18">
        <v>2.78253201402026E-2</v>
      </c>
      <c r="Q163" s="17">
        <v>2244.9375633464601</v>
      </c>
      <c r="R163" s="18">
        <v>0.19745561587921401</v>
      </c>
      <c r="S163" s="17">
        <v>764.81307933286405</v>
      </c>
      <c r="T163" s="18">
        <v>4.0138881062928199E-2</v>
      </c>
      <c r="U163" s="17">
        <v>8395.4397769083807</v>
      </c>
      <c r="V163" s="18">
        <v>1.4000814439121699E-2</v>
      </c>
      <c r="W163" s="17">
        <v>30438.724769789202</v>
      </c>
      <c r="X163" s="18">
        <v>4.2800139571123698E-2</v>
      </c>
      <c r="Y163" s="17">
        <v>6733.21763226235</v>
      </c>
      <c r="Z163" s="18">
        <v>-1.3591730197052501E-2</v>
      </c>
      <c r="AA163" s="17">
        <v>6627.5140534235297</v>
      </c>
      <c r="AB163" s="18">
        <v>1.8045320025894498E-2</v>
      </c>
      <c r="AC163" s="17">
        <v>3109.9401036672002</v>
      </c>
      <c r="AD163" s="18">
        <v>3.52904434837127E-2</v>
      </c>
      <c r="AE163" s="17">
        <v>8179.8484693161399</v>
      </c>
      <c r="AF163" s="18">
        <v>3.5491582099872701E-2</v>
      </c>
      <c r="AG163" s="17">
        <v>15200.604330493999</v>
      </c>
      <c r="AH163" s="18">
        <v>-2.35713832425466E-3</v>
      </c>
      <c r="AI163" s="17">
        <v>7300.9289997858696</v>
      </c>
      <c r="AJ163" s="18">
        <v>-5.95447033017171E-2</v>
      </c>
      <c r="AK163" s="17">
        <v>5524.7536172521905</v>
      </c>
      <c r="AL163" s="18">
        <v>-1.07279712949294E-2</v>
      </c>
      <c r="AM163" s="17">
        <v>29905.6867229946</v>
      </c>
      <c r="AN163" s="18">
        <v>2.37794393431985E-2</v>
      </c>
      <c r="AO163" s="17">
        <v>11487.276659982999</v>
      </c>
      <c r="AP163" s="18">
        <v>2.6068303924972499E-2</v>
      </c>
      <c r="AQ163" s="17">
        <v>7207.6766653049099</v>
      </c>
      <c r="AR163" s="18">
        <v>1.3177826441701099E-2</v>
      </c>
      <c r="AS163" s="17">
        <v>12529.6897755919</v>
      </c>
      <c r="AT163" s="18">
        <v>1.41999809854438E-2</v>
      </c>
      <c r="AU163" s="17">
        <v>1151.5268717067299</v>
      </c>
      <c r="AV163" s="18">
        <v>-0.21154086405594799</v>
      </c>
      <c r="AW163" s="17">
        <v>2204.9269798372902</v>
      </c>
      <c r="AX163" s="18">
        <v>5.18092370300627E-3</v>
      </c>
      <c r="AY163" s="17">
        <v>585.75839210421702</v>
      </c>
      <c r="AZ163" s="18">
        <v>2.7583031527880199E-2</v>
      </c>
      <c r="BA163" s="17">
        <v>5167.6206944710502</v>
      </c>
      <c r="BB163" s="18">
        <v>0.134096821453212</v>
      </c>
      <c r="BC163" s="17">
        <v>9049.3721960451203</v>
      </c>
      <c r="BD163" s="18">
        <v>8.5972557016293902E-2</v>
      </c>
      <c r="BE163" s="17">
        <v>-3881.7515015740701</v>
      </c>
      <c r="BF163" s="18">
        <v>2.7905469026097099E-2</v>
      </c>
      <c r="BG163" s="17"/>
      <c r="BH163" s="18"/>
    </row>
    <row r="164" spans="1:60" x14ac:dyDescent="0.2">
      <c r="A164" s="16">
        <v>2018</v>
      </c>
      <c r="B164" s="16">
        <v>1</v>
      </c>
      <c r="C164" s="17">
        <v>176666.87187394401</v>
      </c>
      <c r="D164" s="18">
        <v>3.7034100908638297E-2</v>
      </c>
      <c r="E164" s="17">
        <v>172067.30806122901</v>
      </c>
      <c r="F164" s="18">
        <v>4.3343471502547998E-2</v>
      </c>
      <c r="G164" s="17">
        <v>1139.3836156851801</v>
      </c>
      <c r="H164" s="18">
        <v>3.4827392441102202E-2</v>
      </c>
      <c r="I164" s="17">
        <v>174.27760107317999</v>
      </c>
      <c r="J164" s="18">
        <v>8.1666413457069501E-2</v>
      </c>
      <c r="K164" s="17">
        <v>32747.368938437801</v>
      </c>
      <c r="L164" s="18">
        <v>3.6503779515534997E-2</v>
      </c>
      <c r="M164" s="17">
        <v>11732.3583742541</v>
      </c>
      <c r="N164" s="18">
        <v>8.6487294455860397E-2</v>
      </c>
      <c r="O164" s="17">
        <v>21015.010564183602</v>
      </c>
      <c r="P164" s="18">
        <v>1.05491234209338E-2</v>
      </c>
      <c r="Q164" s="17">
        <v>2514.1828244491699</v>
      </c>
      <c r="R164" s="18">
        <v>0.25881873235066899</v>
      </c>
      <c r="S164" s="17">
        <v>802.06390444042597</v>
      </c>
      <c r="T164" s="18">
        <v>9.4072746924477493E-2</v>
      </c>
      <c r="U164" s="17">
        <v>7818.9496617258501</v>
      </c>
      <c r="V164" s="18">
        <v>2.05945374943741E-2</v>
      </c>
      <c r="W164" s="17">
        <v>27708.4583515421</v>
      </c>
      <c r="X164" s="18">
        <v>5.0201522324532503E-2</v>
      </c>
      <c r="Y164" s="17">
        <v>5889.9961455244302</v>
      </c>
      <c r="Z164" s="18">
        <v>-1.1826519882208701E-2</v>
      </c>
      <c r="AA164" s="17">
        <v>6657.8175704536197</v>
      </c>
      <c r="AB164" s="18">
        <v>4.9547483577165402E-2</v>
      </c>
      <c r="AC164" s="17">
        <v>3383.09487598434</v>
      </c>
      <c r="AD164" s="18">
        <v>4.5844571274219502E-2</v>
      </c>
      <c r="AE164" s="17">
        <v>7727.9294857222603</v>
      </c>
      <c r="AF164" s="18">
        <v>5.4488151813586003E-2</v>
      </c>
      <c r="AG164" s="17">
        <v>15547.319739535</v>
      </c>
      <c r="AH164" s="18">
        <v>6.8181921439895807E-2</v>
      </c>
      <c r="AI164" s="17">
        <v>7250.9923040725198</v>
      </c>
      <c r="AJ164" s="18">
        <v>1.1832014297135301E-2</v>
      </c>
      <c r="AK164" s="17">
        <v>5795.4600464552104</v>
      </c>
      <c r="AL164" s="18">
        <v>7.1367000530796296E-2</v>
      </c>
      <c r="AM164" s="17">
        <v>30328.2161861325</v>
      </c>
      <c r="AN164" s="18">
        <v>3.7752260873457497E-2</v>
      </c>
      <c r="AO164" s="17">
        <v>11424.146163206</v>
      </c>
      <c r="AP164" s="18">
        <v>1.78537292818324E-2</v>
      </c>
      <c r="AQ164" s="17">
        <v>7197.3107519791402</v>
      </c>
      <c r="AR164" s="18">
        <v>1.63721562532371E-2</v>
      </c>
      <c r="AS164" s="17">
        <v>12563.7209113677</v>
      </c>
      <c r="AT164" s="18">
        <v>1.26541215634544E-2</v>
      </c>
      <c r="AU164" s="17">
        <v>1534.41575089922</v>
      </c>
      <c r="AV164" s="18">
        <v>0.370117788066952</v>
      </c>
      <c r="AW164" s="17">
        <v>2209.3830583460899</v>
      </c>
      <c r="AX164" s="18">
        <v>3.6729445224428199E-3</v>
      </c>
      <c r="AY164" s="17">
        <v>589.26867024955504</v>
      </c>
      <c r="AZ164" s="18">
        <v>3.8153053201746202E-2</v>
      </c>
      <c r="BA164" s="17">
        <v>4599.5638127146703</v>
      </c>
      <c r="BB164" s="18">
        <v>-0.15428721036297499</v>
      </c>
      <c r="BC164" s="17">
        <v>8479.0139112882298</v>
      </c>
      <c r="BD164" s="18">
        <v>-8.0421819140369305E-2</v>
      </c>
      <c r="BE164" s="17">
        <v>-3879.4500985735599</v>
      </c>
      <c r="BF164" s="18">
        <v>2.58036949501361E-2</v>
      </c>
      <c r="BG164" s="17"/>
      <c r="BH164" s="18"/>
    </row>
    <row r="165" spans="1:60" x14ac:dyDescent="0.2">
      <c r="A165" s="16">
        <v>2018</v>
      </c>
      <c r="B165" s="16">
        <v>2</v>
      </c>
      <c r="C165" s="17">
        <v>182224.97170210199</v>
      </c>
      <c r="D165" s="18">
        <v>5.8797738541473701E-2</v>
      </c>
      <c r="E165" s="17">
        <v>176727.08505676099</v>
      </c>
      <c r="F165" s="18">
        <v>5.6229024687801402E-2</v>
      </c>
      <c r="G165" s="17">
        <v>1133.62479381974</v>
      </c>
      <c r="H165" s="18">
        <v>4.4489484951665499E-2</v>
      </c>
      <c r="I165" s="17">
        <v>206.056457964424</v>
      </c>
      <c r="J165" s="18">
        <v>9.7935076187545003E-2</v>
      </c>
      <c r="K165" s="17">
        <v>33936.164930741397</v>
      </c>
      <c r="L165" s="18">
        <v>6.2681058966331998E-2</v>
      </c>
      <c r="M165" s="17">
        <v>11971.590769447501</v>
      </c>
      <c r="N165" s="18">
        <v>0.117658670229233</v>
      </c>
      <c r="O165" s="17">
        <v>21964.574161294</v>
      </c>
      <c r="P165" s="18">
        <v>3.4933909949867101E-2</v>
      </c>
      <c r="Q165" s="17">
        <v>2789.3808002983201</v>
      </c>
      <c r="R165" s="18">
        <v>0.15921493984503499</v>
      </c>
      <c r="S165" s="17">
        <v>809.76287984779594</v>
      </c>
      <c r="T165" s="18">
        <v>0.1141192260822</v>
      </c>
      <c r="U165" s="17">
        <v>8415.8796719977508</v>
      </c>
      <c r="V165" s="18">
        <v>2.56076007129835E-2</v>
      </c>
      <c r="W165" s="17">
        <v>28933.7176067941</v>
      </c>
      <c r="X165" s="18">
        <v>5.8398314400710499E-2</v>
      </c>
      <c r="Y165" s="17">
        <v>6192.3328131263597</v>
      </c>
      <c r="Z165" s="18">
        <v>7.1397517303495295E-4</v>
      </c>
      <c r="AA165" s="17">
        <v>6446.4600880813696</v>
      </c>
      <c r="AB165" s="18">
        <v>2.18602246487547E-2</v>
      </c>
      <c r="AC165" s="17">
        <v>3382.5040479385798</v>
      </c>
      <c r="AD165" s="18">
        <v>4.0959584849832302E-2</v>
      </c>
      <c r="AE165" s="17">
        <v>7679.6653109819099</v>
      </c>
      <c r="AF165" s="18">
        <v>6.0642097170437802E-2</v>
      </c>
      <c r="AG165" s="17">
        <v>16037.5200025986</v>
      </c>
      <c r="AH165" s="18">
        <v>9.6857880803693494E-2</v>
      </c>
      <c r="AI165" s="17">
        <v>7505.0885853412701</v>
      </c>
      <c r="AJ165" s="18">
        <v>4.7577256327643098E-2</v>
      </c>
      <c r="AK165" s="17">
        <v>5948.2489106780904</v>
      </c>
      <c r="AL165" s="18">
        <v>0.113195218482514</v>
      </c>
      <c r="AM165" s="17">
        <v>30783.963518767301</v>
      </c>
      <c r="AN165" s="18">
        <v>4.6173769137647598E-2</v>
      </c>
      <c r="AO165" s="17">
        <v>11440.2756975871</v>
      </c>
      <c r="AP165" s="18">
        <v>1.5570692041933801E-2</v>
      </c>
      <c r="AQ165" s="17">
        <v>7208.2049284066497</v>
      </c>
      <c r="AR165" s="18">
        <v>2.2611226015881301E-2</v>
      </c>
      <c r="AS165" s="17">
        <v>12567.332935459201</v>
      </c>
      <c r="AT165" s="18">
        <v>1.35687255116319E-2</v>
      </c>
      <c r="AU165" s="17">
        <v>2119.98472497071</v>
      </c>
      <c r="AV165" s="18">
        <v>0.862109178057332</v>
      </c>
      <c r="AW165" s="17">
        <v>2249.3812680187698</v>
      </c>
      <c r="AX165" s="18">
        <v>3.9951793031475197E-2</v>
      </c>
      <c r="AY165" s="17">
        <v>587.20539248690204</v>
      </c>
      <c r="AZ165" s="18">
        <v>1.96181163998221E-2</v>
      </c>
      <c r="BA165" s="17">
        <v>5497.8866453415703</v>
      </c>
      <c r="BB165" s="18">
        <v>0.148588000396536</v>
      </c>
      <c r="BC165" s="17">
        <v>9397.7289423633993</v>
      </c>
      <c r="BD165" s="18">
        <v>9.3153835791585302E-2</v>
      </c>
      <c r="BE165" s="17">
        <v>-3899.8422970218298</v>
      </c>
      <c r="BF165" s="18">
        <v>2.3514297643606501E-2</v>
      </c>
      <c r="BG165" s="17"/>
      <c r="BH165" s="18"/>
    </row>
    <row r="166" spans="1:60" x14ac:dyDescent="0.2">
      <c r="A166" s="16">
        <v>2018</v>
      </c>
      <c r="B166" s="16">
        <v>3</v>
      </c>
      <c r="C166" s="17">
        <v>180280.021769232</v>
      </c>
      <c r="D166" s="18">
        <v>3.8236454567917202E-2</v>
      </c>
      <c r="E166" s="17">
        <v>174987.618220926</v>
      </c>
      <c r="F166" s="18">
        <v>4.2051592011066501E-2</v>
      </c>
      <c r="G166" s="17">
        <v>1139.23669700559</v>
      </c>
      <c r="H166" s="18">
        <v>2.89194155795276E-2</v>
      </c>
      <c r="I166" s="17">
        <v>201.654129735574</v>
      </c>
      <c r="J166" s="18">
        <v>6.7027570928052602E-2</v>
      </c>
      <c r="K166" s="17">
        <v>32837.878824663501</v>
      </c>
      <c r="L166" s="18">
        <v>4.2229273823635401E-2</v>
      </c>
      <c r="M166" s="17">
        <v>11639.146166034399</v>
      </c>
      <c r="N166" s="18">
        <v>8.3060902623183705E-2</v>
      </c>
      <c r="O166" s="17">
        <v>21198.732658629098</v>
      </c>
      <c r="P166" s="18">
        <v>2.10933851389941E-2</v>
      </c>
      <c r="Q166" s="17">
        <v>2630.7716118243202</v>
      </c>
      <c r="R166" s="18">
        <v>3.3402013400320799E-2</v>
      </c>
      <c r="S166" s="17">
        <v>777.58907163253104</v>
      </c>
      <c r="T166" s="18">
        <v>4.9248209971938503E-2</v>
      </c>
      <c r="U166" s="17">
        <v>8518.1162699598608</v>
      </c>
      <c r="V166" s="18">
        <v>2.4419368286526601E-2</v>
      </c>
      <c r="W166" s="17">
        <v>27400.9370389672</v>
      </c>
      <c r="X166" s="18">
        <v>1.5023954017365599E-2</v>
      </c>
      <c r="Y166" s="17">
        <v>5931.2638456688001</v>
      </c>
      <c r="Z166" s="18">
        <v>-8.6480809244926498E-3</v>
      </c>
      <c r="AA166" s="17">
        <v>6524.43507761402</v>
      </c>
      <c r="AB166" s="18">
        <v>3.70706523533713E-2</v>
      </c>
      <c r="AC166" s="17">
        <v>3793.3025022511101</v>
      </c>
      <c r="AD166" s="18">
        <v>4.8511700157310302E-2</v>
      </c>
      <c r="AE166" s="17">
        <v>7748.5656602031004</v>
      </c>
      <c r="AF166" s="18">
        <v>4.31806813159143E-2</v>
      </c>
      <c r="AG166" s="17">
        <v>16005.3978382935</v>
      </c>
      <c r="AH166" s="18">
        <v>0.104398608636926</v>
      </c>
      <c r="AI166" s="17">
        <v>7354.3261320133397</v>
      </c>
      <c r="AJ166" s="18">
        <v>6.7184651245554894E-2</v>
      </c>
      <c r="AK166" s="17">
        <v>5993.65791079882</v>
      </c>
      <c r="AL166" s="18">
        <v>0.114044811993002</v>
      </c>
      <c r="AM166" s="17">
        <v>31281.762154190401</v>
      </c>
      <c r="AN166" s="18">
        <v>4.9838417777202403E-2</v>
      </c>
      <c r="AO166" s="17">
        <v>11493.510322009601</v>
      </c>
      <c r="AP166" s="18">
        <v>1.2561699611751201E-2</v>
      </c>
      <c r="AQ166" s="17">
        <v>7235.0692879060398</v>
      </c>
      <c r="AR166" s="18">
        <v>2.12867736077051E-2</v>
      </c>
      <c r="AS166" s="17">
        <v>12800.3560366906</v>
      </c>
      <c r="AT166" s="18">
        <v>2.4878020767806801E-2</v>
      </c>
      <c r="AU166" s="17">
        <v>1724.3336761376299</v>
      </c>
      <c r="AV166" s="18">
        <v>0.45944294501379002</v>
      </c>
      <c r="AW166" s="17">
        <v>2279.3902918865501</v>
      </c>
      <c r="AX166" s="18">
        <v>2.8973694597546298E-2</v>
      </c>
      <c r="AY166" s="17">
        <v>595.31172995510303</v>
      </c>
      <c r="AZ166" s="18">
        <v>3.0444076653072499E-2</v>
      </c>
      <c r="BA166" s="17">
        <v>5292.4035483062798</v>
      </c>
      <c r="BB166" s="18">
        <v>-7.3873838392293306E-2</v>
      </c>
      <c r="BC166" s="17">
        <v>9229.2825029021005</v>
      </c>
      <c r="BD166" s="18">
        <v>-3.2968163542779302E-2</v>
      </c>
      <c r="BE166" s="17">
        <v>-3936.8789545958198</v>
      </c>
      <c r="BF166" s="18">
        <v>2.8075308589345899E-2</v>
      </c>
      <c r="BG166" s="17"/>
      <c r="BH166" s="18"/>
    </row>
    <row r="167" spans="1:60" x14ac:dyDescent="0.2">
      <c r="A167" s="16">
        <v>2018</v>
      </c>
      <c r="B167" s="16">
        <v>4</v>
      </c>
      <c r="C167" s="17">
        <v>185211.37954587699</v>
      </c>
      <c r="D167" s="18">
        <v>3.0448248696273199E-2</v>
      </c>
      <c r="E167" s="17">
        <v>180095.20876221999</v>
      </c>
      <c r="F167" s="18">
        <v>3.16442942766684E-2</v>
      </c>
      <c r="G167" s="17">
        <v>1161.78022502158</v>
      </c>
      <c r="H167" s="18">
        <v>3.0042352984749599E-2</v>
      </c>
      <c r="I167" s="17">
        <v>197.677315737405</v>
      </c>
      <c r="J167" s="18">
        <v>6.7570447338238096E-2</v>
      </c>
      <c r="K167" s="17">
        <v>34865.802866445403</v>
      </c>
      <c r="L167" s="18">
        <v>4.94286076074828E-2</v>
      </c>
      <c r="M167" s="17">
        <v>11940.4219446926</v>
      </c>
      <c r="N167" s="18">
        <v>8.8888693981822794E-2</v>
      </c>
      <c r="O167" s="17">
        <v>22925.3809217528</v>
      </c>
      <c r="P167" s="18">
        <v>2.9988000575059199E-2</v>
      </c>
      <c r="Q167" s="17">
        <v>2500.5596935912899</v>
      </c>
      <c r="R167" s="18">
        <v>0.11386603102840299</v>
      </c>
      <c r="S167" s="17">
        <v>705.54970676323603</v>
      </c>
      <c r="T167" s="18">
        <v>-7.7487394202675294E-2</v>
      </c>
      <c r="U167" s="17">
        <v>8385.9579376756392</v>
      </c>
      <c r="V167" s="18">
        <v>-1.1294035196126599E-3</v>
      </c>
      <c r="W167" s="17">
        <v>30562.533081602</v>
      </c>
      <c r="X167" s="18">
        <v>4.0674605374952898E-3</v>
      </c>
      <c r="Y167" s="17">
        <v>6790.9214055718103</v>
      </c>
      <c r="Z167" s="18">
        <v>8.5700145845526397E-3</v>
      </c>
      <c r="AA167" s="17">
        <v>6809.7522468573998</v>
      </c>
      <c r="AB167" s="18">
        <v>2.7497217201633499E-2</v>
      </c>
      <c r="AC167" s="17">
        <v>3148.0365232700401</v>
      </c>
      <c r="AD167" s="18">
        <v>1.22498885293401E-2</v>
      </c>
      <c r="AE167" s="17">
        <v>8415.10358251043</v>
      </c>
      <c r="AF167" s="18">
        <v>2.87603265606644E-2</v>
      </c>
      <c r="AG167" s="17">
        <v>15814.570329459601</v>
      </c>
      <c r="AH167" s="18">
        <v>4.0390894047150197E-2</v>
      </c>
      <c r="AI167" s="17">
        <v>7264.7496769897698</v>
      </c>
      <c r="AJ167" s="18">
        <v>-4.9554409852722303E-3</v>
      </c>
      <c r="AK167" s="17">
        <v>5934.8579566449398</v>
      </c>
      <c r="AL167" s="18">
        <v>7.4230339994188196E-2</v>
      </c>
      <c r="AM167" s="17">
        <v>31419.533208869401</v>
      </c>
      <c r="AN167" s="18">
        <v>5.0620689633280598E-2</v>
      </c>
      <c r="AO167" s="17">
        <v>11613.1625701063</v>
      </c>
      <c r="AP167" s="18">
        <v>1.09587253662893E-2</v>
      </c>
      <c r="AQ167" s="17">
        <v>7311.3238647558701</v>
      </c>
      <c r="AR167" s="18">
        <v>1.43801122419767E-2</v>
      </c>
      <c r="AS167" s="17">
        <v>12949.313756953599</v>
      </c>
      <c r="AT167" s="18">
        <v>3.3490372776762103E-2</v>
      </c>
      <c r="AU167" s="17">
        <v>1340.85213636716</v>
      </c>
      <c r="AV167" s="18">
        <v>0.16441237222698901</v>
      </c>
      <c r="AW167" s="17">
        <v>2295.6825584683202</v>
      </c>
      <c r="AX167" s="18">
        <v>4.1160355631247897E-2</v>
      </c>
      <c r="AY167" s="17">
        <v>598.01715776482501</v>
      </c>
      <c r="AZ167" s="18">
        <v>2.0928023952965901E-2</v>
      </c>
      <c r="BA167" s="17">
        <v>5116.1707836574697</v>
      </c>
      <c r="BB167" s="18">
        <v>-9.9562088348749099E-3</v>
      </c>
      <c r="BC167" s="17">
        <v>9100.8500719562708</v>
      </c>
      <c r="BD167" s="18">
        <v>5.6885577027820898E-3</v>
      </c>
      <c r="BE167" s="17">
        <v>-3984.6792882988002</v>
      </c>
      <c r="BF167" s="18">
        <v>2.6515810371424298E-2</v>
      </c>
      <c r="BG167" s="17"/>
      <c r="BH167" s="18"/>
    </row>
    <row r="168" spans="1:60" x14ac:dyDescent="0.2">
      <c r="A168" s="16">
        <v>2019</v>
      </c>
      <c r="B168" s="16">
        <v>1</v>
      </c>
      <c r="C168" s="17">
        <v>180335.30761935201</v>
      </c>
      <c r="D168" s="18">
        <v>2.0764706515130599E-2</v>
      </c>
      <c r="E168" s="17">
        <v>174993.23386046101</v>
      </c>
      <c r="F168" s="18">
        <v>1.70045421887524E-2</v>
      </c>
      <c r="G168" s="17">
        <v>1160.73345402016</v>
      </c>
      <c r="H168" s="18">
        <v>1.8738059808012901E-2</v>
      </c>
      <c r="I168" s="17">
        <v>182.822110853331</v>
      </c>
      <c r="J168" s="18">
        <v>4.9028158108296298E-2</v>
      </c>
      <c r="K168" s="17">
        <v>34329.613606254097</v>
      </c>
      <c r="L168" s="18">
        <v>4.8316695939477197E-2</v>
      </c>
      <c r="M168" s="17">
        <v>12147.4768895983</v>
      </c>
      <c r="N168" s="18">
        <v>3.53823589513831E-2</v>
      </c>
      <c r="O168" s="17">
        <v>22182.136716655899</v>
      </c>
      <c r="P168" s="18">
        <v>5.5537738080484698E-2</v>
      </c>
      <c r="Q168" s="17">
        <v>2735.40353868184</v>
      </c>
      <c r="R168" s="18">
        <v>8.7989112041260795E-2</v>
      </c>
      <c r="S168" s="17">
        <v>630.20406540748695</v>
      </c>
      <c r="T168" s="18">
        <v>-0.21427200261909299</v>
      </c>
      <c r="U168" s="17">
        <v>7859.2334210095296</v>
      </c>
      <c r="V168" s="18">
        <v>5.1520678641627802E-3</v>
      </c>
      <c r="W168" s="17">
        <v>26533.712243044502</v>
      </c>
      <c r="X168" s="18">
        <v>-4.23966607450105E-2</v>
      </c>
      <c r="Y168" s="17">
        <v>5887.7656144130497</v>
      </c>
      <c r="Z168" s="18">
        <v>-3.7869822938263502E-4</v>
      </c>
      <c r="AA168" s="17">
        <v>6864.6469130087698</v>
      </c>
      <c r="AB168" s="18">
        <v>3.1065636804624298E-2</v>
      </c>
      <c r="AC168" s="17">
        <v>3382.1926285957602</v>
      </c>
      <c r="AD168" s="18">
        <v>-2.6669290151470898E-4</v>
      </c>
      <c r="AE168" s="17">
        <v>7820.9886873956902</v>
      </c>
      <c r="AF168" s="18">
        <v>1.20419320395417E-2</v>
      </c>
      <c r="AG168" s="17">
        <v>15656.768013342</v>
      </c>
      <c r="AH168" s="18">
        <v>7.0396875886331598E-3</v>
      </c>
      <c r="AI168" s="17">
        <v>7302.37414831563</v>
      </c>
      <c r="AJ168" s="18">
        <v>7.0861810478337599E-3</v>
      </c>
      <c r="AK168" s="17">
        <v>5767.7877589508898</v>
      </c>
      <c r="AL168" s="18">
        <v>-4.7748215469519701E-3</v>
      </c>
      <c r="AM168" s="17">
        <v>31573.217090716</v>
      </c>
      <c r="AN168" s="18">
        <v>4.1050911037514799E-2</v>
      </c>
      <c r="AO168" s="17">
        <v>11663.0829988643</v>
      </c>
      <c r="AP168" s="18">
        <v>2.09150716600521E-2</v>
      </c>
      <c r="AQ168" s="17">
        <v>7309.79585240495</v>
      </c>
      <c r="AR168" s="18">
        <v>1.56287680638054E-2</v>
      </c>
      <c r="AS168" s="17">
        <v>13169.0496592159</v>
      </c>
      <c r="AT168" s="18">
        <v>4.8180690427503899E-2</v>
      </c>
      <c r="AU168" s="17">
        <v>1189.56126921696</v>
      </c>
      <c r="AV168" s="18">
        <v>-0.224746442729202</v>
      </c>
      <c r="AW168" s="17">
        <v>2336.0817367566401</v>
      </c>
      <c r="AX168" s="18">
        <v>5.7345727320544403E-2</v>
      </c>
      <c r="AY168" s="17">
        <v>596.12657167341501</v>
      </c>
      <c r="AZ168" s="18">
        <v>1.1637987509084799E-2</v>
      </c>
      <c r="BA168" s="17">
        <v>5342.0737588910697</v>
      </c>
      <c r="BB168" s="18">
        <v>0.16143051306818701</v>
      </c>
      <c r="BC168" s="17">
        <v>9304.0020852676898</v>
      </c>
      <c r="BD168" s="18">
        <v>9.7297655436222596E-2</v>
      </c>
      <c r="BE168" s="17">
        <v>-3961.9283263766201</v>
      </c>
      <c r="BF168" s="18">
        <v>2.1260288367516401E-2</v>
      </c>
      <c r="BG168" s="17"/>
      <c r="BH168" s="18"/>
    </row>
    <row r="169" spans="1:60" x14ac:dyDescent="0.2">
      <c r="A169" s="16">
        <v>2019</v>
      </c>
      <c r="B169" s="16">
        <v>2</v>
      </c>
      <c r="C169" s="17">
        <v>182717.05128259401</v>
      </c>
      <c r="D169" s="18">
        <v>2.7003959769929002E-3</v>
      </c>
      <c r="E169" s="17">
        <v>177852.949497111</v>
      </c>
      <c r="F169" s="18">
        <v>6.3706388864408501E-3</v>
      </c>
      <c r="G169" s="17">
        <v>1150.6678917340801</v>
      </c>
      <c r="H169" s="18">
        <v>1.5034161220931701E-2</v>
      </c>
      <c r="I169" s="17">
        <v>203.46947957555901</v>
      </c>
      <c r="J169" s="18">
        <v>-1.2554706678066199E-2</v>
      </c>
      <c r="K169" s="17">
        <v>35440.194229076304</v>
      </c>
      <c r="L169" s="18">
        <v>4.4319365532446101E-2</v>
      </c>
      <c r="M169" s="17">
        <v>12393.4366210566</v>
      </c>
      <c r="N169" s="18">
        <v>3.5237242880512797E-2</v>
      </c>
      <c r="O169" s="17">
        <v>23046.7576080197</v>
      </c>
      <c r="P169" s="18">
        <v>4.9269493630011103E-2</v>
      </c>
      <c r="Q169" s="17">
        <v>2711.2076906234802</v>
      </c>
      <c r="R169" s="18">
        <v>-2.8025255521398701E-2</v>
      </c>
      <c r="S169" s="17">
        <v>584.81907195715598</v>
      </c>
      <c r="T169" s="18">
        <v>-0.27778972522539103</v>
      </c>
      <c r="U169" s="17">
        <v>8395.2065531173594</v>
      </c>
      <c r="V169" s="18">
        <v>-2.4564418321199001E-3</v>
      </c>
      <c r="W169" s="17">
        <v>27590.1522537255</v>
      </c>
      <c r="X169" s="18">
        <v>-4.6435973811852299E-2</v>
      </c>
      <c r="Y169" s="17">
        <v>6307.5235593523203</v>
      </c>
      <c r="Z169" s="18">
        <v>1.86021568449584E-2</v>
      </c>
      <c r="AA169" s="17">
        <v>6698.9229304399596</v>
      </c>
      <c r="AB169" s="18">
        <v>3.9163019534606699E-2</v>
      </c>
      <c r="AC169" s="17">
        <v>3456.8429887829302</v>
      </c>
      <c r="AD169" s="18">
        <v>2.19774876218264E-2</v>
      </c>
      <c r="AE169" s="17">
        <v>7738.5419577699804</v>
      </c>
      <c r="AF169" s="18">
        <v>7.6665641540225602E-3</v>
      </c>
      <c r="AG169" s="17">
        <v>15748.098391402</v>
      </c>
      <c r="AH169" s="18">
        <v>-1.8046531580304E-2</v>
      </c>
      <c r="AI169" s="17">
        <v>7459.3891599283697</v>
      </c>
      <c r="AJ169" s="18">
        <v>-6.0891253838302201E-3</v>
      </c>
      <c r="AK169" s="17">
        <v>5644.2798382086303</v>
      </c>
      <c r="AL169" s="18">
        <v>-5.1102278508182303E-2</v>
      </c>
      <c r="AM169" s="17">
        <v>31674.5777925488</v>
      </c>
      <c r="AN169" s="18">
        <v>2.89311112663766E-2</v>
      </c>
      <c r="AO169" s="17">
        <v>11690.1025965832</v>
      </c>
      <c r="AP169" s="18">
        <v>2.18374893752575E-2</v>
      </c>
      <c r="AQ169" s="17">
        <v>7321.9015024418404</v>
      </c>
      <c r="AR169" s="18">
        <v>1.5773216100881001E-2</v>
      </c>
      <c r="AS169" s="17">
        <v>13199.964227172501</v>
      </c>
      <c r="AT169" s="18">
        <v>5.0339343674770998E-2</v>
      </c>
      <c r="AU169" s="17">
        <v>1269.04186346092</v>
      </c>
      <c r="AV169" s="18">
        <v>-0.40139103432528001</v>
      </c>
      <c r="AW169" s="17">
        <v>2366.5117962837598</v>
      </c>
      <c r="AX169" s="18">
        <v>5.2072332036514402E-2</v>
      </c>
      <c r="AY169" s="17">
        <v>612.72628041527003</v>
      </c>
      <c r="AZ169" s="18">
        <v>4.3461603477930898E-2</v>
      </c>
      <c r="BA169" s="17">
        <v>4864.10178548361</v>
      </c>
      <c r="BB169" s="18">
        <v>-0.115277905992292</v>
      </c>
      <c r="BC169" s="17">
        <v>8850.4532748742204</v>
      </c>
      <c r="BD169" s="18">
        <v>-5.8234885347900701E-2</v>
      </c>
      <c r="BE169" s="17">
        <v>-3986.3514893906099</v>
      </c>
      <c r="BF169" s="18">
        <v>2.21827411931113E-2</v>
      </c>
      <c r="BG169" s="17"/>
      <c r="BH169" s="18"/>
    </row>
    <row r="170" spans="1:60" x14ac:dyDescent="0.2">
      <c r="A170" s="16">
        <v>2019</v>
      </c>
      <c r="B170" s="16">
        <v>3</v>
      </c>
      <c r="C170" s="17">
        <v>182267.73681068499</v>
      </c>
      <c r="D170" s="18">
        <v>1.10257089052124E-2</v>
      </c>
      <c r="E170" s="17">
        <v>177439.68061981499</v>
      </c>
      <c r="F170" s="18">
        <v>1.40127765828175E-2</v>
      </c>
      <c r="G170" s="17">
        <v>1171.65325509017</v>
      </c>
      <c r="H170" s="18">
        <v>2.8454629463557299E-2</v>
      </c>
      <c r="I170" s="17">
        <v>199.461364085459</v>
      </c>
      <c r="J170" s="18">
        <v>-1.0873894092770399E-2</v>
      </c>
      <c r="K170" s="17">
        <v>35168.156836899398</v>
      </c>
      <c r="L170" s="18">
        <v>7.0963110153318396E-2</v>
      </c>
      <c r="M170" s="17">
        <v>12599.299674865801</v>
      </c>
      <c r="N170" s="18">
        <v>8.2493466027028201E-2</v>
      </c>
      <c r="O170" s="17">
        <v>22568.857162033699</v>
      </c>
      <c r="P170" s="18">
        <v>6.4632378051469E-2</v>
      </c>
      <c r="Q170" s="17">
        <v>3138.8112907076902</v>
      </c>
      <c r="R170" s="18">
        <v>0.19311432303736301</v>
      </c>
      <c r="S170" s="17">
        <v>548.56825780848999</v>
      </c>
      <c r="T170" s="18">
        <v>-0.29452679079351901</v>
      </c>
      <c r="U170" s="17">
        <v>8539.2069777364104</v>
      </c>
      <c r="V170" s="18">
        <v>2.4759826126026199E-3</v>
      </c>
      <c r="W170" s="17">
        <v>26235.806978112301</v>
      </c>
      <c r="X170" s="18">
        <v>-4.2521540748696698E-2</v>
      </c>
      <c r="Y170" s="17">
        <v>6060.6817655383202</v>
      </c>
      <c r="Z170" s="18">
        <v>2.18196194330533E-2</v>
      </c>
      <c r="AA170" s="17">
        <v>6743.9064112698097</v>
      </c>
      <c r="AB170" s="18">
        <v>3.3638365781095698E-2</v>
      </c>
      <c r="AC170" s="17">
        <v>3864.5300200125598</v>
      </c>
      <c r="AD170" s="18">
        <v>1.8777178387219901E-2</v>
      </c>
      <c r="AE170" s="17">
        <v>7981.7338606855901</v>
      </c>
      <c r="AF170" s="18">
        <v>3.00917886880725E-2</v>
      </c>
      <c r="AG170" s="17">
        <v>15486.489465893401</v>
      </c>
      <c r="AH170" s="18">
        <v>-3.2420835623251598E-2</v>
      </c>
      <c r="AI170" s="17">
        <v>7259.2186922965302</v>
      </c>
      <c r="AJ170" s="18">
        <v>-1.2932175975010399E-2</v>
      </c>
      <c r="AK170" s="17">
        <v>5549.1102421232399</v>
      </c>
      <c r="AL170" s="18">
        <v>-7.4169676563395195E-2</v>
      </c>
      <c r="AM170" s="17">
        <v>31909.171507818599</v>
      </c>
      <c r="AN170" s="18">
        <v>2.0056713894047298E-2</v>
      </c>
      <c r="AO170" s="17">
        <v>11778.702212260499</v>
      </c>
      <c r="AP170" s="18">
        <v>2.4813297440101901E-2</v>
      </c>
      <c r="AQ170" s="17">
        <v>7331.6842767483804</v>
      </c>
      <c r="AR170" s="18">
        <v>1.3353706094265399E-2</v>
      </c>
      <c r="AS170" s="17">
        <v>13132.340380695499</v>
      </c>
      <c r="AT170" s="18">
        <v>2.59355554684042E-2</v>
      </c>
      <c r="AU170" s="17">
        <v>1280.11030604235</v>
      </c>
      <c r="AV170" s="18">
        <v>-0.25762030646545497</v>
      </c>
      <c r="AW170" s="17">
        <v>2311.0150204256902</v>
      </c>
      <c r="AX170" s="18">
        <v>1.38742051555216E-2</v>
      </c>
      <c r="AY170" s="17">
        <v>618.33219752306104</v>
      </c>
      <c r="AZ170" s="18">
        <v>3.8669601839853102E-2</v>
      </c>
      <c r="BA170" s="17">
        <v>4828.0561908699601</v>
      </c>
      <c r="BB170" s="18">
        <v>-8.77384638563561E-2</v>
      </c>
      <c r="BC170" s="17">
        <v>8856.5595457463805</v>
      </c>
      <c r="BD170" s="18">
        <v>-4.03848248266876E-2</v>
      </c>
      <c r="BE170" s="17">
        <v>-4028.50335487642</v>
      </c>
      <c r="BF170" s="18">
        <v>2.3273359769836698E-2</v>
      </c>
      <c r="BG170" s="17"/>
      <c r="BH170" s="18"/>
    </row>
    <row r="171" spans="1:60" x14ac:dyDescent="0.2">
      <c r="A171" s="16">
        <v>2019</v>
      </c>
      <c r="B171" s="16">
        <v>4</v>
      </c>
      <c r="C171" s="17">
        <v>186480.67279025799</v>
      </c>
      <c r="D171" s="18">
        <v>6.85321413561857E-3</v>
      </c>
      <c r="E171" s="17">
        <v>181493.980570163</v>
      </c>
      <c r="F171" s="18">
        <v>7.7668463117757103E-3</v>
      </c>
      <c r="G171" s="17">
        <v>1221.9869965601799</v>
      </c>
      <c r="H171" s="18">
        <v>5.1822857922615699E-2</v>
      </c>
      <c r="I171" s="17">
        <v>190.412864017592</v>
      </c>
      <c r="J171" s="18">
        <v>-3.6749040691465298E-2</v>
      </c>
      <c r="K171" s="17">
        <v>35656.497384585498</v>
      </c>
      <c r="L171" s="18">
        <v>2.2678224883244901E-2</v>
      </c>
      <c r="M171" s="17">
        <v>12164.809012259801</v>
      </c>
      <c r="N171" s="18">
        <v>1.87922226372341E-2</v>
      </c>
      <c r="O171" s="17">
        <v>23491.6883723258</v>
      </c>
      <c r="P171" s="18">
        <v>2.4702204622284198E-2</v>
      </c>
      <c r="Q171" s="17">
        <v>2885.82036917798</v>
      </c>
      <c r="R171" s="18">
        <v>0.154069777487846</v>
      </c>
      <c r="S171" s="17">
        <v>536.948846415768</v>
      </c>
      <c r="T171" s="18">
        <v>-0.23896383023237</v>
      </c>
      <c r="U171" s="17">
        <v>8611.5260118826991</v>
      </c>
      <c r="V171" s="18">
        <v>2.68983073709015E-2</v>
      </c>
      <c r="W171" s="17">
        <v>28901.803996874802</v>
      </c>
      <c r="X171" s="18">
        <v>-5.4338725140781301E-2</v>
      </c>
      <c r="Y171" s="17">
        <v>6814.64618928862</v>
      </c>
      <c r="Z171" s="18">
        <v>3.4936030473480301E-3</v>
      </c>
      <c r="AA171" s="17">
        <v>7017.3239242754598</v>
      </c>
      <c r="AB171" s="18">
        <v>3.04815314703775E-2</v>
      </c>
      <c r="AC171" s="17">
        <v>3338.1639772365902</v>
      </c>
      <c r="AD171" s="18">
        <v>6.0395568018712299E-2</v>
      </c>
      <c r="AE171" s="17">
        <v>8643.0739823461408</v>
      </c>
      <c r="AF171" s="18">
        <v>2.7090623139745602E-2</v>
      </c>
      <c r="AG171" s="17">
        <v>15773.974737544901</v>
      </c>
      <c r="AH171" s="18">
        <v>-2.5669740668900999E-3</v>
      </c>
      <c r="AI171" s="17">
        <v>7565.0691217440699</v>
      </c>
      <c r="AJ171" s="18">
        <v>4.1339269500989498E-2</v>
      </c>
      <c r="AK171" s="17">
        <v>5467.35489597377</v>
      </c>
      <c r="AL171" s="18">
        <v>-7.8772409396543702E-2</v>
      </c>
      <c r="AM171" s="17">
        <v>32121.4249794959</v>
      </c>
      <c r="AN171" s="18">
        <v>2.2339344316812899E-2</v>
      </c>
      <c r="AO171" s="17">
        <v>11911.2516151523</v>
      </c>
      <c r="AP171" s="18">
        <v>2.56682056456627E-2</v>
      </c>
      <c r="AQ171" s="17">
        <v>7425.8266961187201</v>
      </c>
      <c r="AR171" s="18">
        <v>1.5661025756882802E-2</v>
      </c>
      <c r="AS171" s="17">
        <v>13121.859576832399</v>
      </c>
      <c r="AT171" s="18">
        <v>1.33247076344984E-2</v>
      </c>
      <c r="AU171" s="17">
        <v>1219.85101545767</v>
      </c>
      <c r="AV171" s="18">
        <v>-9.0241957056746702E-2</v>
      </c>
      <c r="AW171" s="17">
        <v>2301.5954704723199</v>
      </c>
      <c r="AX171" s="18">
        <v>2.5756662140352699E-3</v>
      </c>
      <c r="AY171" s="17">
        <v>614.63812571596202</v>
      </c>
      <c r="AZ171" s="18">
        <v>2.7793463340183702E-2</v>
      </c>
      <c r="BA171" s="17">
        <v>4986.6922200953604</v>
      </c>
      <c r="BB171" s="18">
        <v>-2.5307709425122799E-2</v>
      </c>
      <c r="BC171" s="17">
        <v>9062.3745415017092</v>
      </c>
      <c r="BD171" s="18">
        <v>-4.2276853426168604E-3</v>
      </c>
      <c r="BE171" s="17">
        <v>-4075.6823214063402</v>
      </c>
      <c r="BF171" s="18">
        <v>2.28382327719014E-2</v>
      </c>
      <c r="BG171" s="17"/>
      <c r="BH171" s="18"/>
    </row>
    <row r="172" spans="1:60" x14ac:dyDescent="0.2">
      <c r="A172" s="16">
        <v>2020</v>
      </c>
      <c r="B172" s="16">
        <v>1</v>
      </c>
      <c r="C172" s="17">
        <v>178413.50497224601</v>
      </c>
      <c r="D172" s="18">
        <v>-1.0656829616323599E-2</v>
      </c>
      <c r="E172" s="17">
        <v>173282.444617967</v>
      </c>
      <c r="F172" s="18">
        <v>-9.7763165166613302E-3</v>
      </c>
      <c r="G172" s="17">
        <v>1231.97157446246</v>
      </c>
      <c r="H172" s="18">
        <v>6.1373367154678803E-2</v>
      </c>
      <c r="I172" s="17">
        <v>176.171052387298</v>
      </c>
      <c r="J172" s="18">
        <v>-3.6379945702350099E-2</v>
      </c>
      <c r="K172" s="17">
        <v>34431.597783172801</v>
      </c>
      <c r="L172" s="18">
        <v>2.9707347740179899E-3</v>
      </c>
      <c r="M172" s="17">
        <v>12726.631510507899</v>
      </c>
      <c r="N172" s="18">
        <v>4.7676947745879397E-2</v>
      </c>
      <c r="O172" s="17">
        <v>21704.9662726649</v>
      </c>
      <c r="P172" s="18">
        <v>-2.15114734024997E-2</v>
      </c>
      <c r="Q172" s="17">
        <v>2806.49588285758</v>
      </c>
      <c r="R172" s="18">
        <v>2.5989709807127798E-2</v>
      </c>
      <c r="S172" s="17">
        <v>563.83094203691803</v>
      </c>
      <c r="T172" s="18">
        <v>-0.105320049510714</v>
      </c>
      <c r="U172" s="17">
        <v>8040.8938428003703</v>
      </c>
      <c r="V172" s="18">
        <v>2.311426726495E-2</v>
      </c>
      <c r="W172" s="17">
        <v>24944.235824182801</v>
      </c>
      <c r="X172" s="18">
        <v>-5.9904034697532998E-2</v>
      </c>
      <c r="Y172" s="17">
        <v>5717.3035091233896</v>
      </c>
      <c r="Z172" s="18">
        <v>-2.8951917663361099E-2</v>
      </c>
      <c r="AA172" s="17">
        <v>6460.10263168244</v>
      </c>
      <c r="AB172" s="18">
        <v>-5.8931549787317301E-2</v>
      </c>
      <c r="AC172" s="17">
        <v>2870.41992413868</v>
      </c>
      <c r="AD172" s="18">
        <v>-0.15131388441040899</v>
      </c>
      <c r="AE172" s="17">
        <v>7973.8821096096099</v>
      </c>
      <c r="AF172" s="18">
        <v>1.9549116911563798E-2</v>
      </c>
      <c r="AG172" s="17">
        <v>15647.496513395699</v>
      </c>
      <c r="AH172" s="18">
        <v>-5.9217202032635396E-4</v>
      </c>
      <c r="AI172" s="17">
        <v>7480.9510128198299</v>
      </c>
      <c r="AJ172" s="18">
        <v>2.4454630901840101E-2</v>
      </c>
      <c r="AK172" s="17">
        <v>5382.0422743888403</v>
      </c>
      <c r="AL172" s="18">
        <v>-6.6879278621759797E-2</v>
      </c>
      <c r="AM172" s="17">
        <v>31997.469072593201</v>
      </c>
      <c r="AN172" s="18">
        <v>1.3437084369904101E-2</v>
      </c>
      <c r="AO172" s="17">
        <v>12012.8851520065</v>
      </c>
      <c r="AP172" s="18">
        <v>2.99922544644677E-2</v>
      </c>
      <c r="AQ172" s="17">
        <v>7471.6251890263702</v>
      </c>
      <c r="AR172" s="18">
        <v>2.2138694416230301E-2</v>
      </c>
      <c r="AS172" s="17">
        <v>12919.614571050601</v>
      </c>
      <c r="AT172" s="18">
        <v>-1.8941009003691198E-2</v>
      </c>
      <c r="AU172" s="17">
        <v>1002.36554242221</v>
      </c>
      <c r="AV172" s="18">
        <v>-0.15736535110795699</v>
      </c>
      <c r="AW172" s="17">
        <v>2160.3410081586599</v>
      </c>
      <c r="AX172" s="18">
        <v>-7.5228844022371302E-2</v>
      </c>
      <c r="AY172" s="17">
        <v>571.04600198306605</v>
      </c>
      <c r="AZ172" s="18">
        <v>-4.2072557879686598E-2</v>
      </c>
      <c r="BA172" s="17">
        <v>5131.0603542782901</v>
      </c>
      <c r="BB172" s="18">
        <v>-3.9500279130660697E-2</v>
      </c>
      <c r="BC172" s="17">
        <v>9245.8769436808998</v>
      </c>
      <c r="BD172" s="18">
        <v>-6.2473268013151203E-3</v>
      </c>
      <c r="BE172" s="17">
        <v>-4114.8165894026097</v>
      </c>
      <c r="BF172" s="18">
        <v>3.8589356099183701E-2</v>
      </c>
      <c r="BG172" s="17"/>
      <c r="BH172" s="18"/>
    </row>
    <row r="173" spans="1:60" x14ac:dyDescent="0.2">
      <c r="A173" s="16">
        <v>2020</v>
      </c>
      <c r="B173" s="16">
        <v>2</v>
      </c>
      <c r="C173" s="17">
        <v>168021.05899440401</v>
      </c>
      <c r="D173" s="18">
        <v>-8.0430327574961893E-2</v>
      </c>
      <c r="E173" s="17">
        <v>163728.11510899599</v>
      </c>
      <c r="F173" s="18">
        <v>-7.9418611994086397E-2</v>
      </c>
      <c r="G173" s="17">
        <v>1219.13652236697</v>
      </c>
      <c r="H173" s="18">
        <v>5.95033815792936E-2</v>
      </c>
      <c r="I173" s="17">
        <v>197.79326935241201</v>
      </c>
      <c r="J173" s="18">
        <v>-2.7897108868551901E-2</v>
      </c>
      <c r="K173" s="17">
        <v>31602.655523627502</v>
      </c>
      <c r="L173" s="18">
        <v>-0.108282101408474</v>
      </c>
      <c r="M173" s="17">
        <v>12674.3998324477</v>
      </c>
      <c r="N173" s="18">
        <v>2.2670323009018199E-2</v>
      </c>
      <c r="O173" s="17">
        <v>18928.2556911797</v>
      </c>
      <c r="P173" s="18">
        <v>-0.17870201036031499</v>
      </c>
      <c r="Q173" s="17">
        <v>2987.9667519251302</v>
      </c>
      <c r="R173" s="18">
        <v>0.10207962387345</v>
      </c>
      <c r="S173" s="17">
        <v>571.38815127194698</v>
      </c>
      <c r="T173" s="18">
        <v>-2.2965941654844901E-2</v>
      </c>
      <c r="U173" s="17">
        <v>8006.7384789581001</v>
      </c>
      <c r="V173" s="18">
        <v>-4.6272604694284403E-2</v>
      </c>
      <c r="W173" s="17">
        <v>25113.987683742402</v>
      </c>
      <c r="X173" s="18">
        <v>-8.9748129956358294E-2</v>
      </c>
      <c r="Y173" s="17">
        <v>5944.4321950020903</v>
      </c>
      <c r="Z173" s="18">
        <v>-5.7564805098803101E-2</v>
      </c>
      <c r="AA173" s="17">
        <v>4820.0904012098199</v>
      </c>
      <c r="AB173" s="18">
        <v>-0.28046785262937002</v>
      </c>
      <c r="AC173" s="17">
        <v>928.87522581504902</v>
      </c>
      <c r="AD173" s="18">
        <v>-0.731293776191413</v>
      </c>
      <c r="AE173" s="17">
        <v>7817.2060614796201</v>
      </c>
      <c r="AF173" s="18">
        <v>1.0165235794924E-2</v>
      </c>
      <c r="AG173" s="17">
        <v>15100.926208854</v>
      </c>
      <c r="AH173" s="18">
        <v>-4.10952590251367E-2</v>
      </c>
      <c r="AI173" s="17">
        <v>7021.0831281084002</v>
      </c>
      <c r="AJ173" s="18">
        <v>-5.8758971066229203E-2</v>
      </c>
      <c r="AK173" s="17">
        <v>5282.5458593515104</v>
      </c>
      <c r="AL173" s="18">
        <v>-6.4088597522819604E-2</v>
      </c>
      <c r="AM173" s="17">
        <v>30519.548311014802</v>
      </c>
      <c r="AN173" s="18">
        <v>-3.6465505210482002E-2</v>
      </c>
      <c r="AO173" s="17">
        <v>11995.902467673101</v>
      </c>
      <c r="AP173" s="18">
        <v>2.61588697415998E-2</v>
      </c>
      <c r="AQ173" s="17">
        <v>7289.0928649898296</v>
      </c>
      <c r="AR173" s="18">
        <v>-4.4808903043930303E-3</v>
      </c>
      <c r="AS173" s="17">
        <v>12530.4379157228</v>
      </c>
      <c r="AT173" s="18">
        <v>-5.0721827720678098E-2</v>
      </c>
      <c r="AU173" s="17">
        <v>633.92431492708295</v>
      </c>
      <c r="AV173" s="18">
        <v>-0.50047013169585297</v>
      </c>
      <c r="AW173" s="17">
        <v>1973.909453046</v>
      </c>
      <c r="AX173" s="18">
        <v>-0.16589917018553699</v>
      </c>
      <c r="AY173" s="17">
        <v>418.53550301921302</v>
      </c>
      <c r="AZ173" s="18">
        <v>-0.31692908171728201</v>
      </c>
      <c r="BA173" s="17">
        <v>4292.94388540826</v>
      </c>
      <c r="BB173" s="18">
        <v>-0.117423097884157</v>
      </c>
      <c r="BC173" s="17">
        <v>8392.0129200360007</v>
      </c>
      <c r="BD173" s="18">
        <v>-5.1798517047673999E-2</v>
      </c>
      <c r="BE173" s="17">
        <v>-4099.0690346277397</v>
      </c>
      <c r="BF173" s="18">
        <v>2.8275867177572699E-2</v>
      </c>
      <c r="BG173" s="17"/>
      <c r="BH173" s="18"/>
    </row>
    <row r="174" spans="1:60" x14ac:dyDescent="0.2">
      <c r="A174" s="16">
        <v>2020</v>
      </c>
      <c r="B174" s="16">
        <v>3</v>
      </c>
      <c r="C174" s="17">
        <v>178486.955131447</v>
      </c>
      <c r="D174" s="18">
        <v>-2.0743011052829399E-2</v>
      </c>
      <c r="E174" s="17">
        <v>173558.70962946699</v>
      </c>
      <c r="F174" s="18">
        <v>-2.1872058024406199E-2</v>
      </c>
      <c r="G174" s="17">
        <v>1245.2414579651299</v>
      </c>
      <c r="H174" s="18">
        <v>6.2807150968311007E-2</v>
      </c>
      <c r="I174" s="17">
        <v>195.15365566356499</v>
      </c>
      <c r="J174" s="18">
        <v>-2.1596705916683299E-2</v>
      </c>
      <c r="K174" s="17">
        <v>33483.591939435799</v>
      </c>
      <c r="L174" s="18">
        <v>-4.7900289607902602E-2</v>
      </c>
      <c r="M174" s="17">
        <v>12146.3350322919</v>
      </c>
      <c r="N174" s="18">
        <v>-3.59515730447698E-2</v>
      </c>
      <c r="O174" s="17">
        <v>21337.256907143899</v>
      </c>
      <c r="P174" s="18">
        <v>-5.4570785133134299E-2</v>
      </c>
      <c r="Q174" s="17">
        <v>2983.4033942093902</v>
      </c>
      <c r="R174" s="18">
        <v>-4.9511704306142497E-2</v>
      </c>
      <c r="S174" s="17">
        <v>578.45993282849395</v>
      </c>
      <c r="T174" s="18">
        <v>5.4490347544753799E-2</v>
      </c>
      <c r="U174" s="17">
        <v>8776.5717869473192</v>
      </c>
      <c r="V174" s="18">
        <v>2.7797055374084102E-2</v>
      </c>
      <c r="W174" s="17">
        <v>25979.392008734601</v>
      </c>
      <c r="X174" s="18">
        <v>-9.7734736953797308E-3</v>
      </c>
      <c r="Y174" s="17">
        <v>6042.15548653716</v>
      </c>
      <c r="Z174" s="18">
        <v>-3.0567978517709298E-3</v>
      </c>
      <c r="AA174" s="17">
        <v>5866.1266750991599</v>
      </c>
      <c r="AB174" s="18">
        <v>-0.130158943888038</v>
      </c>
      <c r="AC174" s="17">
        <v>2870.9376836517999</v>
      </c>
      <c r="AD174" s="18">
        <v>-0.25710560694713802</v>
      </c>
      <c r="AE174" s="17">
        <v>8033.10760518386</v>
      </c>
      <c r="AF174" s="18">
        <v>6.4364141169015497E-3</v>
      </c>
      <c r="AG174" s="17">
        <v>14834.527416229899</v>
      </c>
      <c r="AH174" s="18">
        <v>-4.2098762995921801E-2</v>
      </c>
      <c r="AI174" s="17">
        <v>6782.0925093630303</v>
      </c>
      <c r="AJ174" s="18">
        <v>-6.5726933318571407E-2</v>
      </c>
      <c r="AK174" s="17">
        <v>5163.1153450593101</v>
      </c>
      <c r="AL174" s="18">
        <v>-6.9559781698666404E-2</v>
      </c>
      <c r="AM174" s="17">
        <v>32245.133121709401</v>
      </c>
      <c r="AN174" s="18">
        <v>1.0528684952176799E-2</v>
      </c>
      <c r="AO174" s="17">
        <v>12023.685099836701</v>
      </c>
      <c r="AP174" s="18">
        <v>2.0798801358711001E-2</v>
      </c>
      <c r="AQ174" s="17">
        <v>7409.2543678493503</v>
      </c>
      <c r="AR174" s="18">
        <v>1.0580118861223601E-2</v>
      </c>
      <c r="AS174" s="17">
        <v>13245.357255787399</v>
      </c>
      <c r="AT174" s="18">
        <v>8.6059964801157296E-3</v>
      </c>
      <c r="AU174" s="17">
        <v>977.65318077452002</v>
      </c>
      <c r="AV174" s="18">
        <v>-0.236274267803469</v>
      </c>
      <c r="AW174" s="17">
        <v>2247.1519096081502</v>
      </c>
      <c r="AX174" s="18">
        <v>-2.76342257636145E-2</v>
      </c>
      <c r="AY174" s="17">
        <v>563.961137952027</v>
      </c>
      <c r="AZ174" s="18">
        <v>-8.79317942504622E-2</v>
      </c>
      <c r="BA174" s="17">
        <v>4928.2455019804402</v>
      </c>
      <c r="BB174" s="18">
        <v>2.0751479922694199E-2</v>
      </c>
      <c r="BC174" s="17">
        <v>9061.4494573569791</v>
      </c>
      <c r="BD174" s="18">
        <v>2.3134255525781199E-2</v>
      </c>
      <c r="BE174" s="17">
        <v>-4133.2039553765399</v>
      </c>
      <c r="BF174" s="18">
        <v>2.5989949933485201E-2</v>
      </c>
      <c r="BG174" s="17"/>
      <c r="BH174" s="18"/>
    </row>
    <row r="175" spans="1:60" x14ac:dyDescent="0.2">
      <c r="A175" s="16">
        <v>2020</v>
      </c>
      <c r="B175" s="16">
        <v>4</v>
      </c>
      <c r="C175" s="17">
        <v>184933.07880181799</v>
      </c>
      <c r="D175" s="18">
        <v>-8.2989511206935703E-3</v>
      </c>
      <c r="E175" s="17">
        <v>180235.01211819501</v>
      </c>
      <c r="F175" s="18">
        <v>-6.9366953549258002E-3</v>
      </c>
      <c r="G175" s="17">
        <v>1248.1757320792101</v>
      </c>
      <c r="H175" s="18">
        <v>2.14312718488388E-2</v>
      </c>
      <c r="I175" s="17">
        <v>186.56233923688001</v>
      </c>
      <c r="J175" s="18">
        <v>-2.0221978176620699E-2</v>
      </c>
      <c r="K175" s="17">
        <v>35685.432991728398</v>
      </c>
      <c r="L175" s="18">
        <v>8.1151008274171798E-4</v>
      </c>
      <c r="M175" s="17">
        <v>12417.7312035254</v>
      </c>
      <c r="N175" s="18">
        <v>2.0791299806735698E-2</v>
      </c>
      <c r="O175" s="17">
        <v>23267.701788203001</v>
      </c>
      <c r="P175" s="18">
        <v>-9.5347163036007005E-3</v>
      </c>
      <c r="Q175" s="17">
        <v>2680.91992486251</v>
      </c>
      <c r="R175" s="18">
        <v>-7.1002494300720295E-2</v>
      </c>
      <c r="S175" s="17">
        <v>598.05090509156105</v>
      </c>
      <c r="T175" s="18">
        <v>0.113794934254279</v>
      </c>
      <c r="U175" s="17">
        <v>8746.4411709797205</v>
      </c>
      <c r="V175" s="18">
        <v>1.5666812004151001E-2</v>
      </c>
      <c r="W175" s="17">
        <v>29649.622055716001</v>
      </c>
      <c r="X175" s="18">
        <v>2.5874442263951199E-2</v>
      </c>
      <c r="Y175" s="17">
        <v>6929.1084984141598</v>
      </c>
      <c r="Z175" s="18">
        <v>1.6796515320994999E-2</v>
      </c>
      <c r="AA175" s="17">
        <v>6162.03003157478</v>
      </c>
      <c r="AB175" s="18">
        <v>-0.121883199625701</v>
      </c>
      <c r="AC175" s="17">
        <v>1797.6826029558599</v>
      </c>
      <c r="AD175" s="18">
        <v>-0.46147564493101101</v>
      </c>
      <c r="AE175" s="17">
        <v>9159.2131619304091</v>
      </c>
      <c r="AF175" s="18">
        <v>5.9717084527855402E-2</v>
      </c>
      <c r="AG175" s="17">
        <v>14948.887911559101</v>
      </c>
      <c r="AH175" s="18">
        <v>-5.2306843374228099E-2</v>
      </c>
      <c r="AI175" s="17">
        <v>7016.9655279902499</v>
      </c>
      <c r="AJ175" s="18">
        <v>-7.2451895010241699E-2</v>
      </c>
      <c r="AK175" s="17">
        <v>5017.60970533004</v>
      </c>
      <c r="AL175" s="18">
        <v>-8.2260105517372506E-2</v>
      </c>
      <c r="AM175" s="17">
        <v>32516.212936670599</v>
      </c>
      <c r="AN175" s="18">
        <v>1.22904870324609E-2</v>
      </c>
      <c r="AO175" s="17">
        <v>12185.3211135119</v>
      </c>
      <c r="AP175" s="18">
        <v>2.30092946748717E-2</v>
      </c>
      <c r="AQ175" s="17">
        <v>7548.5905382848496</v>
      </c>
      <c r="AR175" s="18">
        <v>1.6532010130305499E-2</v>
      </c>
      <c r="AS175" s="17">
        <v>13392.521618618301</v>
      </c>
      <c r="AT175" s="18">
        <v>2.0626805232983401E-2</v>
      </c>
      <c r="AU175" s="17">
        <v>910.95941084813103</v>
      </c>
      <c r="AV175" s="18">
        <v>-0.25322076277785999</v>
      </c>
      <c r="AW175" s="17">
        <v>2261.75384948381</v>
      </c>
      <c r="AX175" s="18">
        <v>-1.7310435956120099E-2</v>
      </c>
      <c r="AY175" s="17">
        <v>556.633823062945</v>
      </c>
      <c r="AZ175" s="18">
        <v>-9.4371468716574203E-2</v>
      </c>
      <c r="BA175" s="17">
        <v>4698.0666836230002</v>
      </c>
      <c r="BB175" s="18">
        <v>-5.7879155908050699E-2</v>
      </c>
      <c r="BC175" s="17">
        <v>8849.0976311961094</v>
      </c>
      <c r="BD175" s="18">
        <v>-2.3534329697904099E-2</v>
      </c>
      <c r="BE175" s="17">
        <v>-4151.0309475731101</v>
      </c>
      <c r="BF175" s="18">
        <v>1.8487364869195701E-2</v>
      </c>
      <c r="BG175" s="17"/>
      <c r="BH175" s="18"/>
    </row>
    <row r="176" spans="1:60" x14ac:dyDescent="0.2">
      <c r="A176" s="16">
        <v>2021</v>
      </c>
      <c r="B176" s="16">
        <v>1</v>
      </c>
      <c r="C176" s="17">
        <v>181476.62547701801</v>
      </c>
      <c r="D176" s="18">
        <v>1.7168658310080701E-2</v>
      </c>
      <c r="E176" s="17">
        <v>176337.09446896499</v>
      </c>
      <c r="F176" s="18">
        <v>1.7628155337561499E-2</v>
      </c>
      <c r="G176" s="17">
        <v>1154.63071330508</v>
      </c>
      <c r="H176" s="18">
        <v>-6.2778121476651405E-2</v>
      </c>
      <c r="I176" s="17">
        <v>174.828548364281</v>
      </c>
      <c r="J176" s="18">
        <v>-7.6204575316136704E-3</v>
      </c>
      <c r="K176" s="17">
        <v>37274.098775599203</v>
      </c>
      <c r="L176" s="18">
        <v>8.25550127045096E-2</v>
      </c>
      <c r="M176" s="17">
        <v>14363.071701651001</v>
      </c>
      <c r="N176" s="18">
        <v>0.12858392181716999</v>
      </c>
      <c r="O176" s="17">
        <v>22911.0270739482</v>
      </c>
      <c r="P176" s="18">
        <v>5.5566121878853701E-2</v>
      </c>
      <c r="Q176" s="17">
        <v>2280.99719239665</v>
      </c>
      <c r="R176" s="18">
        <v>-0.18724370617136399</v>
      </c>
      <c r="S176" s="17">
        <v>621.22200412755001</v>
      </c>
      <c r="T176" s="18">
        <v>0.10178771296818</v>
      </c>
      <c r="U176" s="17">
        <v>8185.8145960204902</v>
      </c>
      <c r="V176" s="18">
        <v>1.8022965612197302E-2</v>
      </c>
      <c r="W176" s="17">
        <v>26379.612324325601</v>
      </c>
      <c r="X176" s="18">
        <v>5.7543414448926397E-2</v>
      </c>
      <c r="Y176" s="17">
        <v>5884.5184574938603</v>
      </c>
      <c r="Z176" s="18">
        <v>2.9247170122004999E-2</v>
      </c>
      <c r="AA176" s="17">
        <v>5833.3723248835804</v>
      </c>
      <c r="AB176" s="18">
        <v>-9.7015534045104795E-2</v>
      </c>
      <c r="AC176" s="17">
        <v>994.81705670242297</v>
      </c>
      <c r="AD176" s="18">
        <v>-0.65342455703552305</v>
      </c>
      <c r="AE176" s="17">
        <v>8465.2567473003492</v>
      </c>
      <c r="AF176" s="18">
        <v>6.1623012597410202E-2</v>
      </c>
      <c r="AG176" s="17">
        <v>15033.029786070299</v>
      </c>
      <c r="AH176" s="18">
        <v>-3.9269331474169202E-2</v>
      </c>
      <c r="AI176" s="17">
        <v>7208.1272016377598</v>
      </c>
      <c r="AJ176" s="18">
        <v>-3.6469134835202602E-2</v>
      </c>
      <c r="AK176" s="17">
        <v>4838.9252265308296</v>
      </c>
      <c r="AL176" s="18">
        <v>-0.100912817136816</v>
      </c>
      <c r="AM176" s="17">
        <v>32845.196339285299</v>
      </c>
      <c r="AN176" s="18">
        <v>2.6493572500026201E-2</v>
      </c>
      <c r="AO176" s="17">
        <v>12318.5600025681</v>
      </c>
      <c r="AP176" s="18">
        <v>2.5445581697798099E-2</v>
      </c>
      <c r="AQ176" s="17">
        <v>7608.8248101415602</v>
      </c>
      <c r="AR176" s="18">
        <v>1.8362754774783999E-2</v>
      </c>
      <c r="AS176" s="17">
        <v>13422.848460405899</v>
      </c>
      <c r="AT176" s="18">
        <v>3.8951153425501997E-2</v>
      </c>
      <c r="AU176" s="17">
        <v>985.700718332566</v>
      </c>
      <c r="AV176" s="18">
        <v>-1.6625495774095899E-2</v>
      </c>
      <c r="AW176" s="17">
        <v>2245.7986103103199</v>
      </c>
      <c r="AX176" s="18">
        <v>3.9557459599629301E-2</v>
      </c>
      <c r="AY176" s="17">
        <v>512.48545882595602</v>
      </c>
      <c r="AZ176" s="18">
        <v>-0.10254960713103201</v>
      </c>
      <c r="BA176" s="17">
        <v>5139.5310080528097</v>
      </c>
      <c r="BB176" s="18">
        <v>1.6508583391448E-3</v>
      </c>
      <c r="BC176" s="17">
        <v>9313.2034641843602</v>
      </c>
      <c r="BD176" s="18">
        <v>7.2817885110914001E-3</v>
      </c>
      <c r="BE176" s="17">
        <v>-4173.6724561315596</v>
      </c>
      <c r="BF176" s="18">
        <v>1.43033997871311E-2</v>
      </c>
      <c r="BG176" s="17"/>
      <c r="BH176" s="18"/>
    </row>
    <row r="177" spans="1:60" x14ac:dyDescent="0.2">
      <c r="A177" s="16">
        <v>2021</v>
      </c>
      <c r="B177" s="16">
        <v>2</v>
      </c>
      <c r="C177" s="17">
        <v>190516.87552611</v>
      </c>
      <c r="D177" s="18">
        <v>0.13388688695537199</v>
      </c>
      <c r="E177" s="17">
        <v>185076.67572945601</v>
      </c>
      <c r="F177" s="18">
        <v>0.13039031571485599</v>
      </c>
      <c r="G177" s="17">
        <v>1166.6448413078699</v>
      </c>
      <c r="H177" s="18">
        <v>-4.3056442076881501E-2</v>
      </c>
      <c r="I177" s="17">
        <v>196.041493933379</v>
      </c>
      <c r="J177" s="18">
        <v>-8.8565977233134897E-3</v>
      </c>
      <c r="K177" s="17">
        <v>39751.143256950199</v>
      </c>
      <c r="L177" s="18">
        <v>0.25784186797943698</v>
      </c>
      <c r="M177" s="17">
        <v>15638.9924598202</v>
      </c>
      <c r="N177" s="18">
        <v>0.23390398492738501</v>
      </c>
      <c r="O177" s="17">
        <v>24112.150797130002</v>
      </c>
      <c r="P177" s="18">
        <v>0.27387072483207697</v>
      </c>
      <c r="Q177" s="17">
        <v>2079.3633252448799</v>
      </c>
      <c r="R177" s="18">
        <v>-0.30408752911819997</v>
      </c>
      <c r="S177" s="17">
        <v>630.859556521184</v>
      </c>
      <c r="T177" s="18">
        <v>0.10408232147770401</v>
      </c>
      <c r="U177" s="17">
        <v>8775.5420466040796</v>
      </c>
      <c r="V177" s="18">
        <v>9.6019567726161506E-2</v>
      </c>
      <c r="W177" s="17">
        <v>29202.0335114468</v>
      </c>
      <c r="X177" s="18">
        <v>0.16277963815164201</v>
      </c>
      <c r="Y177" s="17">
        <v>6547.8525756474301</v>
      </c>
      <c r="Z177" s="18">
        <v>0.101510179753194</v>
      </c>
      <c r="AA177" s="17">
        <v>5995.1142956639696</v>
      </c>
      <c r="AB177" s="18">
        <v>0.24377631883402501</v>
      </c>
      <c r="AC177" s="17">
        <v>1700.35725687216</v>
      </c>
      <c r="AD177" s="18">
        <v>0.83055507307794296</v>
      </c>
      <c r="AE177" s="17">
        <v>8249.0128302320099</v>
      </c>
      <c r="AF177" s="18">
        <v>5.5237992366630399E-2</v>
      </c>
      <c r="AG177" s="17">
        <v>15422.6269419205</v>
      </c>
      <c r="AH177" s="18">
        <v>2.1303377595333999E-2</v>
      </c>
      <c r="AI177" s="17">
        <v>7518.5981340097196</v>
      </c>
      <c r="AJ177" s="18">
        <v>7.0860150324891596E-2</v>
      </c>
      <c r="AK177" s="17">
        <v>4779.58715392663</v>
      </c>
      <c r="AL177" s="18">
        <v>-9.5211422449746896E-2</v>
      </c>
      <c r="AM177" s="17">
        <v>33804.019245007199</v>
      </c>
      <c r="AN177" s="18">
        <v>0.107618595810182</v>
      </c>
      <c r="AO177" s="17">
        <v>12337.6764264955</v>
      </c>
      <c r="AP177" s="18">
        <v>2.8490891764364899E-2</v>
      </c>
      <c r="AQ177" s="17">
        <v>7625.1426649547802</v>
      </c>
      <c r="AR177" s="18">
        <v>4.6103103114384397E-2</v>
      </c>
      <c r="AS177" s="17">
        <v>13703.540392997</v>
      </c>
      <c r="AT177" s="18">
        <v>9.3620229808750996E-2</v>
      </c>
      <c r="AU177" s="17">
        <v>1509.9008737122299</v>
      </c>
      <c r="AV177" s="18">
        <v>1.3818314555199001</v>
      </c>
      <c r="AW177" s="17">
        <v>2361.9531358416202</v>
      </c>
      <c r="AX177" s="18">
        <v>0.196586364281715</v>
      </c>
      <c r="AY177" s="17">
        <v>565.70363375053</v>
      </c>
      <c r="AZ177" s="18">
        <v>0.35162639649368499</v>
      </c>
      <c r="BA177" s="17">
        <v>5440.1997966536901</v>
      </c>
      <c r="BB177" s="18">
        <v>0.26724223327142799</v>
      </c>
      <c r="BC177" s="17">
        <v>9586.3473390257695</v>
      </c>
      <c r="BD177" s="18">
        <v>0.14231799097190201</v>
      </c>
      <c r="BE177" s="17">
        <v>-4146.1475423720804</v>
      </c>
      <c r="BF177" s="18">
        <v>1.1485170741608401E-2</v>
      </c>
      <c r="BG177" s="17"/>
      <c r="BH177" s="18"/>
    </row>
    <row r="178" spans="1:60" x14ac:dyDescent="0.2">
      <c r="A178" s="16">
        <v>2021</v>
      </c>
      <c r="B178" s="16">
        <v>3</v>
      </c>
      <c r="C178" s="17">
        <v>194587.90720722399</v>
      </c>
      <c r="D178" s="18">
        <v>9.0208004634958705E-2</v>
      </c>
      <c r="E178" s="17">
        <v>189182.85818836899</v>
      </c>
      <c r="F178" s="18">
        <v>9.0022267348369295E-2</v>
      </c>
      <c r="G178" s="17">
        <v>1193.14736117385</v>
      </c>
      <c r="H178" s="18">
        <v>-4.1834534545937198E-2</v>
      </c>
      <c r="I178" s="17">
        <v>188.82692833926799</v>
      </c>
      <c r="J178" s="18">
        <v>-3.2419209892761702E-2</v>
      </c>
      <c r="K178" s="17">
        <v>40140.224999219798</v>
      </c>
      <c r="L178" s="18">
        <v>0.19880283667965801</v>
      </c>
      <c r="M178" s="17">
        <v>16083.32544551</v>
      </c>
      <c r="N178" s="18">
        <v>0.32412990443218598</v>
      </c>
      <c r="O178" s="17">
        <v>24056.899553709802</v>
      </c>
      <c r="P178" s="18">
        <v>0.127459806965877</v>
      </c>
      <c r="Q178" s="17">
        <v>2212.2620287772902</v>
      </c>
      <c r="R178" s="18">
        <v>-0.25847706915157398</v>
      </c>
      <c r="S178" s="17">
        <v>638.79480197829196</v>
      </c>
      <c r="T178" s="18">
        <v>0.104302589904159</v>
      </c>
      <c r="U178" s="17">
        <v>8997.8843763205805</v>
      </c>
      <c r="V178" s="18">
        <v>2.52162911380047E-2</v>
      </c>
      <c r="W178" s="17">
        <v>28217.109745973401</v>
      </c>
      <c r="X178" s="18">
        <v>8.6134338189532103E-2</v>
      </c>
      <c r="Y178" s="17">
        <v>6147.0282282862099</v>
      </c>
      <c r="Z178" s="18">
        <v>1.7356842600744202E-2</v>
      </c>
      <c r="AA178" s="17">
        <v>6606.1252201756797</v>
      </c>
      <c r="AB178" s="18">
        <v>0.12614772678157499</v>
      </c>
      <c r="AC178" s="17">
        <v>3046.6932449984802</v>
      </c>
      <c r="AD178" s="18">
        <v>6.12188701787224E-2</v>
      </c>
      <c r="AE178" s="17">
        <v>8445.8850427908692</v>
      </c>
      <c r="AF178" s="18">
        <v>5.13845273702844E-2</v>
      </c>
      <c r="AG178" s="17">
        <v>15645.4245081607</v>
      </c>
      <c r="AH178" s="18">
        <v>5.46628193253842E-2</v>
      </c>
      <c r="AI178" s="17">
        <v>7518.0920291065504</v>
      </c>
      <c r="AJ178" s="18">
        <v>0.10852100863080801</v>
      </c>
      <c r="AK178" s="17">
        <v>4846.7137395931804</v>
      </c>
      <c r="AL178" s="18">
        <v>-6.12811421633059E-2</v>
      </c>
      <c r="AM178" s="17">
        <v>34817.561896289197</v>
      </c>
      <c r="AN178" s="18">
        <v>7.97772725846779E-2</v>
      </c>
      <c r="AO178" s="17">
        <v>12461.600434625499</v>
      </c>
      <c r="AP178" s="18">
        <v>3.6421058199099597E-2</v>
      </c>
      <c r="AQ178" s="17">
        <v>7675.0819677337104</v>
      </c>
      <c r="AR178" s="18">
        <v>3.5877780230876503E-2</v>
      </c>
      <c r="AS178" s="17">
        <v>13868.7601740803</v>
      </c>
      <c r="AT178" s="18">
        <v>4.7065768499408897E-2</v>
      </c>
      <c r="AU178" s="17">
        <v>1988.17413029665</v>
      </c>
      <c r="AV178" s="18">
        <v>1.0336190475251801</v>
      </c>
      <c r="AW178" s="17">
        <v>2442.3337516523302</v>
      </c>
      <c r="AX178" s="18">
        <v>8.6857431048451506E-2</v>
      </c>
      <c r="AY178" s="17">
        <v>596.96757578253005</v>
      </c>
      <c r="AZ178" s="18">
        <v>5.8526085592284699E-2</v>
      </c>
      <c r="BA178" s="17">
        <v>5405.0490188558397</v>
      </c>
      <c r="BB178" s="18">
        <v>9.6749140578284099E-2</v>
      </c>
      <c r="BC178" s="17">
        <v>9572.43829444115</v>
      </c>
      <c r="BD178" s="18">
        <v>5.6391512140400599E-2</v>
      </c>
      <c r="BE178" s="17">
        <v>-4167.3892755853103</v>
      </c>
      <c r="BF178" s="18">
        <v>8.2709008744421605E-3</v>
      </c>
      <c r="BG178" s="17"/>
      <c r="BH178" s="18"/>
    </row>
    <row r="179" spans="1:60" x14ac:dyDescent="0.2">
      <c r="A179" s="16">
        <v>2021</v>
      </c>
      <c r="B179" s="16">
        <v>4</v>
      </c>
      <c r="C179" s="17">
        <v>201697.94426326401</v>
      </c>
      <c r="D179" s="18">
        <v>9.0653687107064701E-2</v>
      </c>
      <c r="E179" s="17">
        <v>196563.45631229601</v>
      </c>
      <c r="F179" s="18">
        <v>9.0595295565511796E-2</v>
      </c>
      <c r="G179" s="17">
        <v>1202.7292274050401</v>
      </c>
      <c r="H179" s="18">
        <v>-3.6410341513745899E-2</v>
      </c>
      <c r="I179" s="17">
        <v>176.11706178833199</v>
      </c>
      <c r="J179" s="18">
        <v>-5.5988135072032298E-2</v>
      </c>
      <c r="K179" s="17">
        <v>41812.608771765597</v>
      </c>
      <c r="L179" s="18">
        <v>0.17169963389423901</v>
      </c>
      <c r="M179" s="17">
        <v>16410.021116398399</v>
      </c>
      <c r="N179" s="18">
        <v>0.32149914082047698</v>
      </c>
      <c r="O179" s="17">
        <v>25402.587655367199</v>
      </c>
      <c r="P179" s="18">
        <v>9.17531901774047E-2</v>
      </c>
      <c r="Q179" s="17">
        <v>1943.71314168504</v>
      </c>
      <c r="R179" s="18">
        <v>-0.27498276854176401</v>
      </c>
      <c r="S179" s="17">
        <v>635.92192621783397</v>
      </c>
      <c r="T179" s="18">
        <v>6.3324076268181304E-2</v>
      </c>
      <c r="U179" s="17">
        <v>8976.5513514119502</v>
      </c>
      <c r="V179" s="18">
        <v>2.6309006821623598E-2</v>
      </c>
      <c r="W179" s="17">
        <v>32813.554804305</v>
      </c>
      <c r="X179" s="18">
        <v>0.10671072780096399</v>
      </c>
      <c r="Y179" s="17">
        <v>7147.6882010505096</v>
      </c>
      <c r="Z179" s="18">
        <v>3.1545140718517002E-2</v>
      </c>
      <c r="AA179" s="17">
        <v>7015.9202344174701</v>
      </c>
      <c r="AB179" s="18">
        <v>0.13857287265191501</v>
      </c>
      <c r="AC179" s="17">
        <v>2581.8387622714699</v>
      </c>
      <c r="AD179" s="18">
        <v>0.43620389830009099</v>
      </c>
      <c r="AE179" s="17">
        <v>9309.2648222631706</v>
      </c>
      <c r="AF179" s="18">
        <v>1.6382592879968801E-2</v>
      </c>
      <c r="AG179" s="17">
        <v>15864.587182564201</v>
      </c>
      <c r="AH179" s="18">
        <v>6.1255343970908503E-2</v>
      </c>
      <c r="AI179" s="17">
        <v>7434.3922007860801</v>
      </c>
      <c r="AJ179" s="18">
        <v>5.9488203430776397E-2</v>
      </c>
      <c r="AK179" s="17">
        <v>5045.6888581515404</v>
      </c>
      <c r="AL179" s="18">
        <v>5.5961213546911201E-3</v>
      </c>
      <c r="AM179" s="17">
        <v>35231.122990510397</v>
      </c>
      <c r="AN179" s="18">
        <v>8.3494042160673798E-2</v>
      </c>
      <c r="AO179" s="17">
        <v>12630.000029376501</v>
      </c>
      <c r="AP179" s="18">
        <v>3.6492999381978301E-2</v>
      </c>
      <c r="AQ179" s="17">
        <v>7772.6275289989499</v>
      </c>
      <c r="AR179" s="18">
        <v>2.9679314247849999E-2</v>
      </c>
      <c r="AS179" s="17">
        <v>14012.036286430101</v>
      </c>
      <c r="AT179" s="18">
        <v>4.6258254080437301E-2</v>
      </c>
      <c r="AU179" s="17">
        <v>1524.72464677889</v>
      </c>
      <c r="AV179" s="18">
        <v>0.67375695187047802</v>
      </c>
      <c r="AW179" s="17">
        <v>2462.0336713707902</v>
      </c>
      <c r="AX179" s="18">
        <v>8.8550671388348406E-2</v>
      </c>
      <c r="AY179" s="17">
        <v>598.10387273573497</v>
      </c>
      <c r="AZ179" s="18">
        <v>7.4501490844729706E-2</v>
      </c>
      <c r="BA179" s="17">
        <v>5134.4879509676703</v>
      </c>
      <c r="BB179" s="18">
        <v>9.2893800095684501E-2</v>
      </c>
      <c r="BC179" s="17">
        <v>9356.3858711287194</v>
      </c>
      <c r="BD179" s="18">
        <v>5.7326550239907403E-2</v>
      </c>
      <c r="BE179" s="17">
        <v>-4221.89792016105</v>
      </c>
      <c r="BF179" s="18">
        <v>1.7072137857553599E-2</v>
      </c>
      <c r="BG179" s="17"/>
      <c r="BH179" s="18"/>
    </row>
    <row r="180" spans="1:60" x14ac:dyDescent="0.2">
      <c r="A180" s="16">
        <v>2022</v>
      </c>
      <c r="B180" s="16">
        <v>1</v>
      </c>
      <c r="C180" s="17">
        <v>199637.42051132201</v>
      </c>
      <c r="D180" s="18">
        <v>0.100072364617577</v>
      </c>
      <c r="E180" s="17">
        <v>193734.00255378801</v>
      </c>
      <c r="F180" s="18">
        <v>9.8657109765889706E-2</v>
      </c>
      <c r="G180" s="17">
        <v>1193.69246236967</v>
      </c>
      <c r="H180" s="18">
        <v>3.3830512747039097E-2</v>
      </c>
      <c r="I180" s="17">
        <v>161.304505353357</v>
      </c>
      <c r="J180" s="18">
        <v>-7.7356033310668898E-2</v>
      </c>
      <c r="K180" s="17">
        <v>41140.664415215499</v>
      </c>
      <c r="L180" s="18">
        <v>0.10373330990225001</v>
      </c>
      <c r="M180" s="17">
        <v>16439.249063727799</v>
      </c>
      <c r="N180" s="18">
        <v>0.14454967608622299</v>
      </c>
      <c r="O180" s="17">
        <v>24701.4153514877</v>
      </c>
      <c r="P180" s="18">
        <v>7.8145264800253897E-2</v>
      </c>
      <c r="Q180" s="17">
        <v>2396.4131191418901</v>
      </c>
      <c r="R180" s="18">
        <v>5.0598890314274197E-2</v>
      </c>
      <c r="S180" s="17">
        <v>649.87827404151994</v>
      </c>
      <c r="T180" s="18">
        <v>4.6128871359306697E-2</v>
      </c>
      <c r="U180" s="17">
        <v>8520.3655397100792</v>
      </c>
      <c r="V180" s="18">
        <v>4.08695970040946E-2</v>
      </c>
      <c r="W180" s="17">
        <v>30061.333418805101</v>
      </c>
      <c r="X180" s="18">
        <v>0.139566914373662</v>
      </c>
      <c r="Y180" s="17">
        <v>6078.6461884108303</v>
      </c>
      <c r="Z180" s="18">
        <v>3.2989569549188601E-2</v>
      </c>
      <c r="AA180" s="17">
        <v>7102.1078600863902</v>
      </c>
      <c r="AB180" s="18">
        <v>0.21749606651897099</v>
      </c>
      <c r="AC180" s="17">
        <v>2900.07605892623</v>
      </c>
      <c r="AD180" s="18">
        <v>1.91518529903305</v>
      </c>
      <c r="AE180" s="17">
        <v>8694.57091575905</v>
      </c>
      <c r="AF180" s="18">
        <v>2.7088861602671401E-2</v>
      </c>
      <c r="AG180" s="17">
        <v>16213.1683868203</v>
      </c>
      <c r="AH180" s="18">
        <v>7.8503044133098096E-2</v>
      </c>
      <c r="AI180" s="17">
        <v>7370.2708642653697</v>
      </c>
      <c r="AJ180" s="18">
        <v>2.2494561776153402E-2</v>
      </c>
      <c r="AK180" s="17">
        <v>5381.7842214989596</v>
      </c>
      <c r="AL180" s="18">
        <v>0.112185861437112</v>
      </c>
      <c r="AM180" s="17">
        <v>35300.299963632999</v>
      </c>
      <c r="AN180" s="18">
        <v>7.4747722588926105E-2</v>
      </c>
      <c r="AO180" s="17">
        <v>12750.1808729148</v>
      </c>
      <c r="AP180" s="18">
        <v>3.50382569274863E-2</v>
      </c>
      <c r="AQ180" s="17">
        <v>7827.1872408804102</v>
      </c>
      <c r="AR180" s="18">
        <v>2.8698575166008902E-2</v>
      </c>
      <c r="AS180" s="17">
        <v>14166.2838286269</v>
      </c>
      <c r="AT180" s="18">
        <v>5.5385812513187603E-2</v>
      </c>
      <c r="AU180" s="17">
        <v>1600.90976970258</v>
      </c>
      <c r="AV180" s="18">
        <v>0.62413371516124205</v>
      </c>
      <c r="AW180" s="17">
        <v>2462.4651935039501</v>
      </c>
      <c r="AX180" s="18">
        <v>9.6476408079924497E-2</v>
      </c>
      <c r="AY180" s="17">
        <v>593.10072829721298</v>
      </c>
      <c r="AZ180" s="18">
        <v>0.15730254992197601</v>
      </c>
      <c r="BA180" s="17">
        <v>5903.4179575335802</v>
      </c>
      <c r="BB180" s="18">
        <v>0.14862969953559699</v>
      </c>
      <c r="BC180" s="17">
        <v>10191.193023678001</v>
      </c>
      <c r="BD180" s="18">
        <v>9.4273636656827503E-2</v>
      </c>
      <c r="BE180" s="17">
        <v>-4287.7750661444097</v>
      </c>
      <c r="BF180" s="18">
        <v>2.7338659468886702E-2</v>
      </c>
      <c r="BG180" s="17"/>
      <c r="BH180" s="18"/>
    </row>
    <row r="181" spans="1:60" x14ac:dyDescent="0.2">
      <c r="A181" s="16">
        <v>2022</v>
      </c>
      <c r="B181" s="16">
        <v>2</v>
      </c>
      <c r="C181" s="17">
        <v>204207.29051331399</v>
      </c>
      <c r="D181" s="18">
        <v>7.1859329780621595E-2</v>
      </c>
      <c r="E181" s="17">
        <v>198629.76524377801</v>
      </c>
      <c r="F181" s="18">
        <v>7.32295923346582E-2</v>
      </c>
      <c r="G181" s="17">
        <v>1202.8456506585901</v>
      </c>
      <c r="H181" s="18">
        <v>3.10298456470584E-2</v>
      </c>
      <c r="I181" s="17">
        <v>171.613644682494</v>
      </c>
      <c r="J181" s="18">
        <v>-0.124605504481546</v>
      </c>
      <c r="K181" s="17">
        <v>41199.084230319801</v>
      </c>
      <c r="L181" s="18">
        <v>3.6425140379237497E-2</v>
      </c>
      <c r="M181" s="17">
        <v>15577.3432601043</v>
      </c>
      <c r="N181" s="18">
        <v>-3.9420186354292E-3</v>
      </c>
      <c r="O181" s="17">
        <v>25621.7409702156</v>
      </c>
      <c r="P181" s="18">
        <v>6.2607031027079901E-2</v>
      </c>
      <c r="Q181" s="17">
        <v>2430.9739811846798</v>
      </c>
      <c r="R181" s="18">
        <v>0.16909534359436501</v>
      </c>
      <c r="S181" s="17">
        <v>660.78976458049499</v>
      </c>
      <c r="T181" s="18">
        <v>4.7443535966003897E-2</v>
      </c>
      <c r="U181" s="17">
        <v>8995.1860807876401</v>
      </c>
      <c r="V181" s="18">
        <v>2.5029113075534001E-2</v>
      </c>
      <c r="W181" s="17">
        <v>32218.175740531198</v>
      </c>
      <c r="X181" s="18">
        <v>0.103285349217275</v>
      </c>
      <c r="Y181" s="17">
        <v>6523.1886153692403</v>
      </c>
      <c r="Z181" s="18">
        <v>-3.76672504355302E-3</v>
      </c>
      <c r="AA181" s="17">
        <v>7164.1731282897899</v>
      </c>
      <c r="AB181" s="18">
        <v>0.19500192572998301</v>
      </c>
      <c r="AC181" s="17">
        <v>3278.7712823145898</v>
      </c>
      <c r="AD181" s="18">
        <v>0.92828375864138202</v>
      </c>
      <c r="AE181" s="17">
        <v>8780.4787655079799</v>
      </c>
      <c r="AF181" s="18">
        <v>6.4427822602988793E-2</v>
      </c>
      <c r="AG181" s="17">
        <v>16716.600558476901</v>
      </c>
      <c r="AH181" s="18">
        <v>8.3900986610733003E-2</v>
      </c>
      <c r="AI181" s="17">
        <v>7564.8063925057504</v>
      </c>
      <c r="AJ181" s="18">
        <v>6.1458609267879298E-3</v>
      </c>
      <c r="AK181" s="17">
        <v>5642.9162200848496</v>
      </c>
      <c r="AL181" s="18">
        <v>0.18062837612427601</v>
      </c>
      <c r="AM181" s="17">
        <v>35652.218898126601</v>
      </c>
      <c r="AN181" s="18">
        <v>5.4673961688516799E-2</v>
      </c>
      <c r="AO181" s="17">
        <v>12789.7547424898</v>
      </c>
      <c r="AP181" s="18">
        <v>3.6642095348152097E-2</v>
      </c>
      <c r="AQ181" s="17">
        <v>7847.9308023111498</v>
      </c>
      <c r="AR181" s="18">
        <v>2.921756970926E-2</v>
      </c>
      <c r="AS181" s="17">
        <v>14254.2496629454</v>
      </c>
      <c r="AT181" s="18">
        <v>4.01873715955798E-2</v>
      </c>
      <c r="AU181" s="17">
        <v>2146.96504966668</v>
      </c>
      <c r="AV181" s="18">
        <v>0.42192450315507601</v>
      </c>
      <c r="AW181" s="17">
        <v>2505.2156934865302</v>
      </c>
      <c r="AX181" s="18">
        <v>6.0654276103516903E-2</v>
      </c>
      <c r="AY181" s="17">
        <v>614.73756741739203</v>
      </c>
      <c r="AZ181" s="18">
        <v>8.6677777446424298E-2</v>
      </c>
      <c r="BA181" s="17">
        <v>5577.5252695362897</v>
      </c>
      <c r="BB181" s="18">
        <v>2.52427260055899E-2</v>
      </c>
      <c r="BC181" s="17">
        <v>9892.51392409859</v>
      </c>
      <c r="BD181" s="18">
        <v>3.1937772985381099E-2</v>
      </c>
      <c r="BE181" s="17">
        <v>-4314.9886545623003</v>
      </c>
      <c r="BF181" s="18">
        <v>4.0722408082377801E-2</v>
      </c>
      <c r="BG181" s="17"/>
      <c r="BH181" s="18"/>
    </row>
    <row r="182" spans="1:60" x14ac:dyDescent="0.2">
      <c r="A182" s="16">
        <v>2022</v>
      </c>
      <c r="B182" s="16">
        <v>3</v>
      </c>
      <c r="C182" s="17">
        <v>205117.94364216799</v>
      </c>
      <c r="D182" s="18">
        <v>5.4114546921610697E-2</v>
      </c>
      <c r="E182" s="17">
        <v>199768.69926772499</v>
      </c>
      <c r="F182" s="18">
        <v>5.5955603910033999E-2</v>
      </c>
      <c r="G182" s="17">
        <v>1235.08207941409</v>
      </c>
      <c r="H182" s="18">
        <v>3.5146302631870401E-2</v>
      </c>
      <c r="I182" s="17">
        <v>164.252997952756</v>
      </c>
      <c r="J182" s="18">
        <v>-0.13013996786708401</v>
      </c>
      <c r="K182" s="17">
        <v>40117.158104528098</v>
      </c>
      <c r="L182" s="18">
        <v>-5.7465783243970702E-4</v>
      </c>
      <c r="M182" s="17">
        <v>15107.7432147288</v>
      </c>
      <c r="N182" s="18">
        <v>-6.06579922843965E-2</v>
      </c>
      <c r="O182" s="17">
        <v>25009.4148897993</v>
      </c>
      <c r="P182" s="18">
        <v>3.9594268328837702E-2</v>
      </c>
      <c r="Q182" s="17">
        <v>2663.43139361967</v>
      </c>
      <c r="R182" s="18">
        <v>0.20394029232230801</v>
      </c>
      <c r="S182" s="17">
        <v>648.22354003753196</v>
      </c>
      <c r="T182" s="18">
        <v>1.47601984706824E-2</v>
      </c>
      <c r="U182" s="17">
        <v>9100.2624829574197</v>
      </c>
      <c r="V182" s="18">
        <v>1.13780198049966E-2</v>
      </c>
      <c r="W182" s="17">
        <v>31455.633576961201</v>
      </c>
      <c r="X182" s="18">
        <v>0.114771635370978</v>
      </c>
      <c r="Y182" s="17">
        <v>6360.95909530891</v>
      </c>
      <c r="Z182" s="18">
        <v>3.4802323834836703E-2</v>
      </c>
      <c r="AA182" s="17">
        <v>7269.2768543177799</v>
      </c>
      <c r="AB182" s="18">
        <v>0.100384357250265</v>
      </c>
      <c r="AC182" s="17">
        <v>3888.0855140006502</v>
      </c>
      <c r="AD182" s="18">
        <v>0.27616573161194202</v>
      </c>
      <c r="AE182" s="17">
        <v>9181.79432968121</v>
      </c>
      <c r="AF182" s="18">
        <v>8.7132287872955003E-2</v>
      </c>
      <c r="AG182" s="17">
        <v>17098.037974101801</v>
      </c>
      <c r="AH182" s="18">
        <v>9.2845896586785298E-2</v>
      </c>
      <c r="AI182" s="17">
        <v>7764.4995329051699</v>
      </c>
      <c r="AJ182" s="18">
        <v>3.2775271018849597E-2</v>
      </c>
      <c r="AK182" s="17">
        <v>5839.4599629227896</v>
      </c>
      <c r="AL182" s="18">
        <v>0.20482873069638599</v>
      </c>
      <c r="AM182" s="17">
        <v>36177.443111768996</v>
      </c>
      <c r="AN182" s="18">
        <v>3.9057336051571398E-2</v>
      </c>
      <c r="AO182" s="17">
        <v>12958.704231515199</v>
      </c>
      <c r="AP182" s="18">
        <v>3.9890847046297098E-2</v>
      </c>
      <c r="AQ182" s="17">
        <v>7960.1148722913103</v>
      </c>
      <c r="AR182" s="18">
        <v>3.7137441105631303E-2</v>
      </c>
      <c r="AS182" s="17">
        <v>14493.774045931799</v>
      </c>
      <c r="AT182" s="18">
        <v>4.50663119129837E-2</v>
      </c>
      <c r="AU182" s="17">
        <v>2240.9927918948401</v>
      </c>
      <c r="AV182" s="18">
        <v>0.12716122684911499</v>
      </c>
      <c r="AW182" s="17">
        <v>2495.8728534147699</v>
      </c>
      <c r="AX182" s="18">
        <v>2.1921288082032499E-2</v>
      </c>
      <c r="AY182" s="17">
        <v>620.55851333595797</v>
      </c>
      <c r="AZ182" s="18">
        <v>3.9517954593269303E-2</v>
      </c>
      <c r="BA182" s="17">
        <v>5349.2443744427301</v>
      </c>
      <c r="BB182" s="18">
        <v>-1.03245399289505E-2</v>
      </c>
      <c r="BC182" s="17">
        <v>9667.0213642026993</v>
      </c>
      <c r="BD182" s="18">
        <v>9.8807709020676295E-3</v>
      </c>
      <c r="BE182" s="17">
        <v>-4317.7769897599701</v>
      </c>
      <c r="BF182" s="18">
        <v>3.6086793008685697E-2</v>
      </c>
      <c r="BG182" s="17"/>
      <c r="BH182" s="18"/>
    </row>
    <row r="183" spans="1:60" x14ac:dyDescent="0.2">
      <c r="A183" s="16">
        <v>2022</v>
      </c>
      <c r="B183" s="16">
        <v>4</v>
      </c>
      <c r="C183" s="17">
        <v>210741.03205271999</v>
      </c>
      <c r="D183" s="18">
        <v>4.4834803956418999E-2</v>
      </c>
      <c r="E183" s="17">
        <v>205955.21852946299</v>
      </c>
      <c r="F183" s="18">
        <v>4.7779797900200802E-2</v>
      </c>
      <c r="G183" s="17">
        <v>1270.02713202207</v>
      </c>
      <c r="H183" s="18">
        <v>5.5954327111710202E-2</v>
      </c>
      <c r="I183" s="17">
        <v>157.09683921804199</v>
      </c>
      <c r="J183" s="18">
        <v>-0.107997614638548</v>
      </c>
      <c r="K183" s="17">
        <v>40859.342416908599</v>
      </c>
      <c r="L183" s="18">
        <v>-2.2798538117064799E-2</v>
      </c>
      <c r="M183" s="17">
        <v>14815.7653001321</v>
      </c>
      <c r="N183" s="18">
        <v>-9.7151356781203999E-2</v>
      </c>
      <c r="O183" s="17">
        <v>26043.577116776501</v>
      </c>
      <c r="P183" s="18">
        <v>2.5233234901321799E-2</v>
      </c>
      <c r="Q183" s="17">
        <v>2937.7006748274698</v>
      </c>
      <c r="R183" s="18">
        <v>0.51138591998237004</v>
      </c>
      <c r="S183" s="17">
        <v>655.38015349238299</v>
      </c>
      <c r="T183" s="18">
        <v>3.0598453162761202E-2</v>
      </c>
      <c r="U183" s="17">
        <v>9285.9898923033597</v>
      </c>
      <c r="V183" s="18">
        <v>3.44718733038532E-2</v>
      </c>
      <c r="W183" s="17">
        <v>34435.581285460299</v>
      </c>
      <c r="X183" s="18">
        <v>4.9431598948326001E-2</v>
      </c>
      <c r="Y183" s="17">
        <v>7194.7265011867103</v>
      </c>
      <c r="Z183" s="18">
        <v>6.5809110320860197E-3</v>
      </c>
      <c r="AA183" s="17">
        <v>7616.6939470402403</v>
      </c>
      <c r="AB183" s="18">
        <v>8.5630065985585493E-2</v>
      </c>
      <c r="AC183" s="17">
        <v>3343.9330488322098</v>
      </c>
      <c r="AD183" s="18">
        <v>0.29517501158370502</v>
      </c>
      <c r="AE183" s="17">
        <v>9889.31614906287</v>
      </c>
      <c r="AF183" s="18">
        <v>6.2309037058705802E-2</v>
      </c>
      <c r="AG183" s="17">
        <v>17944.6494026035</v>
      </c>
      <c r="AH183" s="18">
        <v>0.13111354213649601</v>
      </c>
      <c r="AI183" s="17">
        <v>8440.2223930660093</v>
      </c>
      <c r="AJ183" s="18">
        <v>0.13529420632040201</v>
      </c>
      <c r="AK183" s="17">
        <v>5980.6551778991397</v>
      </c>
      <c r="AL183" s="18">
        <v>0.18530003455070601</v>
      </c>
      <c r="AM183" s="17">
        <v>36265.2048380454</v>
      </c>
      <c r="AN183" s="18">
        <v>2.93513734380129E-2</v>
      </c>
      <c r="AO183" s="17">
        <v>13149.019346519701</v>
      </c>
      <c r="AP183" s="18">
        <v>4.1094165949008499E-2</v>
      </c>
      <c r="AQ183" s="17">
        <v>8146.2166360804404</v>
      </c>
      <c r="AR183" s="18">
        <v>4.8064712439603897E-2</v>
      </c>
      <c r="AS183" s="17">
        <v>14581.0776695363</v>
      </c>
      <c r="AT183" s="18">
        <v>4.06108984785674E-2</v>
      </c>
      <c r="AU183" s="17">
        <v>2275.4867919307198</v>
      </c>
      <c r="AV183" s="18">
        <v>0.49239195204057001</v>
      </c>
      <c r="AW183" s="17">
        <v>2514.1845677841802</v>
      </c>
      <c r="AX183" s="18">
        <v>2.1182040286379201E-2</v>
      </c>
      <c r="AY183" s="17">
        <v>628.31773779514504</v>
      </c>
      <c r="AZ183" s="18">
        <v>5.0516083303742097E-2</v>
      </c>
      <c r="BA183" s="17">
        <v>4785.8135232574004</v>
      </c>
      <c r="BB183" s="18">
        <v>-6.79083155009753E-2</v>
      </c>
      <c r="BC183" s="17">
        <v>9169.6855134507205</v>
      </c>
      <c r="BD183" s="18">
        <v>-1.99543242710962E-2</v>
      </c>
      <c r="BE183" s="17">
        <v>-4383.87199019331</v>
      </c>
      <c r="BF183" s="18">
        <v>3.8365226515491901E-2</v>
      </c>
      <c r="BG183" s="17"/>
      <c r="BH183" s="18"/>
    </row>
    <row r="184" spans="1:60" x14ac:dyDescent="0.2">
      <c r="A184" s="16">
        <v>2023</v>
      </c>
      <c r="B184" s="16">
        <v>1</v>
      </c>
      <c r="C184" s="17">
        <v>207392.577930439</v>
      </c>
      <c r="D184" s="18">
        <v>3.8846211292723497E-2</v>
      </c>
      <c r="E184" s="17">
        <v>201595.59352518001</v>
      </c>
      <c r="F184" s="18">
        <v>4.05793039309639E-2</v>
      </c>
      <c r="G184" s="17">
        <v>1257.58583381222</v>
      </c>
      <c r="H184" s="18">
        <v>5.3525822987706903E-2</v>
      </c>
      <c r="I184" s="17">
        <v>156.84920168768599</v>
      </c>
      <c r="J184" s="18">
        <v>-2.7620453972513399E-2</v>
      </c>
      <c r="K184" s="17">
        <v>41072.720308004202</v>
      </c>
      <c r="L184" s="18">
        <v>-1.65150729034524E-3</v>
      </c>
      <c r="M184" s="17">
        <v>15196.8749928913</v>
      </c>
      <c r="N184" s="18">
        <v>-7.5573650963030495E-2</v>
      </c>
      <c r="O184" s="17">
        <v>25875.845315112801</v>
      </c>
      <c r="P184" s="18">
        <v>4.7545047395609198E-2</v>
      </c>
      <c r="Q184" s="17">
        <v>3256.4516197866801</v>
      </c>
      <c r="R184" s="18">
        <v>0.358885742101405</v>
      </c>
      <c r="S184" s="17">
        <v>667.25439680738702</v>
      </c>
      <c r="T184" s="18">
        <v>2.6737503714051598E-2</v>
      </c>
      <c r="U184" s="17">
        <v>8930.2309967755209</v>
      </c>
      <c r="V184" s="18">
        <v>4.8104210453790798E-2</v>
      </c>
      <c r="W184" s="17">
        <v>30554.049324014599</v>
      </c>
      <c r="X184" s="18">
        <v>1.6390354291511599E-2</v>
      </c>
      <c r="Y184" s="17">
        <v>6254.57526060088</v>
      </c>
      <c r="Z184" s="18">
        <v>2.8942147105957002E-2</v>
      </c>
      <c r="AA184" s="17">
        <v>7671.87470528623</v>
      </c>
      <c r="AB184" s="18">
        <v>8.0225034091908606E-2</v>
      </c>
      <c r="AC184" s="17">
        <v>3614.82112161137</v>
      </c>
      <c r="AD184" s="18">
        <v>0.24645735082885101</v>
      </c>
      <c r="AE184" s="17">
        <v>9307.8381670226609</v>
      </c>
      <c r="AF184" s="18">
        <v>7.05345044862489E-2</v>
      </c>
      <c r="AG184" s="17">
        <v>17821.844771007702</v>
      </c>
      <c r="AH184" s="18">
        <v>9.9220358773000297E-2</v>
      </c>
      <c r="AI184" s="17">
        <v>8144.1308526814601</v>
      </c>
      <c r="AJ184" s="18">
        <v>0.10499749638349699</v>
      </c>
      <c r="AK184" s="17">
        <v>6075.0335723703101</v>
      </c>
      <c r="AL184" s="18">
        <v>0.12881403682109399</v>
      </c>
      <c r="AM184" s="17">
        <v>36585.948116681197</v>
      </c>
      <c r="AN184" s="18">
        <v>3.64203180815088E-2</v>
      </c>
      <c r="AO184" s="17">
        <v>13201.982875259901</v>
      </c>
      <c r="AP184" s="18">
        <v>3.5434948480214799E-2</v>
      </c>
      <c r="AQ184" s="17">
        <v>8277.0608351960109</v>
      </c>
      <c r="AR184" s="18">
        <v>5.7475767535746902E-2</v>
      </c>
      <c r="AS184" s="17">
        <v>14576.6711600042</v>
      </c>
      <c r="AT184" s="18">
        <v>2.8969300371350901E-2</v>
      </c>
      <c r="AU184" s="17">
        <v>1412.88599853596</v>
      </c>
      <c r="AV184" s="18">
        <v>-0.11744807529130501</v>
      </c>
      <c r="AW184" s="17">
        <v>2594.64267686009</v>
      </c>
      <c r="AX184" s="18">
        <v>5.3676894075429298E-2</v>
      </c>
      <c r="AY184" s="17">
        <v>634.88141682670096</v>
      </c>
      <c r="AZ184" s="18">
        <v>7.0444507207805304E-2</v>
      </c>
      <c r="BA184" s="17">
        <v>5796.9844052583303</v>
      </c>
      <c r="BB184" s="18">
        <v>-1.80291405827749E-2</v>
      </c>
      <c r="BC184" s="17">
        <v>10258.8760113808</v>
      </c>
      <c r="BD184" s="18">
        <v>6.6413213394682603E-3</v>
      </c>
      <c r="BE184" s="17">
        <v>-4461.89160612245</v>
      </c>
      <c r="BF184" s="18">
        <v>4.0607666515167597E-2</v>
      </c>
      <c r="BG184" s="17"/>
      <c r="BH184" s="18"/>
    </row>
    <row r="185" spans="1:60" x14ac:dyDescent="0.2">
      <c r="A185" s="16">
        <v>2023</v>
      </c>
      <c r="B185" s="16">
        <v>2</v>
      </c>
      <c r="C185" s="17">
        <v>207764.86587616199</v>
      </c>
      <c r="D185" s="18">
        <v>1.7421392516913499E-2</v>
      </c>
      <c r="E185" s="17">
        <v>202565.24351459899</v>
      </c>
      <c r="F185" s="18">
        <v>1.9813134582278302E-2</v>
      </c>
      <c r="G185" s="17">
        <v>1244.8336751080999</v>
      </c>
      <c r="H185" s="18">
        <v>3.49072421939833E-2</v>
      </c>
      <c r="I185" s="17">
        <v>178.70118417702</v>
      </c>
      <c r="J185" s="18">
        <v>4.1299393807751897E-2</v>
      </c>
      <c r="K185" s="17">
        <v>40462.546888619203</v>
      </c>
      <c r="L185" s="18">
        <v>-1.7877517315264699E-2</v>
      </c>
      <c r="M185" s="17">
        <v>14467.792807390701</v>
      </c>
      <c r="N185" s="18">
        <v>-7.1228478065019099E-2</v>
      </c>
      <c r="O185" s="17">
        <v>25994.754081228599</v>
      </c>
      <c r="P185" s="18">
        <v>1.4558460779329201E-2</v>
      </c>
      <c r="Q185" s="17">
        <v>3404.8053709688702</v>
      </c>
      <c r="R185" s="18">
        <v>0.40059309450511499</v>
      </c>
      <c r="S185" s="17">
        <v>668.508411495308</v>
      </c>
      <c r="T185" s="18">
        <v>1.16809420008397E-2</v>
      </c>
      <c r="U185" s="17">
        <v>9365.3478752995597</v>
      </c>
      <c r="V185" s="18">
        <v>4.1151099175428502E-2</v>
      </c>
      <c r="W185" s="17">
        <v>30974.971466979801</v>
      </c>
      <c r="X185" s="18">
        <v>-3.8587047372373999E-2</v>
      </c>
      <c r="Y185" s="17">
        <v>6661.3459778424303</v>
      </c>
      <c r="Z185" s="18">
        <v>2.1179421693813701E-2</v>
      </c>
      <c r="AA185" s="17">
        <v>7444.4226412484204</v>
      </c>
      <c r="AB185" s="18">
        <v>3.91181938152763E-2</v>
      </c>
      <c r="AC185" s="17">
        <v>3690.1961774976198</v>
      </c>
      <c r="AD185" s="18">
        <v>0.12548142574085999</v>
      </c>
      <c r="AE185" s="17">
        <v>9206.7961588848593</v>
      </c>
      <c r="AF185" s="18">
        <v>4.8552864230087901E-2</v>
      </c>
      <c r="AG185" s="17">
        <v>18016.067317109799</v>
      </c>
      <c r="AH185" s="18">
        <v>7.7735108528029104E-2</v>
      </c>
      <c r="AI185" s="17">
        <v>8159.3766301826699</v>
      </c>
      <c r="AJ185" s="18">
        <v>7.8596887590665299E-2</v>
      </c>
      <c r="AK185" s="17">
        <v>6182.08825749679</v>
      </c>
      <c r="AL185" s="18">
        <v>9.5548474650902507E-2</v>
      </c>
      <c r="AM185" s="17">
        <v>37056.887074169703</v>
      </c>
      <c r="AN185" s="18">
        <v>3.9399179615071202E-2</v>
      </c>
      <c r="AO185" s="17">
        <v>13184.869586086799</v>
      </c>
      <c r="AP185" s="18">
        <v>3.0893074304574102E-2</v>
      </c>
      <c r="AQ185" s="17">
        <v>8292.8611348482409</v>
      </c>
      <c r="AR185" s="18">
        <v>5.6693967332900601E-2</v>
      </c>
      <c r="AS185" s="17">
        <v>14642.9200010642</v>
      </c>
      <c r="AT185" s="18">
        <v>2.7266979834727801E-2</v>
      </c>
      <c r="AU185" s="17">
        <v>1435.3886858752901</v>
      </c>
      <c r="AV185" s="18">
        <v>-0.331433603868803</v>
      </c>
      <c r="AW185" s="17">
        <v>2643.9744080525402</v>
      </c>
      <c r="AX185" s="18">
        <v>5.5387931237528297E-2</v>
      </c>
      <c r="AY185" s="17">
        <v>651.14545711368999</v>
      </c>
      <c r="AZ185" s="18">
        <v>5.9225093155201899E-2</v>
      </c>
      <c r="BA185" s="17">
        <v>5199.6223615627896</v>
      </c>
      <c r="BB185" s="18">
        <v>-6.7754584643041599E-2</v>
      </c>
      <c r="BC185" s="17">
        <v>9712.3670819258095</v>
      </c>
      <c r="BD185" s="18">
        <v>-1.8210420885426799E-2</v>
      </c>
      <c r="BE185" s="17">
        <v>-4512.74472036302</v>
      </c>
      <c r="BF185" s="18">
        <v>4.5830031462916802E-2</v>
      </c>
      <c r="BG185" s="17"/>
      <c r="BH185" s="18"/>
    </row>
    <row r="186" spans="1:60" x14ac:dyDescent="0.2">
      <c r="A186" s="16">
        <v>2023</v>
      </c>
      <c r="B186" s="16">
        <v>3</v>
      </c>
      <c r="C186" s="17">
        <v>207293.36781984899</v>
      </c>
      <c r="D186" s="18">
        <v>1.06057234147996E-2</v>
      </c>
      <c r="E186" s="17">
        <v>202117.868923428</v>
      </c>
      <c r="F186" s="18">
        <v>1.1759448123326501E-2</v>
      </c>
      <c r="G186" s="17">
        <v>1279.5723029180101</v>
      </c>
      <c r="H186" s="18">
        <v>3.6022078407150299E-2</v>
      </c>
      <c r="I186" s="17">
        <v>172.613126484107</v>
      </c>
      <c r="J186" s="18">
        <v>5.0897874836696597E-2</v>
      </c>
      <c r="K186" s="17">
        <v>39533.474207680702</v>
      </c>
      <c r="L186" s="18">
        <v>-1.45494826758803E-2</v>
      </c>
      <c r="M186" s="17">
        <v>14639.6147069567</v>
      </c>
      <c r="N186" s="18">
        <v>-3.0985998445864599E-2</v>
      </c>
      <c r="O186" s="17">
        <v>24893.859500724</v>
      </c>
      <c r="P186" s="18">
        <v>-4.6204755123002697E-3</v>
      </c>
      <c r="Q186" s="17">
        <v>3741.32118696711</v>
      </c>
      <c r="R186" s="18">
        <v>0.40469966522492801</v>
      </c>
      <c r="S186" s="17">
        <v>661.79670922582</v>
      </c>
      <c r="T186" s="18">
        <v>2.0939025428638999E-2</v>
      </c>
      <c r="U186" s="17">
        <v>9481.0744776785396</v>
      </c>
      <c r="V186" s="18">
        <v>4.1846264921950399E-2</v>
      </c>
      <c r="W186" s="17">
        <v>29484.019164880701</v>
      </c>
      <c r="X186" s="18">
        <v>-6.2679214750408399E-2</v>
      </c>
      <c r="Y186" s="17">
        <v>6436.3459198985702</v>
      </c>
      <c r="Z186" s="18">
        <v>1.18514870886788E-2</v>
      </c>
      <c r="AA186" s="17">
        <v>7428.0950140722498</v>
      </c>
      <c r="AB186" s="18">
        <v>2.1847862302856399E-2</v>
      </c>
      <c r="AC186" s="17">
        <v>4216.9899819080902</v>
      </c>
      <c r="AD186" s="18">
        <v>8.4592909986955594E-2</v>
      </c>
      <c r="AE186" s="17">
        <v>9470.6456727799505</v>
      </c>
      <c r="AF186" s="18">
        <v>3.14591388923839E-2</v>
      </c>
      <c r="AG186" s="17">
        <v>17869.1831211143</v>
      </c>
      <c r="AH186" s="18">
        <v>4.51013822861197E-2</v>
      </c>
      <c r="AI186" s="17">
        <v>7930.76835552586</v>
      </c>
      <c r="AJ186" s="18">
        <v>2.1413978056932698E-2</v>
      </c>
      <c r="AK186" s="17">
        <v>6310.73870587906</v>
      </c>
      <c r="AL186" s="18">
        <v>8.07058779319689E-2</v>
      </c>
      <c r="AM186" s="17">
        <v>37373.409530959099</v>
      </c>
      <c r="AN186" s="18">
        <v>3.3058345651880497E-2</v>
      </c>
      <c r="AO186" s="17">
        <v>13339.1824133019</v>
      </c>
      <c r="AP186" s="18">
        <v>2.9360819954618901E-2</v>
      </c>
      <c r="AQ186" s="17">
        <v>8439.3154459673096</v>
      </c>
      <c r="AR186" s="18">
        <v>6.0200208334187003E-2</v>
      </c>
      <c r="AS186" s="17">
        <v>14880.473575882501</v>
      </c>
      <c r="AT186" s="18">
        <v>2.6680389022572599E-2</v>
      </c>
      <c r="AU186" s="17">
        <v>1450.39451738189</v>
      </c>
      <c r="AV186" s="18">
        <v>-0.35278929828438699</v>
      </c>
      <c r="AW186" s="17">
        <v>2636.1397249522802</v>
      </c>
      <c r="AX186" s="18">
        <v>5.6199526087875797E-2</v>
      </c>
      <c r="AY186" s="17">
        <v>660.16874927367599</v>
      </c>
      <c r="AZ186" s="18">
        <v>6.3829977490413206E-2</v>
      </c>
      <c r="BA186" s="17">
        <v>5175.4988964207896</v>
      </c>
      <c r="BB186" s="18">
        <v>-3.2480377761773503E-2</v>
      </c>
      <c r="BC186" s="17">
        <v>9678.9566398434508</v>
      </c>
      <c r="BD186" s="18">
        <v>1.23463838457449E-3</v>
      </c>
      <c r="BE186" s="17">
        <v>-4503.4577434226603</v>
      </c>
      <c r="BF186" s="18">
        <v>4.3003785073440999E-2</v>
      </c>
      <c r="BG186" s="17"/>
      <c r="BH186" s="18"/>
    </row>
    <row r="187" spans="1:60" x14ac:dyDescent="0.2">
      <c r="A187" s="16">
        <v>2023</v>
      </c>
      <c r="B187" s="16">
        <v>4</v>
      </c>
      <c r="C187" s="17">
        <v>211738.99966246501</v>
      </c>
      <c r="D187" s="18">
        <v>4.7355163824713796E-3</v>
      </c>
      <c r="E187" s="17">
        <v>207277.15951174701</v>
      </c>
      <c r="F187" s="18">
        <v>6.4185845433908399E-3</v>
      </c>
      <c r="G187" s="17">
        <v>1301.4994086106201</v>
      </c>
      <c r="H187" s="18">
        <v>2.4780790736685699E-2</v>
      </c>
      <c r="I187" s="17">
        <v>168.473701730958</v>
      </c>
      <c r="J187" s="18">
        <v>7.2419423392251894E-2</v>
      </c>
      <c r="K187" s="17">
        <v>40401.909743292301</v>
      </c>
      <c r="L187" s="18">
        <v>-1.1195301895679599E-2</v>
      </c>
      <c r="M187" s="17">
        <v>14366.840993809699</v>
      </c>
      <c r="N187" s="18">
        <v>-3.0300446668008699E-2</v>
      </c>
      <c r="O187" s="17">
        <v>26035.068749482602</v>
      </c>
      <c r="P187" s="18">
        <v>-3.2669733714763E-4</v>
      </c>
      <c r="Q187" s="17">
        <v>3279.0763686996402</v>
      </c>
      <c r="R187" s="18">
        <v>0.11620506363951499</v>
      </c>
      <c r="S187" s="17">
        <v>659.53711054013502</v>
      </c>
      <c r="T187" s="18">
        <v>6.3428180203510803E-3</v>
      </c>
      <c r="U187" s="17">
        <v>9550.9996291465704</v>
      </c>
      <c r="V187" s="18">
        <v>2.8538663073805801E-2</v>
      </c>
      <c r="W187" s="17">
        <v>32318.124746913199</v>
      </c>
      <c r="X187" s="18">
        <v>-6.14903672162233E-2</v>
      </c>
      <c r="Y187" s="17">
        <v>7234.9130257797096</v>
      </c>
      <c r="Z187" s="18">
        <v>5.5855527776307303E-3</v>
      </c>
      <c r="AA187" s="17">
        <v>7648.1367634694898</v>
      </c>
      <c r="AB187" s="18">
        <v>4.1281449206014304E-3</v>
      </c>
      <c r="AC187" s="17">
        <v>3532.8703020615098</v>
      </c>
      <c r="AD187" s="18">
        <v>5.6501506002125702E-2</v>
      </c>
      <c r="AE187" s="17">
        <v>10471.6227939739</v>
      </c>
      <c r="AF187" s="18">
        <v>5.8882397542345803E-2</v>
      </c>
      <c r="AG187" s="17">
        <v>17874.4736311741</v>
      </c>
      <c r="AH187" s="18">
        <v>-3.9106794373602299E-3</v>
      </c>
      <c r="AI187" s="17">
        <v>7850.1150510532098</v>
      </c>
      <c r="AJ187" s="18">
        <v>-6.9916089236890994E-2</v>
      </c>
      <c r="AK187" s="17">
        <v>6469.5951030100296</v>
      </c>
      <c r="AL187" s="18">
        <v>8.1753572236987496E-2</v>
      </c>
      <c r="AM187" s="17">
        <v>37933.771824592499</v>
      </c>
      <c r="AN187" s="18">
        <v>4.6010135445219397E-2</v>
      </c>
      <c r="AO187" s="17">
        <v>13556.5277335841</v>
      </c>
      <c r="AP187" s="18">
        <v>3.0991542131412898E-2</v>
      </c>
      <c r="AQ187" s="17">
        <v>8655.5238645422396</v>
      </c>
      <c r="AR187" s="18">
        <v>6.2520707613646004E-2</v>
      </c>
      <c r="AS187" s="17">
        <v>15204.963654712499</v>
      </c>
      <c r="AT187" s="18">
        <v>4.2787371366912699E-2</v>
      </c>
      <c r="AU187" s="17">
        <v>1441.7580048638099</v>
      </c>
      <c r="AV187" s="18">
        <v>-0.36639579276990802</v>
      </c>
      <c r="AW187" s="17">
        <v>2629.5994971096002</v>
      </c>
      <c r="AX187" s="18">
        <v>4.5905511792689001E-2</v>
      </c>
      <c r="AY187" s="17">
        <v>648.29073272945004</v>
      </c>
      <c r="AZ187" s="18">
        <v>3.17880488371916E-2</v>
      </c>
      <c r="BA187" s="17">
        <v>4461.8401507180997</v>
      </c>
      <c r="BB187" s="18">
        <v>-6.7694524862889197E-2</v>
      </c>
      <c r="BC187" s="17">
        <v>9058.6779856999692</v>
      </c>
      <c r="BD187" s="18">
        <v>-1.2105925289140699E-2</v>
      </c>
      <c r="BE187" s="17">
        <v>-4596.8378349818604</v>
      </c>
      <c r="BF187" s="18">
        <v>4.8579394029970101E-2</v>
      </c>
      <c r="BG187" s="17"/>
      <c r="BH187" s="18"/>
    </row>
    <row r="188" spans="1:60" x14ac:dyDescent="0.2">
      <c r="A188" s="16">
        <v>2024</v>
      </c>
      <c r="B188" s="16">
        <v>1</v>
      </c>
      <c r="C188" s="17">
        <v>208817.70960822399</v>
      </c>
      <c r="D188" s="18">
        <v>6.8716619080901901E-3</v>
      </c>
      <c r="E188" s="17">
        <v>202835.897469227</v>
      </c>
      <c r="F188" s="18">
        <v>6.1524357867066603E-3</v>
      </c>
      <c r="G188" s="17">
        <v>1294.7784162979301</v>
      </c>
      <c r="H188" s="18">
        <v>2.95745876629065E-2</v>
      </c>
      <c r="I188" s="17">
        <v>167.537075728541</v>
      </c>
      <c r="J188" s="18">
        <v>6.8141080259599404E-2</v>
      </c>
      <c r="K188" s="17">
        <v>39444.942762285697</v>
      </c>
      <c r="L188" s="18">
        <v>-3.9631598138905502E-2</v>
      </c>
      <c r="M188" s="17">
        <v>15080.354521125601</v>
      </c>
      <c r="N188" s="18">
        <v>-7.66739687075113E-3</v>
      </c>
      <c r="O188" s="17">
        <v>24364.58824116</v>
      </c>
      <c r="P188" s="18">
        <v>-5.8404162474651099E-2</v>
      </c>
      <c r="Q188" s="17">
        <v>3131.3589487086001</v>
      </c>
      <c r="R188" s="18">
        <v>-3.8413796881854499E-2</v>
      </c>
      <c r="S188" s="17">
        <v>654.66581335767</v>
      </c>
      <c r="T188" s="18">
        <v>-1.88662427852841E-2</v>
      </c>
      <c r="U188" s="17">
        <v>9130.6458071908</v>
      </c>
      <c r="V188" s="18">
        <v>2.2442287381775599E-2</v>
      </c>
      <c r="W188" s="17">
        <v>28987.033895460099</v>
      </c>
      <c r="X188" s="18">
        <v>-5.1286669466848199E-2</v>
      </c>
      <c r="Y188" s="17">
        <v>6429.3879611775101</v>
      </c>
      <c r="Z188" s="18">
        <v>2.7949571840284501E-2</v>
      </c>
      <c r="AA188" s="17">
        <v>7576.8509136787798</v>
      </c>
      <c r="AB188" s="18">
        <v>-1.2385993679221E-2</v>
      </c>
      <c r="AC188" s="17">
        <v>3832.6090155535298</v>
      </c>
      <c r="AD188" s="18">
        <v>6.0248595052216899E-2</v>
      </c>
      <c r="AE188" s="17">
        <v>9824.8877374675103</v>
      </c>
      <c r="AF188" s="18">
        <v>5.5549909782137301E-2</v>
      </c>
      <c r="AG188" s="17">
        <v>17963.0705988144</v>
      </c>
      <c r="AH188" s="18">
        <v>7.9243102844479604E-3</v>
      </c>
      <c r="AI188" s="17">
        <v>7725.9032495791198</v>
      </c>
      <c r="AJ188" s="18">
        <v>-5.13532518899351E-2</v>
      </c>
      <c r="AK188" s="17">
        <v>6668.0906548988196</v>
      </c>
      <c r="AL188" s="18">
        <v>9.7622025535097495E-2</v>
      </c>
      <c r="AM188" s="17">
        <v>38137.534621480903</v>
      </c>
      <c r="AN188" s="18">
        <v>4.2409356178259201E-2</v>
      </c>
      <c r="AO188" s="17">
        <v>13599.2588336521</v>
      </c>
      <c r="AP188" s="18">
        <v>3.0092143138334498E-2</v>
      </c>
      <c r="AQ188" s="17">
        <v>8685.3885186438401</v>
      </c>
      <c r="AR188" s="18">
        <v>4.9332449232645903E-2</v>
      </c>
      <c r="AS188" s="17">
        <v>15401.7842094961</v>
      </c>
      <c r="AT188" s="18">
        <v>5.6605039685318999E-2</v>
      </c>
      <c r="AU188" s="17">
        <v>1714.5287831840999</v>
      </c>
      <c r="AV188" s="18">
        <v>0.21349407168072901</v>
      </c>
      <c r="AW188" s="17">
        <v>2650.8143690186398</v>
      </c>
      <c r="AX188" s="18">
        <v>2.16491051579113E-2</v>
      </c>
      <c r="AY188" s="17">
        <v>638.20714920782905</v>
      </c>
      <c r="AZ188" s="18">
        <v>5.2383520654149E-3</v>
      </c>
      <c r="BA188" s="17">
        <v>5981.8121389968801</v>
      </c>
      <c r="BB188" s="18">
        <v>3.1883427799271197E-2</v>
      </c>
      <c r="BC188" s="17">
        <v>10647.890124674799</v>
      </c>
      <c r="BD188" s="18">
        <v>3.7919759714658101E-2</v>
      </c>
      <c r="BE188" s="17">
        <v>-4666.07798567793</v>
      </c>
      <c r="BF188" s="18">
        <v>4.5762290431999003E-2</v>
      </c>
      <c r="BG188" s="17"/>
      <c r="BH188" s="18"/>
    </row>
    <row r="189" spans="1:60" x14ac:dyDescent="0.2">
      <c r="A189" s="16">
        <v>2024</v>
      </c>
      <c r="B189" s="16">
        <v>2</v>
      </c>
      <c r="C189" s="17">
        <v>213160.36547572399</v>
      </c>
      <c r="D189" s="18">
        <v>2.5969258935138399E-2</v>
      </c>
      <c r="E189" s="17">
        <v>207781.94489316401</v>
      </c>
      <c r="F189" s="18">
        <v>2.5753190863610199E-2</v>
      </c>
      <c r="G189" s="17">
        <v>1267.59402634105</v>
      </c>
      <c r="H189" s="18">
        <v>1.8283849230679598E-2</v>
      </c>
      <c r="I189" s="17">
        <v>180.17299189999099</v>
      </c>
      <c r="J189" s="18">
        <v>8.2361386117764095E-3</v>
      </c>
      <c r="K189" s="17">
        <v>41422.8088984559</v>
      </c>
      <c r="L189" s="18">
        <v>2.37321197916678E-2</v>
      </c>
      <c r="M189" s="17">
        <v>16381.7305949771</v>
      </c>
      <c r="N189" s="18">
        <v>0.13228954914316601</v>
      </c>
      <c r="O189" s="17">
        <v>25041.0783034788</v>
      </c>
      <c r="P189" s="18">
        <v>-3.6687239847305902E-2</v>
      </c>
      <c r="Q189" s="17">
        <v>2998.9581311823799</v>
      </c>
      <c r="R189" s="18">
        <v>-0.119198366886684</v>
      </c>
      <c r="S189" s="17">
        <v>650.13855450931999</v>
      </c>
      <c r="T189" s="18">
        <v>-2.7478871873726302E-2</v>
      </c>
      <c r="U189" s="17">
        <v>9583.9423434669006</v>
      </c>
      <c r="V189" s="18">
        <v>2.3340773997714299E-2</v>
      </c>
      <c r="W189" s="17">
        <v>29956.138266632101</v>
      </c>
      <c r="X189" s="18">
        <v>-3.2892143304597998E-2</v>
      </c>
      <c r="Y189" s="17">
        <v>6681.1563248299899</v>
      </c>
      <c r="Z189" s="18">
        <v>2.9739255479967999E-3</v>
      </c>
      <c r="AA189" s="17">
        <v>7526.1443122447299</v>
      </c>
      <c r="AB189" s="18">
        <v>1.0977570045996201E-2</v>
      </c>
      <c r="AC189" s="17">
        <v>3794.9718237631701</v>
      </c>
      <c r="AD189" s="18">
        <v>2.8392974580717201E-2</v>
      </c>
      <c r="AE189" s="17">
        <v>9876.7598729707697</v>
      </c>
      <c r="AF189" s="18">
        <v>7.2768387886961203E-2</v>
      </c>
      <c r="AG189" s="17">
        <v>18404.629677742199</v>
      </c>
      <c r="AH189" s="18">
        <v>2.1567546001751901E-2</v>
      </c>
      <c r="AI189" s="17">
        <v>8012.1708478876599</v>
      </c>
      <c r="AJ189" s="18">
        <v>-1.8041302536577899E-2</v>
      </c>
      <c r="AK189" s="17">
        <v>6790.4733055475599</v>
      </c>
      <c r="AL189" s="18">
        <v>9.8410928914352006E-2</v>
      </c>
      <c r="AM189" s="17">
        <v>38784.082275210298</v>
      </c>
      <c r="AN189" s="18">
        <v>4.66092901323178E-2</v>
      </c>
      <c r="AO189" s="17">
        <v>13581.391520900601</v>
      </c>
      <c r="AP189" s="18">
        <v>3.00740126570689E-2</v>
      </c>
      <c r="AQ189" s="17">
        <v>8665.4518328926697</v>
      </c>
      <c r="AR189" s="18">
        <v>4.49290892474652E-2</v>
      </c>
      <c r="AS189" s="17">
        <v>15630.7684724215</v>
      </c>
      <c r="AT189" s="18">
        <v>6.7462532833996794E-2</v>
      </c>
      <c r="AU189" s="17">
        <v>2173.7577982604998</v>
      </c>
      <c r="AV189" s="18">
        <v>0.51440360346365499</v>
      </c>
      <c r="AW189" s="17">
        <v>2642.5338392406002</v>
      </c>
      <c r="AX189" s="18">
        <v>-5.4484975631907695E-4</v>
      </c>
      <c r="AY189" s="17">
        <v>641.70025502954297</v>
      </c>
      <c r="AZ189" s="18">
        <v>-1.4505517900737201E-2</v>
      </c>
      <c r="BA189" s="17">
        <v>5378.4205825599902</v>
      </c>
      <c r="BB189" s="18">
        <v>3.4386770531440201E-2</v>
      </c>
      <c r="BC189" s="17">
        <v>10081.728062382401</v>
      </c>
      <c r="BD189" s="18">
        <v>3.8029965027164499E-2</v>
      </c>
      <c r="BE189" s="17">
        <v>-4703.3074798224397</v>
      </c>
      <c r="BF189" s="18">
        <v>4.2227684318045598E-2</v>
      </c>
      <c r="BG189" s="17"/>
      <c r="BH189" s="18"/>
    </row>
    <row r="190" spans="1:60" x14ac:dyDescent="0.2">
      <c r="A190" s="16">
        <v>2024</v>
      </c>
      <c r="B190" s="16">
        <v>3</v>
      </c>
      <c r="C190" s="17">
        <v>214032.611491252</v>
      </c>
      <c r="D190" s="18">
        <v>3.2510657443030701E-2</v>
      </c>
      <c r="E190" s="17">
        <v>208655.32805797001</v>
      </c>
      <c r="F190" s="18">
        <v>3.2344785591513998E-2</v>
      </c>
      <c r="G190" s="17">
        <v>1305.43905681568</v>
      </c>
      <c r="H190" s="18">
        <v>2.02151561413779E-2</v>
      </c>
      <c r="I190" s="17">
        <v>176.44563150636299</v>
      </c>
      <c r="J190" s="18">
        <v>2.2202859656847301E-2</v>
      </c>
      <c r="K190" s="17">
        <v>40077.135753272698</v>
      </c>
      <c r="L190" s="18">
        <v>1.3751929383591001E-2</v>
      </c>
      <c r="M190" s="17">
        <v>16361.6386087681</v>
      </c>
      <c r="N190" s="18">
        <v>0.117627679162427</v>
      </c>
      <c r="O190" s="17">
        <v>23715.497144504599</v>
      </c>
      <c r="P190" s="18">
        <v>-4.7335462634274697E-2</v>
      </c>
      <c r="Q190" s="17">
        <v>3757.4451625736401</v>
      </c>
      <c r="R190" s="18">
        <v>4.3097009854951001E-3</v>
      </c>
      <c r="S190" s="17">
        <v>644.74718822244495</v>
      </c>
      <c r="T190" s="18">
        <v>-2.5762474738383299E-2</v>
      </c>
      <c r="U190" s="17">
        <v>9751.5646948732592</v>
      </c>
      <c r="V190" s="18">
        <v>2.8529489756834898E-2</v>
      </c>
      <c r="W190" s="17">
        <v>29026.576590291799</v>
      </c>
      <c r="X190" s="18">
        <v>-1.55149327515611E-2</v>
      </c>
      <c r="Y190" s="17">
        <v>6573.7778971021598</v>
      </c>
      <c r="Z190" s="18">
        <v>2.1352484610669901E-2</v>
      </c>
      <c r="AA190" s="17">
        <v>7670.4516668103097</v>
      </c>
      <c r="AB190" s="18">
        <v>3.26270264824184E-2</v>
      </c>
      <c r="AC190" s="17">
        <v>4230.6142924361102</v>
      </c>
      <c r="AD190" s="18">
        <v>3.2308140608516799E-3</v>
      </c>
      <c r="AE190" s="17">
        <v>10126.0465798101</v>
      </c>
      <c r="AF190" s="18">
        <v>6.9203402774727502E-2</v>
      </c>
      <c r="AG190" s="17">
        <v>18326.838419928201</v>
      </c>
      <c r="AH190" s="18">
        <v>2.5611428105694299E-2</v>
      </c>
      <c r="AI190" s="17">
        <v>7853.7837684010001</v>
      </c>
      <c r="AJ190" s="18">
        <v>-9.7070780123365008E-3</v>
      </c>
      <c r="AK190" s="17">
        <v>6841.7192462500698</v>
      </c>
      <c r="AL190" s="18">
        <v>8.4139205427147506E-2</v>
      </c>
      <c r="AM190" s="17">
        <v>39444.486957067398</v>
      </c>
      <c r="AN190" s="18">
        <v>5.5415801022721901E-2</v>
      </c>
      <c r="AO190" s="17">
        <v>13715.069743495</v>
      </c>
      <c r="AP190" s="18">
        <v>2.8179188090139001E-2</v>
      </c>
      <c r="AQ190" s="17">
        <v>8748.6936763927006</v>
      </c>
      <c r="AR190" s="18">
        <v>3.6659161801236601E-2</v>
      </c>
      <c r="AS190" s="17">
        <v>15804.639501709</v>
      </c>
      <c r="AT190" s="18">
        <v>6.2105948517952501E-2</v>
      </c>
      <c r="AU190" s="17">
        <v>2538.77244037637</v>
      </c>
      <c r="AV190" s="18">
        <v>0.75040129423483504</v>
      </c>
      <c r="AW190" s="17">
        <v>2674.4514321069601</v>
      </c>
      <c r="AX190" s="18">
        <v>1.4533261189475099E-2</v>
      </c>
      <c r="AY190" s="17">
        <v>635.90927028214003</v>
      </c>
      <c r="AZ190" s="18">
        <v>-3.6747390751570901E-2</v>
      </c>
      <c r="BA190" s="17">
        <v>5377.2834332820503</v>
      </c>
      <c r="BB190" s="18">
        <v>3.8988422353025E-2</v>
      </c>
      <c r="BC190" s="17">
        <v>10119.7278048356</v>
      </c>
      <c r="BD190" s="18">
        <v>4.553911969992E-2</v>
      </c>
      <c r="BE190" s="17">
        <v>-4742.4443715535599</v>
      </c>
      <c r="BF190" s="18">
        <v>5.3067363289894399E-2</v>
      </c>
      <c r="BG190" s="17"/>
      <c r="BH190" s="18"/>
    </row>
    <row r="191" spans="1:60" x14ac:dyDescent="0.2">
      <c r="A191" s="16">
        <v>2024</v>
      </c>
      <c r="B191" s="16">
        <v>4</v>
      </c>
      <c r="C191" s="17">
        <v>217946.298203721</v>
      </c>
      <c r="D191" s="18">
        <v>2.9315801770816802E-2</v>
      </c>
      <c r="E191" s="17">
        <v>213153.60306846999</v>
      </c>
      <c r="F191" s="18">
        <v>2.8350656534300099E-2</v>
      </c>
      <c r="G191" s="17">
        <v>1336.9863110573799</v>
      </c>
      <c r="H191" s="18">
        <v>2.7266168706626001E-2</v>
      </c>
      <c r="I191" s="17">
        <v>175.17606613116499</v>
      </c>
      <c r="J191" s="18">
        <v>3.9782852346360802E-2</v>
      </c>
      <c r="K191" s="17">
        <v>41874.174298963997</v>
      </c>
      <c r="L191" s="18">
        <v>3.6440469399248603E-2</v>
      </c>
      <c r="M191" s="17">
        <v>16848.5594351078</v>
      </c>
      <c r="N191" s="18">
        <v>0.17273932678501799</v>
      </c>
      <c r="O191" s="17">
        <v>25025.614863856201</v>
      </c>
      <c r="P191" s="18">
        <v>-3.8772852698785602E-2</v>
      </c>
      <c r="Q191" s="17">
        <v>2852.2567054655301</v>
      </c>
      <c r="R191" s="18">
        <v>-0.13016459979654799</v>
      </c>
      <c r="S191" s="17">
        <v>640.22384815320504</v>
      </c>
      <c r="T191" s="18">
        <v>-2.9283056371329001E-2</v>
      </c>
      <c r="U191" s="17">
        <v>9753.7796929521392</v>
      </c>
      <c r="V191" s="18">
        <v>2.12312921871287E-2</v>
      </c>
      <c r="W191" s="17">
        <v>31971.158683727299</v>
      </c>
      <c r="X191" s="18">
        <v>-1.0735959029276401E-2</v>
      </c>
      <c r="Y191" s="17">
        <v>7355.6948311755496</v>
      </c>
      <c r="Z191" s="18">
        <v>1.6694299567314701E-2</v>
      </c>
      <c r="AA191" s="17">
        <v>7871.0814924563801</v>
      </c>
      <c r="AB191" s="18">
        <v>2.9150201661110001E-2</v>
      </c>
      <c r="AC191" s="17">
        <v>3686.78816562462</v>
      </c>
      <c r="AD191" s="18">
        <v>4.3567368853959301E-2</v>
      </c>
      <c r="AE191" s="17">
        <v>10980.8970855267</v>
      </c>
      <c r="AF191" s="18">
        <v>4.8633750620380001E-2</v>
      </c>
      <c r="AG191" s="17">
        <v>18551.4678219735</v>
      </c>
      <c r="AH191" s="18">
        <v>3.7874916194382803E-2</v>
      </c>
      <c r="AI191" s="17">
        <v>8134.7796491107201</v>
      </c>
      <c r="AJ191" s="18">
        <v>3.6262474652434901E-2</v>
      </c>
      <c r="AK191" s="17">
        <v>6824.2641335507196</v>
      </c>
      <c r="AL191" s="18">
        <v>5.4820900673626202E-2</v>
      </c>
      <c r="AM191" s="17">
        <v>39570.279664431997</v>
      </c>
      <c r="AN191" s="18">
        <v>4.3141184256782199E-2</v>
      </c>
      <c r="AO191" s="17">
        <v>13936.6465351961</v>
      </c>
      <c r="AP191" s="18">
        <v>2.8039539997424898E-2</v>
      </c>
      <c r="AQ191" s="17">
        <v>8904.6098694516804</v>
      </c>
      <c r="AR191" s="18">
        <v>2.8777692581940101E-2</v>
      </c>
      <c r="AS191" s="17">
        <v>15875.430979029799</v>
      </c>
      <c r="AT191" s="18">
        <v>4.4095292796670002E-2</v>
      </c>
      <c r="AU191" s="17">
        <v>1865.1115443011599</v>
      </c>
      <c r="AV191" s="18">
        <v>0.29363703063146102</v>
      </c>
      <c r="AW191" s="17">
        <v>2673.9407682774099</v>
      </c>
      <c r="AX191" s="18">
        <v>1.68623667659464E-2</v>
      </c>
      <c r="AY191" s="17">
        <v>633.59353574948602</v>
      </c>
      <c r="AZ191" s="18">
        <v>-2.26706880693575E-2</v>
      </c>
      <c r="BA191" s="17">
        <v>4792.6951352510696</v>
      </c>
      <c r="BB191" s="18">
        <v>7.4152137538974899E-2</v>
      </c>
      <c r="BC191" s="17">
        <v>9556.9702524071399</v>
      </c>
      <c r="BD191" s="18">
        <v>5.5007172955455499E-2</v>
      </c>
      <c r="BE191" s="17">
        <v>-4764.2751171560703</v>
      </c>
      <c r="BF191" s="18">
        <v>3.6424448324022397E-2</v>
      </c>
      <c r="BG191" s="17"/>
      <c r="BH191" s="18"/>
    </row>
    <row r="192" spans="1:60" x14ac:dyDescent="0.2">
      <c r="A192" s="16">
        <v>2025</v>
      </c>
      <c r="B192" s="16">
        <v>1</v>
      </c>
      <c r="C192" s="17">
        <v>215933.88251769901</v>
      </c>
      <c r="D192" s="18">
        <v>3.4078397482792303E-2</v>
      </c>
      <c r="E192" s="17">
        <v>209964.238338164</v>
      </c>
      <c r="F192" s="18">
        <v>3.5143389103589301E-2</v>
      </c>
      <c r="G192" s="17">
        <v>1336.4559072348</v>
      </c>
      <c r="H192" s="18">
        <v>3.2188898434094802E-2</v>
      </c>
      <c r="I192" s="17">
        <v>168.42459958037099</v>
      </c>
      <c r="J192" s="18">
        <v>5.2974772776141999E-3</v>
      </c>
      <c r="K192" s="17">
        <v>42683.395677061497</v>
      </c>
      <c r="L192" s="18">
        <v>8.2100585981131E-2</v>
      </c>
      <c r="M192" s="17">
        <v>18503.375752473901</v>
      </c>
      <c r="N192" s="18">
        <v>0.22698546155218299</v>
      </c>
      <c r="O192" s="17">
        <v>24180.019924587599</v>
      </c>
      <c r="P192" s="18">
        <v>-7.5752692697115299E-3</v>
      </c>
      <c r="Q192" s="17">
        <v>2589.1401646777799</v>
      </c>
      <c r="R192" s="18">
        <v>-0.17315765867545699</v>
      </c>
      <c r="S192" s="17">
        <v>642.57887754816795</v>
      </c>
      <c r="T192" s="18">
        <v>-1.8462756971393199E-2</v>
      </c>
      <c r="U192" s="17">
        <v>9355.55627122847</v>
      </c>
      <c r="V192" s="18">
        <v>2.4632481511937001E-2</v>
      </c>
      <c r="W192" s="17">
        <v>29008.677466549801</v>
      </c>
      <c r="X192" s="18">
        <v>7.4666387626209896E-4</v>
      </c>
      <c r="Y192" s="17">
        <v>6423.9233921756604</v>
      </c>
      <c r="Z192" s="18">
        <v>-8.4993611131445302E-4</v>
      </c>
      <c r="AA192" s="17">
        <v>7751.2548127043201</v>
      </c>
      <c r="AB192" s="18">
        <v>2.3017992700725E-2</v>
      </c>
      <c r="AC192" s="17">
        <v>3847.7632117903599</v>
      </c>
      <c r="AD192" s="18">
        <v>3.9540157045319102E-3</v>
      </c>
      <c r="AE192" s="17">
        <v>10133.074718238</v>
      </c>
      <c r="AF192" s="18">
        <v>3.1367990047885798E-2</v>
      </c>
      <c r="AG192" s="17">
        <v>18651.384204029699</v>
      </c>
      <c r="AH192" s="18">
        <v>3.8318259755696103E-2</v>
      </c>
      <c r="AI192" s="17">
        <v>8218.0143815540996</v>
      </c>
      <c r="AJ192" s="18">
        <v>6.3696258686877893E-2</v>
      </c>
      <c r="AK192" s="17">
        <v>6737.9972051456798</v>
      </c>
      <c r="AL192" s="18">
        <v>1.04837432279812E-2</v>
      </c>
      <c r="AM192" s="17">
        <v>39895.253282374397</v>
      </c>
      <c r="AN192" s="18">
        <v>4.6088943040997601E-2</v>
      </c>
      <c r="AO192" s="17">
        <v>13966.8354579058</v>
      </c>
      <c r="AP192" s="18">
        <v>2.7029165982495301E-2</v>
      </c>
      <c r="AQ192" s="17">
        <v>8894.8313000006492</v>
      </c>
      <c r="AR192" s="18">
        <v>2.4114382552631802E-2</v>
      </c>
      <c r="AS192" s="17">
        <v>16021.4655830787</v>
      </c>
      <c r="AT192" s="18">
        <v>4.0234388766498402E-2</v>
      </c>
      <c r="AU192" s="17">
        <v>1716.01113082392</v>
      </c>
      <c r="AV192" s="18">
        <v>8.6458020090263198E-4</v>
      </c>
      <c r="AW192" s="17">
        <v>2669.14415915887</v>
      </c>
      <c r="AX192" s="18">
        <v>6.9147769660753396E-3</v>
      </c>
      <c r="AY192" s="17">
        <v>632.991514178231</v>
      </c>
      <c r="AZ192" s="18">
        <v>-8.1723231024155608E-3</v>
      </c>
      <c r="BA192" s="17">
        <v>5969.6441795354704</v>
      </c>
      <c r="BB192" s="18">
        <v>-2.0341594116744001E-3</v>
      </c>
      <c r="BC192" s="17">
        <v>10721.1830902736</v>
      </c>
      <c r="BD192" s="18">
        <v>6.8833322602470702E-3</v>
      </c>
      <c r="BE192" s="17">
        <v>-4751.5389107380797</v>
      </c>
      <c r="BF192" s="18">
        <v>1.8315365778811099E-2</v>
      </c>
      <c r="BG192" s="17"/>
      <c r="BH192" s="18"/>
    </row>
    <row r="193" spans="1:60" x14ac:dyDescent="0.2">
      <c r="A193" s="16">
        <v>2025</v>
      </c>
      <c r="B193" s="16">
        <v>2</v>
      </c>
      <c r="C193" s="17">
        <v>217323.32270700301</v>
      </c>
      <c r="D193" s="18">
        <v>1.9529696442340601E-2</v>
      </c>
      <c r="E193" s="17">
        <v>211732.07241471499</v>
      </c>
      <c r="F193" s="18">
        <v>1.9010927651011499E-2</v>
      </c>
      <c r="G193" s="17">
        <v>1331.38274747489</v>
      </c>
      <c r="H193" s="18">
        <v>5.03226741435219E-2</v>
      </c>
      <c r="I193" s="17">
        <v>185.52849918058601</v>
      </c>
      <c r="J193" s="18">
        <v>2.9724251254970701E-2</v>
      </c>
      <c r="K193" s="17">
        <v>42025.770371744497</v>
      </c>
      <c r="L193" s="18">
        <v>1.45562671707435E-2</v>
      </c>
      <c r="M193" s="17">
        <v>17167.955949104002</v>
      </c>
      <c r="N193" s="18">
        <v>4.7994035158164201E-2</v>
      </c>
      <c r="O193" s="17">
        <v>24857.814422640498</v>
      </c>
      <c r="P193" s="18">
        <v>-7.3185299218070403E-3</v>
      </c>
      <c r="Q193" s="17">
        <v>2832.0157215179802</v>
      </c>
      <c r="R193" s="18">
        <v>-5.5666802389992998E-2</v>
      </c>
      <c r="S193" s="17">
        <v>645.50836517027506</v>
      </c>
      <c r="T193" s="18">
        <v>-7.1218501147638502E-3</v>
      </c>
      <c r="U193" s="17">
        <v>9718.5253107665994</v>
      </c>
      <c r="V193" s="18">
        <v>1.40425476778292E-2</v>
      </c>
      <c r="W193" s="17">
        <v>30252.212681033299</v>
      </c>
      <c r="X193" s="18">
        <v>9.8835975373707807E-3</v>
      </c>
      <c r="Y193" s="17">
        <v>6769.9305727968103</v>
      </c>
      <c r="Z193" s="18">
        <v>1.3287258021026101E-2</v>
      </c>
      <c r="AA193" s="17">
        <v>7827.5766686881097</v>
      </c>
      <c r="AB193" s="18">
        <v>4.0051365471821102E-2</v>
      </c>
      <c r="AC193" s="17">
        <v>3913.0943161782802</v>
      </c>
      <c r="AD193" s="18">
        <v>3.1126052550760799E-2</v>
      </c>
      <c r="AE193" s="17">
        <v>10118.3825461791</v>
      </c>
      <c r="AF193" s="18">
        <v>2.4463758997482099E-2</v>
      </c>
      <c r="AG193" s="17">
        <v>18777.5716548442</v>
      </c>
      <c r="AH193" s="18">
        <v>2.0263487156877001E-2</v>
      </c>
      <c r="AI193" s="17">
        <v>8434.1600877078999</v>
      </c>
      <c r="AJ193" s="18">
        <v>5.2668527398100698E-2</v>
      </c>
      <c r="AK193" s="17">
        <v>6668.3779664675303</v>
      </c>
      <c r="AL193" s="18">
        <v>-1.7980387166867898E-2</v>
      </c>
      <c r="AM193" s="17">
        <v>40116.256157455398</v>
      </c>
      <c r="AN193" s="18">
        <v>3.43484698900971E-2</v>
      </c>
      <c r="AO193" s="17">
        <v>14080.392644206</v>
      </c>
      <c r="AP193" s="18">
        <v>3.6741531420949998E-2</v>
      </c>
      <c r="AQ193" s="17">
        <v>8897.4122000624102</v>
      </c>
      <c r="AR193" s="18">
        <v>2.6768409962104198E-2</v>
      </c>
      <c r="AS193" s="17">
        <v>16040.821713806001</v>
      </c>
      <c r="AT193" s="18">
        <v>2.6233722424328799E-2</v>
      </c>
      <c r="AU193" s="17">
        <v>1657.6785001267799</v>
      </c>
      <c r="AV193" s="18">
        <v>-0.23741343149945199</v>
      </c>
      <c r="AW193" s="17">
        <v>2667.70854686957</v>
      </c>
      <c r="AX193" s="18">
        <v>9.5267304641995006E-3</v>
      </c>
      <c r="AY193" s="17">
        <v>644.23376941063896</v>
      </c>
      <c r="AZ193" s="18">
        <v>3.9481274337014299E-3</v>
      </c>
      <c r="BA193" s="17">
        <v>5591.2502922888498</v>
      </c>
      <c r="BB193" s="18">
        <v>3.9571042550851802E-2</v>
      </c>
      <c r="BC193" s="17">
        <v>10335.526266496399</v>
      </c>
      <c r="BD193" s="18">
        <v>2.51740775533278E-2</v>
      </c>
      <c r="BE193" s="17">
        <v>-4744.2759742075596</v>
      </c>
      <c r="BF193" s="18">
        <v>8.7105711376254096E-3</v>
      </c>
      <c r="BG193" s="17"/>
      <c r="BH193" s="18"/>
    </row>
    <row r="194" spans="1:60" x14ac:dyDescent="0.2">
      <c r="A194" s="16"/>
      <c r="B194" s="16"/>
      <c r="C194" s="17"/>
      <c r="D194" s="18"/>
      <c r="E194" s="17"/>
      <c r="F194" s="18"/>
      <c r="G194" s="17"/>
      <c r="H194" s="18"/>
      <c r="I194" s="17"/>
      <c r="J194" s="18"/>
      <c r="K194" s="17"/>
      <c r="L194" s="18"/>
      <c r="M194" s="17"/>
      <c r="N194" s="18"/>
      <c r="O194" s="17"/>
      <c r="P194" s="18"/>
      <c r="Q194" s="17"/>
      <c r="R194" s="18"/>
      <c r="S194" s="17"/>
      <c r="T194" s="18"/>
      <c r="U194" s="17"/>
      <c r="V194" s="18"/>
      <c r="W194" s="17"/>
      <c r="X194" s="18"/>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row>
  </sheetData>
  <sheetProtection password="DD0B" sheet="1"/>
  <mergeCells count="66">
    <mergeCell ref="BE11:BF11"/>
    <mergeCell ref="AW11:AX11"/>
    <mergeCell ref="AQ11:AR11"/>
    <mergeCell ref="AS11:AT11"/>
    <mergeCell ref="AU11:AV11"/>
    <mergeCell ref="AY11:AZ11"/>
    <mergeCell ref="BC11:BD11"/>
    <mergeCell ref="BA6:BB10"/>
    <mergeCell ref="AW6:AX10"/>
    <mergeCell ref="BC6:BD10"/>
    <mergeCell ref="BE6:BF10"/>
    <mergeCell ref="C11:D11"/>
    <mergeCell ref="E11:F11"/>
    <mergeCell ref="G11:H11"/>
    <mergeCell ref="I11:J11"/>
    <mergeCell ref="K11:L11"/>
    <mergeCell ref="U11:V11"/>
    <mergeCell ref="W11:X11"/>
    <mergeCell ref="AA11:AB11"/>
    <mergeCell ref="AG11:AH11"/>
    <mergeCell ref="AE11:AF11"/>
    <mergeCell ref="AM11:AN11"/>
    <mergeCell ref="AO11:AP11"/>
    <mergeCell ref="AO6:AP10"/>
    <mergeCell ref="AQ6:AR10"/>
    <mergeCell ref="AS6:AT10"/>
    <mergeCell ref="AU6:AV10"/>
    <mergeCell ref="AY6:AZ10"/>
    <mergeCell ref="Y6:Z7"/>
    <mergeCell ref="Y8:Z10"/>
    <mergeCell ref="Y11:Z11"/>
    <mergeCell ref="W6:X10"/>
    <mergeCell ref="C4:BF4"/>
    <mergeCell ref="C5:D10"/>
    <mergeCell ref="E5:AZ5"/>
    <mergeCell ref="BA5:BF5"/>
    <mergeCell ref="E6:F10"/>
    <mergeCell ref="G6:H10"/>
    <mergeCell ref="I6:J10"/>
    <mergeCell ref="K6:L10"/>
    <mergeCell ref="Q6:R10"/>
    <mergeCell ref="U6:V10"/>
    <mergeCell ref="AA6:AB10"/>
    <mergeCell ref="AM6:AN10"/>
    <mergeCell ref="S6:T10"/>
    <mergeCell ref="S11:T11"/>
    <mergeCell ref="M6:N7"/>
    <mergeCell ref="M8:N10"/>
    <mergeCell ref="M11:N11"/>
    <mergeCell ref="O6:P6"/>
    <mergeCell ref="O7:P7"/>
    <mergeCell ref="O11:P11"/>
    <mergeCell ref="O8:P10"/>
    <mergeCell ref="Q11:R11"/>
    <mergeCell ref="AC6:AD10"/>
    <mergeCell ref="AC11:AD11"/>
    <mergeCell ref="AE6:AF10"/>
    <mergeCell ref="AK6:AL6"/>
    <mergeCell ref="AK7:AL7"/>
    <mergeCell ref="AK11:AL11"/>
    <mergeCell ref="AI6:AJ6"/>
    <mergeCell ref="AI7:AJ7"/>
    <mergeCell ref="AI8:AJ10"/>
    <mergeCell ref="AK8:AL10"/>
    <mergeCell ref="AG6:AH10"/>
    <mergeCell ref="AI11:AJ11"/>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le04"/>
  <dimension ref="A1:BH194"/>
  <sheetViews>
    <sheetView showGridLines="0" tabSelected="1" zoomScaleNormal="100" workbookViewId="0">
      <pane xSplit="2" ySplit="11" topLeftCell="C173" activePane="bottomRight" state="frozen"/>
      <selection activeCell="AG1" sqref="AG1:AH1048576"/>
      <selection pane="topRight" activeCell="AG1" sqref="AG1:AH1048576"/>
      <selection pane="bottomLeft" activeCell="AG1" sqref="AG1:AH1048576"/>
      <selection pane="bottomRight" activeCell="A12" sqref="A12:C193"/>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9"/>
      <c r="E1" s="9"/>
      <c r="G1" s="9"/>
      <c r="I1" s="9"/>
      <c r="K1" s="9"/>
      <c r="M1" s="9"/>
      <c r="Q1" s="9"/>
      <c r="S1" s="9"/>
      <c r="U1" s="9"/>
      <c r="W1" s="9"/>
      <c r="Y1" s="9"/>
      <c r="AA1" s="9"/>
      <c r="AG1" s="9"/>
      <c r="AI1" s="9"/>
      <c r="AM1" s="9"/>
      <c r="AO1" s="9"/>
      <c r="AQ1" s="9"/>
      <c r="AS1" s="9"/>
      <c r="AU1" s="9"/>
      <c r="AW1" s="9"/>
    </row>
    <row r="2" spans="1:60" ht="11.25" customHeight="1" x14ac:dyDescent="0.2">
      <c r="A2" s="4" t="str">
        <f ca="1">INDIRECT("beschriftung!"&amp;ADDRESS(beschriftung!$C$1*12+ROW(beschriftung!$A3)-1,COLUMN(beschriftung!A$1)))</f>
        <v>In Mio. Swiss Francs, at prices of the preceding year, chained values ("annual overlap"), reference year 2020, percentage change to previous year</v>
      </c>
      <c r="C2" s="9"/>
      <c r="E2" s="9"/>
      <c r="G2" s="9"/>
      <c r="I2" s="9"/>
      <c r="K2" s="9"/>
      <c r="M2" s="9"/>
      <c r="Q2" s="9"/>
      <c r="S2" s="9"/>
      <c r="U2" s="9"/>
      <c r="W2" s="9"/>
      <c r="Y2" s="9"/>
      <c r="AA2" s="9"/>
      <c r="AG2" s="9"/>
      <c r="AI2" s="9"/>
      <c r="AM2" s="9"/>
      <c r="AO2" s="9"/>
      <c r="AQ2" s="9"/>
      <c r="AS2" s="9"/>
      <c r="AU2" s="9"/>
      <c r="AW2" s="9"/>
    </row>
    <row r="3" spans="1:60" ht="11.25" customHeight="1" x14ac:dyDescent="0.2">
      <c r="C3" s="9"/>
      <c r="E3" s="9"/>
      <c r="G3" s="9"/>
      <c r="I3" s="9"/>
      <c r="K3" s="9"/>
      <c r="M3" s="9"/>
      <c r="Q3" s="9"/>
      <c r="S3" s="9"/>
      <c r="U3" s="9"/>
      <c r="W3" s="9"/>
      <c r="Y3" s="9"/>
      <c r="AA3" s="9"/>
      <c r="AG3" s="9"/>
      <c r="AI3" s="9"/>
      <c r="AM3" s="9"/>
      <c r="AO3" s="9"/>
      <c r="AQ3" s="9"/>
      <c r="AS3" s="9"/>
      <c r="AU3" s="9"/>
      <c r="AW3" s="9"/>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v>1</v>
      </c>
      <c r="C12" s="17">
        <v>89202.399285534106</v>
      </c>
      <c r="D12" s="18"/>
      <c r="E12" s="17"/>
      <c r="F12" s="18"/>
      <c r="G12" s="17"/>
      <c r="H12" s="18"/>
      <c r="I12" s="17"/>
      <c r="J12" s="18"/>
      <c r="K12" s="17"/>
      <c r="L12" s="18"/>
      <c r="M12" s="17"/>
      <c r="N12" s="18"/>
      <c r="O12" s="17"/>
      <c r="P12" s="18"/>
      <c r="Q12" s="17"/>
      <c r="R12" s="18"/>
      <c r="S12" s="17"/>
      <c r="T12" s="18"/>
      <c r="U12" s="17"/>
      <c r="V12" s="18"/>
      <c r="W12" s="17"/>
      <c r="X12" s="18"/>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row>
    <row r="13" spans="1:60" x14ac:dyDescent="0.2">
      <c r="A13" s="16">
        <v>1980</v>
      </c>
      <c r="B13" s="16">
        <v>2</v>
      </c>
      <c r="C13" s="17">
        <v>91839.6996107304</v>
      </c>
      <c r="D13" s="18"/>
      <c r="E13" s="17"/>
      <c r="F13" s="18"/>
      <c r="G13" s="17"/>
      <c r="H13" s="18"/>
      <c r="I13" s="17"/>
      <c r="J13" s="18"/>
      <c r="K13" s="17"/>
      <c r="L13" s="18"/>
      <c r="M13" s="17"/>
      <c r="N13" s="18"/>
      <c r="O13" s="17"/>
      <c r="P13" s="18"/>
      <c r="Q13" s="17"/>
      <c r="R13" s="18"/>
      <c r="S13" s="17"/>
      <c r="T13" s="18"/>
      <c r="U13" s="17"/>
      <c r="V13" s="18"/>
      <c r="W13" s="17"/>
      <c r="X13" s="18"/>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row>
    <row r="14" spans="1:60" x14ac:dyDescent="0.2">
      <c r="A14" s="16">
        <v>1980</v>
      </c>
      <c r="B14" s="16">
        <v>3</v>
      </c>
      <c r="C14" s="17">
        <v>91077.898977085701</v>
      </c>
      <c r="D14" s="18"/>
      <c r="E14" s="17"/>
      <c r="F14" s="18"/>
      <c r="G14" s="17"/>
      <c r="H14" s="18"/>
      <c r="I14" s="17"/>
      <c r="J14" s="18"/>
      <c r="K14" s="17"/>
      <c r="L14" s="18"/>
      <c r="M14" s="17"/>
      <c r="N14" s="18"/>
      <c r="O14" s="17"/>
      <c r="P14" s="18"/>
      <c r="Q14" s="17"/>
      <c r="R14" s="18"/>
      <c r="S14" s="17"/>
      <c r="T14" s="18"/>
      <c r="U14" s="17"/>
      <c r="V14" s="18"/>
      <c r="W14" s="17"/>
      <c r="X14" s="18"/>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row>
    <row r="15" spans="1:60" x14ac:dyDescent="0.2">
      <c r="A15" s="16">
        <v>1980</v>
      </c>
      <c r="B15" s="16">
        <v>4</v>
      </c>
      <c r="C15" s="17">
        <v>95603.789979412395</v>
      </c>
      <c r="D15" s="18"/>
      <c r="E15" s="17"/>
      <c r="F15" s="18"/>
      <c r="G15" s="17"/>
      <c r="H15" s="18"/>
      <c r="I15" s="17"/>
      <c r="J15" s="18"/>
      <c r="K15" s="17"/>
      <c r="L15" s="18"/>
      <c r="M15" s="17"/>
      <c r="N15" s="18"/>
      <c r="O15" s="17"/>
      <c r="P15" s="18"/>
      <c r="Q15" s="17"/>
      <c r="R15" s="18"/>
      <c r="S15" s="17"/>
      <c r="T15" s="18"/>
      <c r="U15" s="17"/>
      <c r="V15" s="18"/>
      <c r="W15" s="17"/>
      <c r="X15" s="18"/>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row>
    <row r="16" spans="1:60" x14ac:dyDescent="0.2">
      <c r="A16" s="16">
        <v>1981</v>
      </c>
      <c r="B16" s="16">
        <v>1</v>
      </c>
      <c r="C16" s="17">
        <v>90183.600976955204</v>
      </c>
      <c r="D16" s="18">
        <v>1.0999723093549E-2</v>
      </c>
      <c r="E16" s="17"/>
      <c r="F16" s="18"/>
      <c r="G16" s="17"/>
      <c r="H16" s="18"/>
      <c r="I16" s="17"/>
      <c r="J16" s="18"/>
      <c r="K16" s="17"/>
      <c r="L16" s="18"/>
      <c r="M16" s="17"/>
      <c r="N16" s="18"/>
      <c r="O16" s="17"/>
      <c r="P16" s="18"/>
      <c r="Q16" s="17"/>
      <c r="R16" s="18"/>
      <c r="S16" s="17"/>
      <c r="T16" s="18"/>
      <c r="U16" s="17"/>
      <c r="V16" s="18"/>
      <c r="W16" s="17"/>
      <c r="X16" s="18"/>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row>
    <row r="17" spans="1:60" x14ac:dyDescent="0.2">
      <c r="A17" s="16">
        <v>1981</v>
      </c>
      <c r="B17" s="16">
        <v>2</v>
      </c>
      <c r="C17" s="17">
        <v>93716.463214853298</v>
      </c>
      <c r="D17" s="18">
        <v>2.0435210612379701E-2</v>
      </c>
      <c r="E17" s="17"/>
      <c r="F17" s="18"/>
      <c r="G17" s="17"/>
      <c r="H17" s="18"/>
      <c r="I17" s="17"/>
      <c r="J17" s="18"/>
      <c r="K17" s="17"/>
      <c r="L17" s="18"/>
      <c r="M17" s="17"/>
      <c r="N17" s="18"/>
      <c r="O17" s="17"/>
      <c r="P17" s="18"/>
      <c r="Q17" s="17"/>
      <c r="R17" s="18"/>
      <c r="S17" s="17"/>
      <c r="T17" s="18"/>
      <c r="U17" s="17"/>
      <c r="V17" s="18"/>
      <c r="W17" s="17"/>
      <c r="X17" s="18"/>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row>
    <row r="18" spans="1:60" x14ac:dyDescent="0.2">
      <c r="A18" s="16">
        <v>1981</v>
      </c>
      <c r="B18" s="16">
        <v>3</v>
      </c>
      <c r="C18" s="17">
        <v>92951.665423737097</v>
      </c>
      <c r="D18" s="18">
        <v>2.0573228716253202E-2</v>
      </c>
      <c r="E18" s="17"/>
      <c r="F18" s="18"/>
      <c r="G18" s="17"/>
      <c r="H18" s="18"/>
      <c r="I18" s="17"/>
      <c r="J18" s="18"/>
      <c r="K18" s="17"/>
      <c r="L18" s="18"/>
      <c r="M18" s="17"/>
      <c r="N18" s="18"/>
      <c r="O18" s="17"/>
      <c r="P18" s="18"/>
      <c r="Q18" s="17"/>
      <c r="R18" s="18"/>
      <c r="S18" s="17"/>
      <c r="T18" s="18"/>
      <c r="U18" s="17"/>
      <c r="V18" s="18"/>
      <c r="W18" s="17"/>
      <c r="X18" s="18"/>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row>
    <row r="19" spans="1:60" x14ac:dyDescent="0.2">
      <c r="A19" s="16">
        <v>1981</v>
      </c>
      <c r="B19" s="16">
        <v>4</v>
      </c>
      <c r="C19" s="17">
        <v>96760.551154433997</v>
      </c>
      <c r="D19" s="18">
        <v>1.2099532615502199E-2</v>
      </c>
      <c r="E19" s="17"/>
      <c r="F19" s="18"/>
      <c r="G19" s="17"/>
      <c r="H19" s="18"/>
      <c r="I19" s="17"/>
      <c r="J19" s="18"/>
      <c r="K19" s="17"/>
      <c r="L19" s="18"/>
      <c r="M19" s="17"/>
      <c r="N19" s="18"/>
      <c r="O19" s="17"/>
      <c r="P19" s="18"/>
      <c r="Q19" s="17"/>
      <c r="R19" s="18"/>
      <c r="S19" s="17"/>
      <c r="T19" s="18"/>
      <c r="U19" s="17"/>
      <c r="V19" s="18"/>
      <c r="W19" s="17"/>
      <c r="X19" s="18"/>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row>
    <row r="20" spans="1:60" x14ac:dyDescent="0.2">
      <c r="A20" s="16">
        <v>1982</v>
      </c>
      <c r="B20" s="16">
        <v>1</v>
      </c>
      <c r="C20" s="17">
        <v>90694.538081228398</v>
      </c>
      <c r="D20" s="18">
        <v>5.6655212115976896E-3</v>
      </c>
      <c r="E20" s="17"/>
      <c r="F20" s="18"/>
      <c r="G20" s="17"/>
      <c r="H20" s="18"/>
      <c r="I20" s="17"/>
      <c r="J20" s="18"/>
      <c r="K20" s="17"/>
      <c r="L20" s="18"/>
      <c r="M20" s="17"/>
      <c r="N20" s="18"/>
      <c r="O20" s="17"/>
      <c r="P20" s="18"/>
      <c r="Q20" s="17"/>
      <c r="R20" s="18"/>
      <c r="S20" s="17"/>
      <c r="T20" s="18"/>
      <c r="U20" s="17"/>
      <c r="V20" s="18"/>
      <c r="W20" s="17"/>
      <c r="X20" s="18"/>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row>
    <row r="21" spans="1:60" x14ac:dyDescent="0.2">
      <c r="A21" s="16">
        <v>1982</v>
      </c>
      <c r="B21" s="16">
        <v>2</v>
      </c>
      <c r="C21" s="17">
        <v>92530.2615228387</v>
      </c>
      <c r="D21" s="18">
        <v>-1.26573459061851E-2</v>
      </c>
      <c r="E21" s="17"/>
      <c r="F21" s="18"/>
      <c r="G21" s="17"/>
      <c r="H21" s="18"/>
      <c r="I21" s="17"/>
      <c r="J21" s="18"/>
      <c r="K21" s="17"/>
      <c r="L21" s="18"/>
      <c r="M21" s="17"/>
      <c r="N21" s="18"/>
      <c r="O21" s="17"/>
      <c r="P21" s="18"/>
      <c r="Q21" s="17"/>
      <c r="R21" s="18"/>
      <c r="S21" s="17"/>
      <c r="T21" s="18"/>
      <c r="U21" s="17"/>
      <c r="V21" s="18"/>
      <c r="W21" s="17"/>
      <c r="X21" s="18"/>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row>
    <row r="22" spans="1:60" x14ac:dyDescent="0.2">
      <c r="A22" s="16">
        <v>1982</v>
      </c>
      <c r="B22" s="16">
        <v>3</v>
      </c>
      <c r="C22" s="17">
        <v>90924.239815071604</v>
      </c>
      <c r="D22" s="18">
        <v>-2.18116114372249E-2</v>
      </c>
      <c r="E22" s="17"/>
      <c r="F22" s="18"/>
      <c r="G22" s="17"/>
      <c r="H22" s="18"/>
      <c r="I22" s="17"/>
      <c r="J22" s="18"/>
      <c r="K22" s="17"/>
      <c r="L22" s="18"/>
      <c r="M22" s="17"/>
      <c r="N22" s="18"/>
      <c r="O22" s="17"/>
      <c r="P22" s="18"/>
      <c r="Q22" s="17"/>
      <c r="R22" s="18"/>
      <c r="S22" s="17"/>
      <c r="T22" s="18"/>
      <c r="U22" s="17"/>
      <c r="V22" s="18"/>
      <c r="W22" s="17"/>
      <c r="X22" s="18"/>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row>
    <row r="23" spans="1:60" x14ac:dyDescent="0.2">
      <c r="A23" s="16">
        <v>1982</v>
      </c>
      <c r="B23" s="16">
        <v>4</v>
      </c>
      <c r="C23" s="17">
        <v>94571.096983820098</v>
      </c>
      <c r="D23" s="18">
        <v>-2.26275496004508E-2</v>
      </c>
      <c r="E23" s="17"/>
      <c r="F23" s="18"/>
      <c r="G23" s="17"/>
      <c r="H23" s="18"/>
      <c r="I23" s="17"/>
      <c r="J23" s="18"/>
      <c r="K23" s="17"/>
      <c r="L23" s="18"/>
      <c r="M23" s="17"/>
      <c r="N23" s="18"/>
      <c r="O23" s="17"/>
      <c r="P23" s="18"/>
      <c r="Q23" s="17"/>
      <c r="R23" s="18"/>
      <c r="S23" s="17"/>
      <c r="T23" s="18"/>
      <c r="U23" s="17"/>
      <c r="V23" s="18"/>
      <c r="W23" s="17"/>
      <c r="X23" s="18"/>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row>
    <row r="24" spans="1:60" x14ac:dyDescent="0.2">
      <c r="A24" s="16">
        <v>1983</v>
      </c>
      <c r="B24" s="16">
        <v>1</v>
      </c>
      <c r="C24" s="17">
        <v>90386.127157120805</v>
      </c>
      <c r="D24" s="18">
        <v>-3.4005457289099099E-3</v>
      </c>
      <c r="E24" s="17"/>
      <c r="F24" s="18"/>
      <c r="G24" s="17"/>
      <c r="H24" s="18"/>
      <c r="I24" s="17"/>
      <c r="J24" s="18"/>
      <c r="K24" s="17"/>
      <c r="L24" s="18"/>
      <c r="M24" s="17"/>
      <c r="N24" s="18"/>
      <c r="O24" s="17"/>
      <c r="P24" s="18"/>
      <c r="Q24" s="17"/>
      <c r="R24" s="18"/>
      <c r="S24" s="17"/>
      <c r="T24" s="18"/>
      <c r="U24" s="17"/>
      <c r="V24" s="18"/>
      <c r="W24" s="17"/>
      <c r="X24" s="18"/>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row>
    <row r="25" spans="1:60" x14ac:dyDescent="0.2">
      <c r="A25" s="16">
        <v>1983</v>
      </c>
      <c r="B25" s="16">
        <v>2</v>
      </c>
      <c r="C25" s="17">
        <v>92476.621936276206</v>
      </c>
      <c r="D25" s="18">
        <v>-5.7969777324407001E-4</v>
      </c>
      <c r="E25" s="17"/>
      <c r="F25" s="18"/>
      <c r="G25" s="17"/>
      <c r="H25" s="18"/>
      <c r="I25" s="17"/>
      <c r="J25" s="18"/>
      <c r="K25" s="17"/>
      <c r="L25" s="18"/>
      <c r="M25" s="17"/>
      <c r="N25" s="18"/>
      <c r="O25" s="17"/>
      <c r="P25" s="18"/>
      <c r="Q25" s="17"/>
      <c r="R25" s="18"/>
      <c r="S25" s="17"/>
      <c r="T25" s="18"/>
      <c r="U25" s="17"/>
      <c r="V25" s="18"/>
      <c r="W25" s="17"/>
      <c r="X25" s="18"/>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row>
    <row r="26" spans="1:60" x14ac:dyDescent="0.2">
      <c r="A26" s="16">
        <v>1983</v>
      </c>
      <c r="B26" s="16">
        <v>3</v>
      </c>
      <c r="C26" s="17">
        <v>92015.745852970998</v>
      </c>
      <c r="D26" s="18">
        <v>1.2004566000435099E-2</v>
      </c>
      <c r="E26" s="17"/>
      <c r="F26" s="18"/>
      <c r="G26" s="17"/>
      <c r="H26" s="18"/>
      <c r="I26" s="17"/>
      <c r="J26" s="18"/>
      <c r="K26" s="17"/>
      <c r="L26" s="18"/>
      <c r="M26" s="17"/>
      <c r="N26" s="18"/>
      <c r="O26" s="17"/>
      <c r="P26" s="18"/>
      <c r="Q26" s="17"/>
      <c r="R26" s="18"/>
      <c r="S26" s="17"/>
      <c r="T26" s="18"/>
      <c r="U26" s="17"/>
      <c r="V26" s="18"/>
      <c r="W26" s="17"/>
      <c r="X26" s="18"/>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row>
    <row r="27" spans="1:60" x14ac:dyDescent="0.2">
      <c r="A27" s="16">
        <v>1983</v>
      </c>
      <c r="B27" s="16">
        <v>4</v>
      </c>
      <c r="C27" s="17">
        <v>96198.056105487005</v>
      </c>
      <c r="D27" s="18">
        <v>1.7203555563549001E-2</v>
      </c>
      <c r="E27" s="17"/>
      <c r="F27" s="18"/>
      <c r="G27" s="17"/>
      <c r="H27" s="18"/>
      <c r="I27" s="17"/>
      <c r="J27" s="18"/>
      <c r="K27" s="17"/>
      <c r="L27" s="18"/>
      <c r="M27" s="17"/>
      <c r="N27" s="18"/>
      <c r="O27" s="17"/>
      <c r="P27" s="18"/>
      <c r="Q27" s="17"/>
      <c r="R27" s="18"/>
      <c r="S27" s="17"/>
      <c r="T27" s="18"/>
      <c r="U27" s="17"/>
      <c r="V27" s="18"/>
      <c r="W27" s="17"/>
      <c r="X27" s="18"/>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row>
    <row r="28" spans="1:60" x14ac:dyDescent="0.2">
      <c r="A28" s="16">
        <v>1984</v>
      </c>
      <c r="B28" s="16">
        <v>1</v>
      </c>
      <c r="C28" s="17">
        <v>92442.5962858524</v>
      </c>
      <c r="D28" s="18">
        <v>2.2752043852445999E-2</v>
      </c>
      <c r="E28" s="17"/>
      <c r="F28" s="18"/>
      <c r="G28" s="17"/>
      <c r="H28" s="18"/>
      <c r="I28" s="17"/>
      <c r="J28" s="18"/>
      <c r="K28" s="17"/>
      <c r="L28" s="18"/>
      <c r="M28" s="17"/>
      <c r="N28" s="18"/>
      <c r="O28" s="17"/>
      <c r="P28" s="18"/>
      <c r="Q28" s="17"/>
      <c r="R28" s="18"/>
      <c r="S28" s="17"/>
      <c r="T28" s="18"/>
      <c r="U28" s="17"/>
      <c r="V28" s="18"/>
      <c r="W28" s="17"/>
      <c r="X28" s="18"/>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row>
    <row r="29" spans="1:60" x14ac:dyDescent="0.2">
      <c r="A29" s="16">
        <v>1984</v>
      </c>
      <c r="B29" s="16">
        <v>2</v>
      </c>
      <c r="C29" s="17">
        <v>94888.422204405593</v>
      </c>
      <c r="D29" s="18">
        <v>2.6080107789742998E-2</v>
      </c>
      <c r="E29" s="17"/>
      <c r="F29" s="18"/>
      <c r="G29" s="17"/>
      <c r="H29" s="18"/>
      <c r="I29" s="17"/>
      <c r="J29" s="18"/>
      <c r="K29" s="17"/>
      <c r="L29" s="18"/>
      <c r="M29" s="17"/>
      <c r="N29" s="18"/>
      <c r="O29" s="17"/>
      <c r="P29" s="18"/>
      <c r="Q29" s="17"/>
      <c r="R29" s="18"/>
      <c r="S29" s="17"/>
      <c r="T29" s="18"/>
      <c r="U29" s="17"/>
      <c r="V29" s="18"/>
      <c r="W29" s="17"/>
      <c r="X29" s="18"/>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row>
    <row r="30" spans="1:60" x14ac:dyDescent="0.2">
      <c r="A30" s="16">
        <v>1984</v>
      </c>
      <c r="B30" s="16">
        <v>3</v>
      </c>
      <c r="C30" s="17">
        <v>95299.616682403095</v>
      </c>
      <c r="D30" s="18">
        <v>3.56881401002744E-2</v>
      </c>
      <c r="E30" s="17"/>
      <c r="F30" s="18"/>
      <c r="G30" s="17"/>
      <c r="H30" s="18"/>
      <c r="I30" s="17"/>
      <c r="J30" s="18"/>
      <c r="K30" s="17"/>
      <c r="L30" s="18"/>
      <c r="M30" s="17"/>
      <c r="N30" s="18"/>
      <c r="O30" s="17"/>
      <c r="P30" s="18"/>
      <c r="Q30" s="17"/>
      <c r="R30" s="18"/>
      <c r="S30" s="17"/>
      <c r="T30" s="18"/>
      <c r="U30" s="17"/>
      <c r="V30" s="18"/>
      <c r="W30" s="17"/>
      <c r="X30" s="18"/>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row>
    <row r="31" spans="1:60" x14ac:dyDescent="0.2">
      <c r="A31" s="16">
        <v>1984</v>
      </c>
      <c r="B31" s="16">
        <v>4</v>
      </c>
      <c r="C31" s="17">
        <v>99609.592168492003</v>
      </c>
      <c r="D31" s="18">
        <v>3.5463669445296102E-2</v>
      </c>
      <c r="E31" s="17"/>
      <c r="F31" s="18"/>
      <c r="G31" s="17"/>
      <c r="H31" s="18"/>
      <c r="I31" s="17"/>
      <c r="J31" s="18"/>
      <c r="K31" s="17"/>
      <c r="L31" s="18"/>
      <c r="M31" s="17"/>
      <c r="N31" s="18"/>
      <c r="O31" s="17"/>
      <c r="P31" s="18"/>
      <c r="Q31" s="17"/>
      <c r="R31" s="18"/>
      <c r="S31" s="17"/>
      <c r="T31" s="18"/>
      <c r="U31" s="17"/>
      <c r="V31" s="18"/>
      <c r="W31" s="17"/>
      <c r="X31" s="18"/>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row>
    <row r="32" spans="1:60" x14ac:dyDescent="0.2">
      <c r="A32" s="16">
        <v>1985</v>
      </c>
      <c r="B32" s="16">
        <v>1</v>
      </c>
      <c r="C32" s="17">
        <v>95914.828988163004</v>
      </c>
      <c r="D32" s="18">
        <v>3.7560960442670099E-2</v>
      </c>
      <c r="E32" s="17"/>
      <c r="F32" s="18"/>
      <c r="G32" s="17"/>
      <c r="H32" s="18"/>
      <c r="I32" s="17"/>
      <c r="J32" s="18"/>
      <c r="K32" s="17"/>
      <c r="L32" s="18"/>
      <c r="M32" s="17"/>
      <c r="N32" s="18"/>
      <c r="O32" s="17"/>
      <c r="P32" s="18"/>
      <c r="Q32" s="17"/>
      <c r="R32" s="18"/>
      <c r="S32" s="17"/>
      <c r="T32" s="18"/>
      <c r="U32" s="17"/>
      <c r="V32" s="18"/>
      <c r="W32" s="17"/>
      <c r="X32" s="18"/>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row>
    <row r="33" spans="1:60" x14ac:dyDescent="0.2">
      <c r="A33" s="16">
        <v>1985</v>
      </c>
      <c r="B33" s="16">
        <v>2</v>
      </c>
      <c r="C33" s="17">
        <v>98793.026808389506</v>
      </c>
      <c r="D33" s="18">
        <v>4.1149431229584602E-2</v>
      </c>
      <c r="E33" s="17"/>
      <c r="F33" s="18"/>
      <c r="G33" s="17"/>
      <c r="H33" s="18"/>
      <c r="I33" s="17"/>
      <c r="J33" s="18"/>
      <c r="K33" s="17"/>
      <c r="L33" s="18"/>
      <c r="M33" s="17"/>
      <c r="N33" s="18"/>
      <c r="O33" s="17"/>
      <c r="P33" s="18"/>
      <c r="Q33" s="17"/>
      <c r="R33" s="18"/>
      <c r="S33" s="17"/>
      <c r="T33" s="18"/>
      <c r="U33" s="17"/>
      <c r="V33" s="18"/>
      <c r="W33" s="17"/>
      <c r="X33" s="18"/>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row>
    <row r="34" spans="1:60" x14ac:dyDescent="0.2">
      <c r="A34" s="16">
        <v>1985</v>
      </c>
      <c r="B34" s="16">
        <v>3</v>
      </c>
      <c r="C34" s="17">
        <v>98209.936777596595</v>
      </c>
      <c r="D34" s="18">
        <v>3.0538633800516201E-2</v>
      </c>
      <c r="E34" s="17"/>
      <c r="F34" s="18"/>
      <c r="G34" s="17"/>
      <c r="H34" s="18"/>
      <c r="I34" s="17"/>
      <c r="J34" s="18"/>
      <c r="K34" s="17"/>
      <c r="L34" s="18"/>
      <c r="M34" s="17"/>
      <c r="N34" s="18"/>
      <c r="O34" s="17"/>
      <c r="P34" s="18"/>
      <c r="Q34" s="17"/>
      <c r="R34" s="18"/>
      <c r="S34" s="17"/>
      <c r="T34" s="18"/>
      <c r="U34" s="17"/>
      <c r="V34" s="18"/>
      <c r="W34" s="17"/>
      <c r="X34" s="18"/>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row>
    <row r="35" spans="1:60" x14ac:dyDescent="0.2">
      <c r="A35" s="16">
        <v>1985</v>
      </c>
      <c r="B35" s="16">
        <v>4</v>
      </c>
      <c r="C35" s="17">
        <v>103364.396157093</v>
      </c>
      <c r="D35" s="18">
        <v>3.7695204918109598E-2</v>
      </c>
      <c r="E35" s="17"/>
      <c r="F35" s="18"/>
      <c r="G35" s="17"/>
      <c r="H35" s="18"/>
      <c r="I35" s="17"/>
      <c r="J35" s="18"/>
      <c r="K35" s="17"/>
      <c r="L35" s="18"/>
      <c r="M35" s="17"/>
      <c r="N35" s="18"/>
      <c r="O35" s="17"/>
      <c r="P35" s="18"/>
      <c r="Q35" s="17"/>
      <c r="R35" s="18"/>
      <c r="S35" s="17"/>
      <c r="T35" s="18"/>
      <c r="U35" s="17"/>
      <c r="V35" s="18"/>
      <c r="W35" s="17"/>
      <c r="X35" s="18"/>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row>
    <row r="36" spans="1:60" x14ac:dyDescent="0.2">
      <c r="A36" s="16">
        <v>1986</v>
      </c>
      <c r="B36" s="16">
        <v>1</v>
      </c>
      <c r="C36" s="17">
        <v>97949.018104382601</v>
      </c>
      <c r="D36" s="18">
        <v>2.1208285910311798E-2</v>
      </c>
      <c r="E36" s="17"/>
      <c r="F36" s="18"/>
      <c r="G36" s="17"/>
      <c r="H36" s="18"/>
      <c r="I36" s="17"/>
      <c r="J36" s="18"/>
      <c r="K36" s="17"/>
      <c r="L36" s="18"/>
      <c r="M36" s="17"/>
      <c r="N36" s="18"/>
      <c r="O36" s="17"/>
      <c r="P36" s="18"/>
      <c r="Q36" s="17"/>
      <c r="R36" s="18"/>
      <c r="S36" s="17"/>
      <c r="T36" s="18"/>
      <c r="U36" s="17"/>
      <c r="V36" s="18"/>
      <c r="W36" s="17"/>
      <c r="X36" s="18"/>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row>
    <row r="37" spans="1:60" x14ac:dyDescent="0.2">
      <c r="A37" s="16">
        <v>1986</v>
      </c>
      <c r="B37" s="16">
        <v>2</v>
      </c>
      <c r="C37" s="17">
        <v>101475.956699583</v>
      </c>
      <c r="D37" s="18">
        <v>2.7157077557676799E-2</v>
      </c>
      <c r="E37" s="17"/>
      <c r="F37" s="18"/>
      <c r="G37" s="17"/>
      <c r="H37" s="18"/>
      <c r="I37" s="17"/>
      <c r="J37" s="18"/>
      <c r="K37" s="17"/>
      <c r="L37" s="18"/>
      <c r="M37" s="17"/>
      <c r="N37" s="18"/>
      <c r="O37" s="17"/>
      <c r="P37" s="18"/>
      <c r="Q37" s="17"/>
      <c r="R37" s="18"/>
      <c r="S37" s="17"/>
      <c r="T37" s="18"/>
      <c r="U37" s="17"/>
      <c r="V37" s="18"/>
      <c r="W37" s="17"/>
      <c r="X37" s="18"/>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row>
    <row r="38" spans="1:60" x14ac:dyDescent="0.2">
      <c r="A38" s="16">
        <v>1986</v>
      </c>
      <c r="B38" s="16">
        <v>3</v>
      </c>
      <c r="C38" s="17">
        <v>100166.711145398</v>
      </c>
      <c r="D38" s="18">
        <v>1.99244030900123E-2</v>
      </c>
      <c r="E38" s="17"/>
      <c r="F38" s="18"/>
      <c r="G38" s="17"/>
      <c r="H38" s="18"/>
      <c r="I38" s="17"/>
      <c r="J38" s="18"/>
      <c r="K38" s="17"/>
      <c r="L38" s="18"/>
      <c r="M38" s="17"/>
      <c r="N38" s="18"/>
      <c r="O38" s="17"/>
      <c r="P38" s="18"/>
      <c r="Q38" s="17"/>
      <c r="R38" s="18"/>
      <c r="S38" s="17"/>
      <c r="T38" s="18"/>
      <c r="U38" s="17"/>
      <c r="V38" s="18"/>
      <c r="W38" s="17"/>
      <c r="X38" s="18"/>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row>
    <row r="39" spans="1:60" x14ac:dyDescent="0.2">
      <c r="A39" s="16">
        <v>1986</v>
      </c>
      <c r="B39" s="16">
        <v>4</v>
      </c>
      <c r="C39" s="17">
        <v>104055.933482319</v>
      </c>
      <c r="D39" s="18">
        <v>6.6902855425692298E-3</v>
      </c>
      <c r="E39" s="17"/>
      <c r="F39" s="18"/>
      <c r="G39" s="17"/>
      <c r="H39" s="18"/>
      <c r="I39" s="17"/>
      <c r="J39" s="18"/>
      <c r="K39" s="17"/>
      <c r="L39" s="18"/>
      <c r="M39" s="17"/>
      <c r="N39" s="18"/>
      <c r="O39" s="17"/>
      <c r="P39" s="18"/>
      <c r="Q39" s="17"/>
      <c r="R39" s="18"/>
      <c r="S39" s="17"/>
      <c r="T39" s="18"/>
      <c r="U39" s="17"/>
      <c r="V39" s="18"/>
      <c r="W39" s="17"/>
      <c r="X39" s="18"/>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row>
    <row r="40" spans="1:60" x14ac:dyDescent="0.2">
      <c r="A40" s="16">
        <v>1987</v>
      </c>
      <c r="B40" s="16">
        <v>1</v>
      </c>
      <c r="C40" s="17">
        <v>98701.935608356303</v>
      </c>
      <c r="D40" s="18">
        <v>7.6868305425101804E-3</v>
      </c>
      <c r="E40" s="17"/>
      <c r="F40" s="18"/>
      <c r="G40" s="17"/>
      <c r="H40" s="18"/>
      <c r="I40" s="17"/>
      <c r="J40" s="18"/>
      <c r="K40" s="17"/>
      <c r="L40" s="18"/>
      <c r="M40" s="17"/>
      <c r="N40" s="18"/>
      <c r="O40" s="17"/>
      <c r="P40" s="18"/>
      <c r="Q40" s="17"/>
      <c r="R40" s="18"/>
      <c r="S40" s="17"/>
      <c r="T40" s="18"/>
      <c r="U40" s="17"/>
      <c r="V40" s="18"/>
      <c r="W40" s="17"/>
      <c r="X40" s="18"/>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row>
    <row r="41" spans="1:60" x14ac:dyDescent="0.2">
      <c r="A41" s="16">
        <v>1987</v>
      </c>
      <c r="B41" s="16">
        <v>2</v>
      </c>
      <c r="C41" s="17">
        <v>101846.436484483</v>
      </c>
      <c r="D41" s="18">
        <v>3.6509119691952E-3</v>
      </c>
      <c r="E41" s="17"/>
      <c r="F41" s="18"/>
      <c r="G41" s="17"/>
      <c r="H41" s="18"/>
      <c r="I41" s="17"/>
      <c r="J41" s="18"/>
      <c r="K41" s="17"/>
      <c r="L41" s="18"/>
      <c r="M41" s="17"/>
      <c r="N41" s="18"/>
      <c r="O41" s="17"/>
      <c r="P41" s="18"/>
      <c r="Q41" s="17"/>
      <c r="R41" s="18"/>
      <c r="S41" s="17"/>
      <c r="T41" s="18"/>
      <c r="U41" s="17"/>
      <c r="V41" s="18"/>
      <c r="W41" s="17"/>
      <c r="X41" s="18"/>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row>
    <row r="42" spans="1:60" x14ac:dyDescent="0.2">
      <c r="A42" s="16">
        <v>1987</v>
      </c>
      <c r="B42" s="16">
        <v>3</v>
      </c>
      <c r="C42" s="17">
        <v>102495.385310249</v>
      </c>
      <c r="D42" s="18">
        <v>2.3247984666992599E-2</v>
      </c>
      <c r="E42" s="17"/>
      <c r="F42" s="18"/>
      <c r="G42" s="17"/>
      <c r="H42" s="18"/>
      <c r="I42" s="17"/>
      <c r="J42" s="18"/>
      <c r="K42" s="17"/>
      <c r="L42" s="18"/>
      <c r="M42" s="17"/>
      <c r="N42" s="18"/>
      <c r="O42" s="17"/>
      <c r="P42" s="18"/>
      <c r="Q42" s="17"/>
      <c r="R42" s="18"/>
      <c r="S42" s="17"/>
      <c r="T42" s="18"/>
      <c r="U42" s="17"/>
      <c r="V42" s="18"/>
      <c r="W42" s="17"/>
      <c r="X42" s="18"/>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row>
    <row r="43" spans="1:60" x14ac:dyDescent="0.2">
      <c r="A43" s="16">
        <v>1987</v>
      </c>
      <c r="B43" s="16">
        <v>4</v>
      </c>
      <c r="C43" s="17">
        <v>107003.606906132</v>
      </c>
      <c r="D43" s="18">
        <v>2.8327778389625202E-2</v>
      </c>
      <c r="E43" s="17"/>
      <c r="F43" s="18"/>
      <c r="G43" s="17"/>
      <c r="H43" s="18"/>
      <c r="I43" s="17"/>
      <c r="J43" s="18"/>
      <c r="K43" s="17"/>
      <c r="L43" s="18"/>
      <c r="M43" s="17"/>
      <c r="N43" s="18"/>
      <c r="O43" s="17"/>
      <c r="P43" s="18"/>
      <c r="Q43" s="17"/>
      <c r="R43" s="18"/>
      <c r="S43" s="17"/>
      <c r="T43" s="18"/>
      <c r="U43" s="17"/>
      <c r="V43" s="18"/>
      <c r="W43" s="17"/>
      <c r="X43" s="18"/>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row>
    <row r="44" spans="1:60" x14ac:dyDescent="0.2">
      <c r="A44" s="16">
        <v>1988</v>
      </c>
      <c r="B44" s="16">
        <v>1</v>
      </c>
      <c r="C44" s="17">
        <v>102561.907755382</v>
      </c>
      <c r="D44" s="18">
        <v>3.9107360187361502E-2</v>
      </c>
      <c r="E44" s="17"/>
      <c r="F44" s="18"/>
      <c r="G44" s="17"/>
      <c r="H44" s="18"/>
      <c r="I44" s="17"/>
      <c r="J44" s="18"/>
      <c r="K44" s="17"/>
      <c r="L44" s="18"/>
      <c r="M44" s="17"/>
      <c r="N44" s="18"/>
      <c r="O44" s="17"/>
      <c r="P44" s="18"/>
      <c r="Q44" s="17"/>
      <c r="R44" s="18"/>
      <c r="S44" s="17"/>
      <c r="T44" s="18"/>
      <c r="U44" s="17"/>
      <c r="V44" s="18"/>
      <c r="W44" s="17"/>
      <c r="X44" s="18"/>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row>
    <row r="45" spans="1:60" x14ac:dyDescent="0.2">
      <c r="A45" s="16">
        <v>1988</v>
      </c>
      <c r="B45" s="16">
        <v>2</v>
      </c>
      <c r="C45" s="17">
        <v>104743.18194722501</v>
      </c>
      <c r="D45" s="18">
        <v>2.84422858838391E-2</v>
      </c>
      <c r="E45" s="17"/>
      <c r="F45" s="18"/>
      <c r="G45" s="17"/>
      <c r="H45" s="18"/>
      <c r="I45" s="17"/>
      <c r="J45" s="18"/>
      <c r="K45" s="17"/>
      <c r="L45" s="18"/>
      <c r="M45" s="17"/>
      <c r="N45" s="18"/>
      <c r="O45" s="17"/>
      <c r="P45" s="18"/>
      <c r="Q45" s="17"/>
      <c r="R45" s="18"/>
      <c r="S45" s="17"/>
      <c r="T45" s="18"/>
      <c r="U45" s="17"/>
      <c r="V45" s="18"/>
      <c r="W45" s="17"/>
      <c r="X45" s="18"/>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row>
    <row r="46" spans="1:60" x14ac:dyDescent="0.2">
      <c r="A46" s="16">
        <v>1988</v>
      </c>
      <c r="B46" s="16">
        <v>3</v>
      </c>
      <c r="C46" s="17">
        <v>105321.07187289</v>
      </c>
      <c r="D46" s="18">
        <v>2.7568914971995501E-2</v>
      </c>
      <c r="E46" s="17"/>
      <c r="F46" s="18"/>
      <c r="G46" s="17"/>
      <c r="H46" s="18"/>
      <c r="I46" s="17"/>
      <c r="J46" s="18"/>
      <c r="K46" s="17"/>
      <c r="L46" s="18"/>
      <c r="M46" s="17"/>
      <c r="N46" s="18"/>
      <c r="O46" s="17"/>
      <c r="P46" s="18"/>
      <c r="Q46" s="17"/>
      <c r="R46" s="18"/>
      <c r="S46" s="17"/>
      <c r="T46" s="18"/>
      <c r="U46" s="17"/>
      <c r="V46" s="18"/>
      <c r="W46" s="17"/>
      <c r="X46" s="18"/>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row>
    <row r="47" spans="1:60" x14ac:dyDescent="0.2">
      <c r="A47" s="16">
        <v>1988</v>
      </c>
      <c r="B47" s="16">
        <v>4</v>
      </c>
      <c r="C47" s="17">
        <v>110860.899779425</v>
      </c>
      <c r="D47" s="18">
        <v>3.6048250940523302E-2</v>
      </c>
      <c r="E47" s="17"/>
      <c r="F47" s="18"/>
      <c r="G47" s="17"/>
      <c r="H47" s="18"/>
      <c r="I47" s="17"/>
      <c r="J47" s="18"/>
      <c r="K47" s="17"/>
      <c r="L47" s="18"/>
      <c r="M47" s="17"/>
      <c r="N47" s="18"/>
      <c r="O47" s="17"/>
      <c r="P47" s="18"/>
      <c r="Q47" s="17"/>
      <c r="R47" s="18"/>
      <c r="S47" s="17"/>
      <c r="T47" s="18"/>
      <c r="U47" s="17"/>
      <c r="V47" s="18"/>
      <c r="W47" s="17"/>
      <c r="X47" s="18"/>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row>
    <row r="48" spans="1:60" x14ac:dyDescent="0.2">
      <c r="A48" s="16">
        <v>1989</v>
      </c>
      <c r="B48" s="16">
        <v>1</v>
      </c>
      <c r="C48" s="17">
        <v>106306.64020722</v>
      </c>
      <c r="D48" s="18">
        <v>3.6511922738114301E-2</v>
      </c>
      <c r="E48" s="17"/>
      <c r="F48" s="18"/>
      <c r="G48" s="17"/>
      <c r="H48" s="18"/>
      <c r="I48" s="17"/>
      <c r="J48" s="18"/>
      <c r="K48" s="17"/>
      <c r="L48" s="18"/>
      <c r="M48" s="17"/>
      <c r="N48" s="18"/>
      <c r="O48" s="17"/>
      <c r="P48" s="18"/>
      <c r="Q48" s="17"/>
      <c r="R48" s="18"/>
      <c r="S48" s="17"/>
      <c r="T48" s="18"/>
      <c r="U48" s="17"/>
      <c r="V48" s="18"/>
      <c r="W48" s="17"/>
      <c r="X48" s="18"/>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row>
    <row r="49" spans="1:60" x14ac:dyDescent="0.2">
      <c r="A49" s="16">
        <v>1989</v>
      </c>
      <c r="B49" s="16">
        <v>2</v>
      </c>
      <c r="C49" s="17">
        <v>110475.276981544</v>
      </c>
      <c r="D49" s="18">
        <v>5.4725232972276897E-2</v>
      </c>
      <c r="E49" s="17"/>
      <c r="F49" s="18"/>
      <c r="G49" s="17"/>
      <c r="H49" s="18"/>
      <c r="I49" s="17"/>
      <c r="J49" s="18"/>
      <c r="K49" s="17"/>
      <c r="L49" s="18"/>
      <c r="M49" s="17"/>
      <c r="N49" s="18"/>
      <c r="O49" s="17"/>
      <c r="P49" s="18"/>
      <c r="Q49" s="17"/>
      <c r="R49" s="18"/>
      <c r="S49" s="17"/>
      <c r="T49" s="18"/>
      <c r="U49" s="17"/>
      <c r="V49" s="18"/>
      <c r="W49" s="17"/>
      <c r="X49" s="18"/>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row>
    <row r="50" spans="1:60" x14ac:dyDescent="0.2">
      <c r="A50" s="16">
        <v>1989</v>
      </c>
      <c r="B50" s="16">
        <v>3</v>
      </c>
      <c r="C50" s="17">
        <v>110292.855764224</v>
      </c>
      <c r="D50" s="18">
        <v>4.7205975052498503E-2</v>
      </c>
      <c r="E50" s="17"/>
      <c r="F50" s="18"/>
      <c r="G50" s="17"/>
      <c r="H50" s="18"/>
      <c r="I50" s="17"/>
      <c r="J50" s="18"/>
      <c r="K50" s="17"/>
      <c r="L50" s="18"/>
      <c r="M50" s="17"/>
      <c r="N50" s="18"/>
      <c r="O50" s="17"/>
      <c r="P50" s="18"/>
      <c r="Q50" s="17"/>
      <c r="R50" s="18"/>
      <c r="S50" s="17"/>
      <c r="T50" s="18"/>
      <c r="U50" s="17"/>
      <c r="V50" s="18"/>
      <c r="W50" s="17"/>
      <c r="X50" s="18"/>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row>
    <row r="51" spans="1:60" x14ac:dyDescent="0.2">
      <c r="A51" s="16">
        <v>1989</v>
      </c>
      <c r="B51" s="16">
        <v>4</v>
      </c>
      <c r="C51" s="17">
        <v>114752.64087100601</v>
      </c>
      <c r="D51" s="18">
        <v>3.5104722217883702E-2</v>
      </c>
      <c r="E51" s="17"/>
      <c r="F51" s="18"/>
      <c r="G51" s="17"/>
      <c r="H51" s="18"/>
      <c r="I51" s="17"/>
      <c r="J51" s="18"/>
      <c r="K51" s="17"/>
      <c r="L51" s="18"/>
      <c r="M51" s="17"/>
      <c r="N51" s="18"/>
      <c r="O51" s="17"/>
      <c r="P51" s="18"/>
      <c r="Q51" s="17"/>
      <c r="R51" s="18"/>
      <c r="S51" s="17"/>
      <c r="T51" s="18"/>
      <c r="U51" s="17"/>
      <c r="V51" s="18"/>
      <c r="W51" s="17"/>
      <c r="X51" s="18"/>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row>
    <row r="52" spans="1:60" x14ac:dyDescent="0.2">
      <c r="A52" s="16">
        <v>1990</v>
      </c>
      <c r="B52" s="16">
        <v>1</v>
      </c>
      <c r="C52" s="17">
        <v>112647.088561066</v>
      </c>
      <c r="D52" s="18">
        <v>5.9643013282014302E-2</v>
      </c>
      <c r="E52" s="17">
        <v>110264.63753264101</v>
      </c>
      <c r="F52" s="18"/>
      <c r="G52" s="17">
        <v>1283.4174712334</v>
      </c>
      <c r="H52" s="18"/>
      <c r="I52" s="17">
        <v>185.194959745132</v>
      </c>
      <c r="J52" s="18"/>
      <c r="K52" s="17">
        <v>17376.4301296802</v>
      </c>
      <c r="L52" s="18"/>
      <c r="M52" s="17">
        <v>1360.5686128765301</v>
      </c>
      <c r="N52" s="18"/>
      <c r="O52" s="17">
        <v>19041.877458953299</v>
      </c>
      <c r="P52" s="18"/>
      <c r="Q52" s="17">
        <v>3292.8503051402399</v>
      </c>
      <c r="R52" s="18"/>
      <c r="S52" s="17">
        <v>316.41667487618997</v>
      </c>
      <c r="T52" s="18"/>
      <c r="U52" s="17">
        <v>9019.4670787765299</v>
      </c>
      <c r="V52" s="18"/>
      <c r="W52" s="17">
        <v>15629.0807132315</v>
      </c>
      <c r="X52" s="18"/>
      <c r="Y52" s="17">
        <v>4439.8348688968199</v>
      </c>
      <c r="Z52" s="18"/>
      <c r="AA52" s="17">
        <v>5988.2866970821897</v>
      </c>
      <c r="AB52" s="18"/>
      <c r="AC52" s="17">
        <v>3591.1296146393702</v>
      </c>
      <c r="AD52" s="18"/>
      <c r="AE52" s="17">
        <v>4240.9432818940704</v>
      </c>
      <c r="AF52" s="18"/>
      <c r="AG52" s="17">
        <v>6530.8011513115398</v>
      </c>
      <c r="AH52" s="18"/>
      <c r="AI52" s="17">
        <v>3941.9495849831201</v>
      </c>
      <c r="AJ52" s="18"/>
      <c r="AK52" s="17">
        <v>2070.8627461595802</v>
      </c>
      <c r="AL52" s="18"/>
      <c r="AM52" s="17">
        <v>22275.5181498858</v>
      </c>
      <c r="AN52" s="18"/>
      <c r="AO52" s="17">
        <v>8574.5175392564597</v>
      </c>
      <c r="AP52" s="18"/>
      <c r="AQ52" s="17">
        <v>6717.7655121902199</v>
      </c>
      <c r="AR52" s="18"/>
      <c r="AS52" s="17">
        <v>5594.2969309754099</v>
      </c>
      <c r="AT52" s="18"/>
      <c r="AU52" s="17">
        <v>729.23384969607105</v>
      </c>
      <c r="AV52" s="18"/>
      <c r="AW52" s="17">
        <v>3265.49968059514</v>
      </c>
      <c r="AX52" s="18"/>
      <c r="AY52" s="17">
        <v>414.81910376646101</v>
      </c>
      <c r="AZ52" s="18"/>
      <c r="BA52" s="17">
        <v>2565.57771122443</v>
      </c>
      <c r="BB52" s="18"/>
      <c r="BC52" s="17">
        <v>5354.1077067801598</v>
      </c>
      <c r="BD52" s="18"/>
      <c r="BE52" s="17">
        <v>-2946.10805659467</v>
      </c>
      <c r="BF52" s="18"/>
      <c r="BG52" s="17"/>
      <c r="BH52" s="18"/>
    </row>
    <row r="53" spans="1:60" x14ac:dyDescent="0.2">
      <c r="A53" s="16">
        <v>1990</v>
      </c>
      <c r="B53" s="16">
        <v>2</v>
      </c>
      <c r="C53" s="17">
        <v>114837.05904442399</v>
      </c>
      <c r="D53" s="18">
        <v>3.9481974447627403E-2</v>
      </c>
      <c r="E53" s="17">
        <v>112309.501009543</v>
      </c>
      <c r="F53" s="18"/>
      <c r="G53" s="17">
        <v>1265.1255971805299</v>
      </c>
      <c r="H53" s="18"/>
      <c r="I53" s="17">
        <v>201.10800137331799</v>
      </c>
      <c r="J53" s="18"/>
      <c r="K53" s="17">
        <v>17548.502887080998</v>
      </c>
      <c r="L53" s="18"/>
      <c r="M53" s="17">
        <v>1364.21042495398</v>
      </c>
      <c r="N53" s="18"/>
      <c r="O53" s="17">
        <v>19257.507765262799</v>
      </c>
      <c r="P53" s="18"/>
      <c r="Q53" s="17">
        <v>3420.5696783333101</v>
      </c>
      <c r="R53" s="18"/>
      <c r="S53" s="17">
        <v>322.47114818634998</v>
      </c>
      <c r="T53" s="18"/>
      <c r="U53" s="17">
        <v>9477.8465208319994</v>
      </c>
      <c r="V53" s="18"/>
      <c r="W53" s="17">
        <v>16725.745276480298</v>
      </c>
      <c r="X53" s="18"/>
      <c r="Y53" s="17">
        <v>4749.4999165011504</v>
      </c>
      <c r="Z53" s="18"/>
      <c r="AA53" s="17">
        <v>5885.6608159054103</v>
      </c>
      <c r="AB53" s="18"/>
      <c r="AC53" s="17">
        <v>3612.52861478574</v>
      </c>
      <c r="AD53" s="18"/>
      <c r="AE53" s="17">
        <v>4252.7629694528396</v>
      </c>
      <c r="AF53" s="18"/>
      <c r="AG53" s="17">
        <v>6406.3477725660396</v>
      </c>
      <c r="AH53" s="18"/>
      <c r="AI53" s="17">
        <v>3709.6681404659498</v>
      </c>
      <c r="AJ53" s="18"/>
      <c r="AK53" s="17">
        <v>2102.0849093901102</v>
      </c>
      <c r="AL53" s="18"/>
      <c r="AM53" s="17">
        <v>22399.120854167501</v>
      </c>
      <c r="AN53" s="18"/>
      <c r="AO53" s="17">
        <v>8697.2624327748199</v>
      </c>
      <c r="AP53" s="18"/>
      <c r="AQ53" s="17">
        <v>6863.9230168695103</v>
      </c>
      <c r="AR53" s="18"/>
      <c r="AS53" s="17">
        <v>5632.99615770321</v>
      </c>
      <c r="AT53" s="18"/>
      <c r="AU53" s="17">
        <v>709.944367438379</v>
      </c>
      <c r="AV53" s="18"/>
      <c r="AW53" s="17">
        <v>3229.8747163227299</v>
      </c>
      <c r="AX53" s="18"/>
      <c r="AY53" s="17">
        <v>422.28163367085199</v>
      </c>
      <c r="AZ53" s="18"/>
      <c r="BA53" s="17">
        <v>2705.0640112400501</v>
      </c>
      <c r="BB53" s="18"/>
      <c r="BC53" s="17">
        <v>5432.9246039844502</v>
      </c>
      <c r="BD53" s="18"/>
      <c r="BE53" s="17">
        <v>-2858.46134207265</v>
      </c>
      <c r="BF53" s="18"/>
      <c r="BG53" s="17"/>
      <c r="BH53" s="18"/>
    </row>
    <row r="54" spans="1:60" x14ac:dyDescent="0.2">
      <c r="A54" s="16">
        <v>1990</v>
      </c>
      <c r="B54" s="16">
        <v>3</v>
      </c>
      <c r="C54" s="17">
        <v>113855.431627825</v>
      </c>
      <c r="D54" s="18">
        <v>3.2301057388679499E-2</v>
      </c>
      <c r="E54" s="17">
        <v>111368.051503168</v>
      </c>
      <c r="F54" s="18"/>
      <c r="G54" s="17">
        <v>1251.2669348796401</v>
      </c>
      <c r="H54" s="18"/>
      <c r="I54" s="17">
        <v>203.50677778138399</v>
      </c>
      <c r="J54" s="18"/>
      <c r="K54" s="17">
        <v>17088.0557320794</v>
      </c>
      <c r="L54" s="18"/>
      <c r="M54" s="17">
        <v>1340.8338697859299</v>
      </c>
      <c r="N54" s="18"/>
      <c r="O54" s="17">
        <v>18718.032027637801</v>
      </c>
      <c r="P54" s="18"/>
      <c r="Q54" s="17">
        <v>3326.6310714025599</v>
      </c>
      <c r="R54" s="18"/>
      <c r="S54" s="17">
        <v>331.04014002857502</v>
      </c>
      <c r="T54" s="18"/>
      <c r="U54" s="17">
        <v>9905.7590618857703</v>
      </c>
      <c r="V54" s="18"/>
      <c r="W54" s="17">
        <v>15505.685597245099</v>
      </c>
      <c r="X54" s="18"/>
      <c r="Y54" s="17">
        <v>4530.19728628963</v>
      </c>
      <c r="Z54" s="18"/>
      <c r="AA54" s="17">
        <v>5919.1684265972299</v>
      </c>
      <c r="AB54" s="18"/>
      <c r="AC54" s="17">
        <v>4259.9740840508002</v>
      </c>
      <c r="AD54" s="18"/>
      <c r="AE54" s="17">
        <v>4298.1487920895197</v>
      </c>
      <c r="AF54" s="18"/>
      <c r="AG54" s="17">
        <v>6379.9379652325197</v>
      </c>
      <c r="AH54" s="18"/>
      <c r="AI54" s="17">
        <v>3623.0807639097102</v>
      </c>
      <c r="AJ54" s="18"/>
      <c r="AK54" s="17">
        <v>2127.4264809946098</v>
      </c>
      <c r="AL54" s="18"/>
      <c r="AM54" s="17">
        <v>22527.481430587199</v>
      </c>
      <c r="AN54" s="18"/>
      <c r="AO54" s="17">
        <v>8795.9303526084295</v>
      </c>
      <c r="AP54" s="18"/>
      <c r="AQ54" s="17">
        <v>6930.3627368149</v>
      </c>
      <c r="AR54" s="18"/>
      <c r="AS54" s="17">
        <v>5635.6710617071303</v>
      </c>
      <c r="AT54" s="18"/>
      <c r="AU54" s="17">
        <v>742.76228780971701</v>
      </c>
      <c r="AV54" s="18"/>
      <c r="AW54" s="17">
        <v>3225.1164006310901</v>
      </c>
      <c r="AX54" s="18"/>
      <c r="AY54" s="17">
        <v>426.44140352803601</v>
      </c>
      <c r="AZ54" s="18"/>
      <c r="BA54" s="17">
        <v>2665.094769585</v>
      </c>
      <c r="BB54" s="18"/>
      <c r="BC54" s="17">
        <v>5398.24613524711</v>
      </c>
      <c r="BD54" s="18"/>
      <c r="BE54" s="17">
        <v>-2869.4573199730198</v>
      </c>
      <c r="BF54" s="18"/>
      <c r="BG54" s="17"/>
      <c r="BH54" s="18"/>
    </row>
    <row r="55" spans="1:60" x14ac:dyDescent="0.2">
      <c r="A55" s="16">
        <v>1990</v>
      </c>
      <c r="B55" s="16">
        <v>4</v>
      </c>
      <c r="C55" s="17">
        <v>116723.33799372301</v>
      </c>
      <c r="D55" s="18">
        <v>1.71734359031652E-2</v>
      </c>
      <c r="E55" s="17">
        <v>114171.08412061501</v>
      </c>
      <c r="F55" s="18"/>
      <c r="G55" s="17">
        <v>1248.3392426340499</v>
      </c>
      <c r="H55" s="18"/>
      <c r="I55" s="17">
        <v>205.401869574362</v>
      </c>
      <c r="J55" s="18"/>
      <c r="K55" s="17">
        <v>18284.845214077199</v>
      </c>
      <c r="L55" s="18"/>
      <c r="M55" s="17">
        <v>1358.5916190143</v>
      </c>
      <c r="N55" s="18"/>
      <c r="O55" s="17">
        <v>20238.614125696298</v>
      </c>
      <c r="P55" s="18"/>
      <c r="Q55" s="17">
        <v>3455.8809946400802</v>
      </c>
      <c r="R55" s="18"/>
      <c r="S55" s="17">
        <v>341.43032290759999</v>
      </c>
      <c r="T55" s="18"/>
      <c r="U55" s="17">
        <v>8420.8577173208305</v>
      </c>
      <c r="V55" s="18"/>
      <c r="W55" s="17">
        <v>18395.350447588298</v>
      </c>
      <c r="X55" s="18"/>
      <c r="Y55" s="17">
        <v>5437.1446582340204</v>
      </c>
      <c r="Z55" s="18"/>
      <c r="AA55" s="17">
        <v>5993.0190850117697</v>
      </c>
      <c r="AB55" s="18"/>
      <c r="AC55" s="17">
        <v>3395.7087647153999</v>
      </c>
      <c r="AD55" s="18"/>
      <c r="AE55" s="17">
        <v>4323.8953735983696</v>
      </c>
      <c r="AF55" s="18"/>
      <c r="AG55" s="17">
        <v>6177.3010608390496</v>
      </c>
      <c r="AH55" s="18"/>
      <c r="AI55" s="17">
        <v>3317.3289498694899</v>
      </c>
      <c r="AJ55" s="18"/>
      <c r="AK55" s="17">
        <v>2146.8685503701499</v>
      </c>
      <c r="AL55" s="18"/>
      <c r="AM55" s="17">
        <v>22501.727119560899</v>
      </c>
      <c r="AN55" s="18"/>
      <c r="AO55" s="17">
        <v>8867.3162886842802</v>
      </c>
      <c r="AP55" s="18"/>
      <c r="AQ55" s="17">
        <v>6917.1463171273699</v>
      </c>
      <c r="AR55" s="18"/>
      <c r="AS55" s="17">
        <v>5639.4367473555403</v>
      </c>
      <c r="AT55" s="18"/>
      <c r="AU55" s="17">
        <v>769.77937963526904</v>
      </c>
      <c r="AV55" s="18"/>
      <c r="AW55" s="17">
        <v>3117.5596868289999</v>
      </c>
      <c r="AX55" s="18"/>
      <c r="AY55" s="17">
        <v>427.212253946781</v>
      </c>
      <c r="AZ55" s="18"/>
      <c r="BA55" s="17">
        <v>2734.2387477746302</v>
      </c>
      <c r="BB55" s="18"/>
      <c r="BC55" s="17">
        <v>5483.2402271925903</v>
      </c>
      <c r="BD55" s="18"/>
      <c r="BE55" s="17">
        <v>-2879.6243981422499</v>
      </c>
      <c r="BF55" s="18"/>
      <c r="BG55" s="17"/>
      <c r="BH55" s="18"/>
    </row>
    <row r="56" spans="1:60" x14ac:dyDescent="0.2">
      <c r="A56" s="16">
        <v>1991</v>
      </c>
      <c r="B56" s="16">
        <v>1</v>
      </c>
      <c r="C56" s="17">
        <v>112414.73734654499</v>
      </c>
      <c r="D56" s="18">
        <v>-2.06264731284767E-3</v>
      </c>
      <c r="E56" s="17">
        <v>110130.59276227601</v>
      </c>
      <c r="F56" s="18">
        <v>-1.2156641817755399E-3</v>
      </c>
      <c r="G56" s="17">
        <v>1245.93152841142</v>
      </c>
      <c r="H56" s="18">
        <v>-2.9207910646529198E-2</v>
      </c>
      <c r="I56" s="17">
        <v>184.11831733370099</v>
      </c>
      <c r="J56" s="18">
        <v>-5.81356216665863E-3</v>
      </c>
      <c r="K56" s="17">
        <v>17471.391799752299</v>
      </c>
      <c r="L56" s="18">
        <v>5.4649700406446096E-3</v>
      </c>
      <c r="M56" s="17">
        <v>1407.6350383602601</v>
      </c>
      <c r="N56" s="18">
        <v>3.4593202458364398E-2</v>
      </c>
      <c r="O56" s="17">
        <v>19039.328969497201</v>
      </c>
      <c r="P56" s="18">
        <v>-1.33836039100776E-4</v>
      </c>
      <c r="Q56" s="17">
        <v>3530.68997014357</v>
      </c>
      <c r="R56" s="18">
        <v>7.2229115496702995E-2</v>
      </c>
      <c r="S56" s="17">
        <v>352.55696233646398</v>
      </c>
      <c r="T56" s="18">
        <v>0.114217392223134</v>
      </c>
      <c r="U56" s="17">
        <v>8849.5390918869198</v>
      </c>
      <c r="V56" s="18">
        <v>-1.8840136052990401E-2</v>
      </c>
      <c r="W56" s="17">
        <v>14501.9396138994</v>
      </c>
      <c r="X56" s="18">
        <v>-7.2118195562065099E-2</v>
      </c>
      <c r="Y56" s="17">
        <v>4274.90050749477</v>
      </c>
      <c r="Z56" s="18">
        <v>-3.7148760319329302E-2</v>
      </c>
      <c r="AA56" s="17">
        <v>6329.1579085236499</v>
      </c>
      <c r="AB56" s="18">
        <v>5.6922994620072401E-2</v>
      </c>
      <c r="AC56" s="17">
        <v>3796.3719578867599</v>
      </c>
      <c r="AD56" s="18">
        <v>5.7152585752047201E-2</v>
      </c>
      <c r="AE56" s="17">
        <v>4341.0444871096497</v>
      </c>
      <c r="AF56" s="18">
        <v>2.3603523688454399E-2</v>
      </c>
      <c r="AG56" s="17">
        <v>6606.2094306502204</v>
      </c>
      <c r="AH56" s="18">
        <v>1.1546558774573799E-2</v>
      </c>
      <c r="AI56" s="17">
        <v>3857.5790128468202</v>
      </c>
      <c r="AJ56" s="18">
        <v>-2.1403260066469299E-2</v>
      </c>
      <c r="AK56" s="17">
        <v>2160.1292784811599</v>
      </c>
      <c r="AL56" s="18">
        <v>4.3105962713907701E-2</v>
      </c>
      <c r="AM56" s="17">
        <v>22524.3974995506</v>
      </c>
      <c r="AN56" s="18">
        <v>1.11727748818293E-2</v>
      </c>
      <c r="AO56" s="17">
        <v>8854.4642496721608</v>
      </c>
      <c r="AP56" s="18">
        <v>3.2648683629607197E-2</v>
      </c>
      <c r="AQ56" s="17">
        <v>6824.2614951494597</v>
      </c>
      <c r="AR56" s="18">
        <v>1.5852887804135699E-2</v>
      </c>
      <c r="AS56" s="17">
        <v>5654.8088240284396</v>
      </c>
      <c r="AT56" s="18">
        <v>1.08167109825692E-2</v>
      </c>
      <c r="AU56" s="17">
        <v>814.22850054391904</v>
      </c>
      <c r="AV56" s="18">
        <v>0.116553353746911</v>
      </c>
      <c r="AW56" s="17">
        <v>2966.5854240690201</v>
      </c>
      <c r="AX56" s="18">
        <v>-9.1537065001840695E-2</v>
      </c>
      <c r="AY56" s="17">
        <v>424.46263803751498</v>
      </c>
      <c r="AZ56" s="18">
        <v>2.3247565465266601E-2</v>
      </c>
      <c r="BA56" s="17">
        <v>2480.0612509546199</v>
      </c>
      <c r="BB56" s="18">
        <v>-3.3332243219794402E-2</v>
      </c>
      <c r="BC56" s="17">
        <v>5322.08446584382</v>
      </c>
      <c r="BD56" s="18">
        <v>-5.9810602793415298E-3</v>
      </c>
      <c r="BE56" s="17">
        <v>-3025.4052807293901</v>
      </c>
      <c r="BF56" s="18">
        <v>2.69159252177507E-2</v>
      </c>
      <c r="BG56" s="17"/>
      <c r="BH56" s="18"/>
    </row>
    <row r="57" spans="1:60" x14ac:dyDescent="0.2">
      <c r="A57" s="16">
        <v>1991</v>
      </c>
      <c r="B57" s="16">
        <v>2</v>
      </c>
      <c r="C57" s="17">
        <v>113345.493660199</v>
      </c>
      <c r="D57" s="18">
        <v>-1.29885369464884E-2</v>
      </c>
      <c r="E57" s="17">
        <v>111122.105605517</v>
      </c>
      <c r="F57" s="18">
        <v>-1.0572528533668701E-2</v>
      </c>
      <c r="G57" s="17">
        <v>1250.45086827257</v>
      </c>
      <c r="H57" s="18">
        <v>-1.15994245477838E-2</v>
      </c>
      <c r="I57" s="17">
        <v>204.51279299893201</v>
      </c>
      <c r="J57" s="18">
        <v>1.693016489828E-2</v>
      </c>
      <c r="K57" s="17">
        <v>17780.167835509699</v>
      </c>
      <c r="L57" s="18">
        <v>1.32014081155161E-2</v>
      </c>
      <c r="M57" s="17">
        <v>1427.76209211229</v>
      </c>
      <c r="N57" s="18">
        <v>4.6584944665304197E-2</v>
      </c>
      <c r="O57" s="17">
        <v>19388.694444206001</v>
      </c>
      <c r="P57" s="18">
        <v>6.81223554690136E-3</v>
      </c>
      <c r="Q57" s="17">
        <v>3368.8125438994098</v>
      </c>
      <c r="R57" s="18">
        <v>-1.5131144604872301E-2</v>
      </c>
      <c r="S57" s="17">
        <v>362.80707833226103</v>
      </c>
      <c r="T57" s="18">
        <v>0.12508384198948999</v>
      </c>
      <c r="U57" s="17">
        <v>9224.0310722874292</v>
      </c>
      <c r="V57" s="18">
        <v>-2.67798648128235E-2</v>
      </c>
      <c r="W57" s="17">
        <v>14806.4778722543</v>
      </c>
      <c r="X57" s="18">
        <v>-0.114749290539831</v>
      </c>
      <c r="Y57" s="17">
        <v>4391.3825335606898</v>
      </c>
      <c r="Z57" s="18">
        <v>-7.5401071530975403E-2</v>
      </c>
      <c r="AA57" s="17">
        <v>6555.7236663357498</v>
      </c>
      <c r="AB57" s="18">
        <v>0.113846664187572</v>
      </c>
      <c r="AC57" s="17">
        <v>3608.6925608298202</v>
      </c>
      <c r="AD57" s="18">
        <v>-1.0618750368403E-3</v>
      </c>
      <c r="AE57" s="17">
        <v>4358.6433039537696</v>
      </c>
      <c r="AF57" s="18">
        <v>2.4896834190254898E-2</v>
      </c>
      <c r="AG57" s="17">
        <v>6685.0860673164898</v>
      </c>
      <c r="AH57" s="18">
        <v>4.3509703913374699E-2</v>
      </c>
      <c r="AI57" s="17">
        <v>3889.5941253174801</v>
      </c>
      <c r="AJ57" s="18">
        <v>4.8501908537008198E-2</v>
      </c>
      <c r="AK57" s="17">
        <v>2185.1494706838298</v>
      </c>
      <c r="AL57" s="18">
        <v>3.9515321632663997E-2</v>
      </c>
      <c r="AM57" s="17">
        <v>22368.286094195399</v>
      </c>
      <c r="AN57" s="18">
        <v>-1.37660581292098E-3</v>
      </c>
      <c r="AO57" s="17">
        <v>8838.1785961204896</v>
      </c>
      <c r="AP57" s="18">
        <v>1.6202358435757999E-2</v>
      </c>
      <c r="AQ57" s="17">
        <v>6753.4560894810702</v>
      </c>
      <c r="AR57" s="18">
        <v>-1.6093847077967901E-2</v>
      </c>
      <c r="AS57" s="17">
        <v>5673.8729076638701</v>
      </c>
      <c r="AT57" s="18">
        <v>7.2566621414715798E-3</v>
      </c>
      <c r="AU57" s="17">
        <v>784.097061261166</v>
      </c>
      <c r="AV57" s="18">
        <v>0.10444859798007</v>
      </c>
      <c r="AW57" s="17">
        <v>2841.1953007625998</v>
      </c>
      <c r="AX57" s="18">
        <v>-0.120338852029112</v>
      </c>
      <c r="AY57" s="17">
        <v>422.49613369869797</v>
      </c>
      <c r="AZ57" s="18">
        <v>5.0795490673105604E-4</v>
      </c>
      <c r="BA57" s="17">
        <v>2430.5992294376101</v>
      </c>
      <c r="BB57" s="18">
        <v>-0.10146332236944799</v>
      </c>
      <c r="BC57" s="17">
        <v>5329.7632204309202</v>
      </c>
      <c r="BD57" s="18">
        <v>-1.89881861194756E-2</v>
      </c>
      <c r="BE57" s="17">
        <v>-3100.5522778898799</v>
      </c>
      <c r="BF57" s="18">
        <v>8.4692744398525005E-2</v>
      </c>
      <c r="BG57" s="17"/>
      <c r="BH57" s="18"/>
    </row>
    <row r="58" spans="1:60" x14ac:dyDescent="0.2">
      <c r="A58" s="16">
        <v>1991</v>
      </c>
      <c r="B58" s="16">
        <v>3</v>
      </c>
      <c r="C58" s="17">
        <v>112345.783963475</v>
      </c>
      <c r="D58" s="18">
        <v>-1.3259338116469699E-2</v>
      </c>
      <c r="E58" s="17">
        <v>110228.262079119</v>
      </c>
      <c r="F58" s="18">
        <v>-1.02344380517161E-2</v>
      </c>
      <c r="G58" s="17">
        <v>1256.6456862811001</v>
      </c>
      <c r="H58" s="18">
        <v>4.2986442393084801E-3</v>
      </c>
      <c r="I58" s="17">
        <v>202.44965487402101</v>
      </c>
      <c r="J58" s="18">
        <v>-5.1945341520695E-3</v>
      </c>
      <c r="K58" s="17">
        <v>17246.917123978401</v>
      </c>
      <c r="L58" s="18">
        <v>9.2966335310289399E-3</v>
      </c>
      <c r="M58" s="17">
        <v>1428.6154924161999</v>
      </c>
      <c r="N58" s="18">
        <v>6.5467933506390796E-2</v>
      </c>
      <c r="O58" s="17">
        <v>18688.797017205801</v>
      </c>
      <c r="P58" s="18">
        <v>-1.56186346881149E-3</v>
      </c>
      <c r="Q58" s="17">
        <v>3427.1860036350099</v>
      </c>
      <c r="R58" s="18">
        <v>3.0227256967830799E-2</v>
      </c>
      <c r="S58" s="17">
        <v>375.05740111536602</v>
      </c>
      <c r="T58" s="18">
        <v>0.13296653717881801</v>
      </c>
      <c r="U58" s="17">
        <v>9486.3650568268004</v>
      </c>
      <c r="V58" s="18">
        <v>-4.2338401574157102E-2</v>
      </c>
      <c r="W58" s="17">
        <v>13871.554883029799</v>
      </c>
      <c r="X58" s="18">
        <v>-0.105389129939905</v>
      </c>
      <c r="Y58" s="17">
        <v>4250.4704697533398</v>
      </c>
      <c r="Z58" s="18">
        <v>-6.1747159970906802E-2</v>
      </c>
      <c r="AA58" s="17">
        <v>6720.9482718641302</v>
      </c>
      <c r="AB58" s="18">
        <v>0.13545481180501201</v>
      </c>
      <c r="AC58" s="17">
        <v>4245.7996658852098</v>
      </c>
      <c r="AD58" s="18">
        <v>-3.3273484499953799E-3</v>
      </c>
      <c r="AE58" s="17">
        <v>4382.9400628308103</v>
      </c>
      <c r="AF58" s="18">
        <v>1.97273930807953E-2</v>
      </c>
      <c r="AG58" s="17">
        <v>6651.5702191144901</v>
      </c>
      <c r="AH58" s="18">
        <v>4.2576002362754203E-2</v>
      </c>
      <c r="AI58" s="17">
        <v>3753.05232102018</v>
      </c>
      <c r="AJ58" s="18">
        <v>3.5873215525619798E-2</v>
      </c>
      <c r="AK58" s="17">
        <v>2221.8958931697998</v>
      </c>
      <c r="AL58" s="18">
        <v>4.4405488518235899E-2</v>
      </c>
      <c r="AM58" s="17">
        <v>22375.832479286601</v>
      </c>
      <c r="AN58" s="18">
        <v>-6.7317312753261103E-3</v>
      </c>
      <c r="AO58" s="17">
        <v>8867.0613947503098</v>
      </c>
      <c r="AP58" s="18">
        <v>8.0868127975557407E-3</v>
      </c>
      <c r="AQ58" s="17">
        <v>6704.6644043849601</v>
      </c>
      <c r="AR58" s="18">
        <v>-3.2566597305362301E-2</v>
      </c>
      <c r="AS58" s="17">
        <v>5686.6519698276998</v>
      </c>
      <c r="AT58" s="18">
        <v>9.04611137917E-3</v>
      </c>
      <c r="AU58" s="17">
        <v>792.96023791943003</v>
      </c>
      <c r="AV58" s="18">
        <v>6.75827932214208E-2</v>
      </c>
      <c r="AW58" s="17">
        <v>2805.25349273857</v>
      </c>
      <c r="AX58" s="18">
        <v>-0.130185350150575</v>
      </c>
      <c r="AY58" s="17">
        <v>421.38784106872299</v>
      </c>
      <c r="AZ58" s="18">
        <v>-1.1850543632732601E-2</v>
      </c>
      <c r="BA58" s="17">
        <v>2333.3775934087198</v>
      </c>
      <c r="BB58" s="18">
        <v>-0.12446730974145601</v>
      </c>
      <c r="BC58" s="17">
        <v>5265.4089350986296</v>
      </c>
      <c r="BD58" s="18">
        <v>-2.46074737646985E-2</v>
      </c>
      <c r="BE58" s="17">
        <v>-3153.6911636721102</v>
      </c>
      <c r="BF58" s="18">
        <v>9.9054912481417706E-2</v>
      </c>
      <c r="BG58" s="17"/>
      <c r="BH58" s="18"/>
    </row>
    <row r="59" spans="1:60" x14ac:dyDescent="0.2">
      <c r="A59" s="16">
        <v>1991</v>
      </c>
      <c r="B59" s="16">
        <v>4</v>
      </c>
      <c r="C59" s="17">
        <v>115761.886153817</v>
      </c>
      <c r="D59" s="18">
        <v>-8.2370146059194092E-3</v>
      </c>
      <c r="E59" s="17">
        <v>113549.23789092001</v>
      </c>
      <c r="F59" s="18">
        <v>-5.4466175431744403E-3</v>
      </c>
      <c r="G59" s="17">
        <v>1266.5496096070201</v>
      </c>
      <c r="H59" s="18">
        <v>1.4587674849142499E-2</v>
      </c>
      <c r="I59" s="17">
        <v>193.66686341152499</v>
      </c>
      <c r="J59" s="18">
        <v>-5.71319345201396E-2</v>
      </c>
      <c r="K59" s="17">
        <v>18238.984173331799</v>
      </c>
      <c r="L59" s="18">
        <v>-2.50814487125428E-3</v>
      </c>
      <c r="M59" s="17">
        <v>1457.57676246605</v>
      </c>
      <c r="N59" s="18">
        <v>7.2858644250703999E-2</v>
      </c>
      <c r="O59" s="17">
        <v>19908.074231189799</v>
      </c>
      <c r="P59" s="18">
        <v>-1.6332140751022101E-2</v>
      </c>
      <c r="Q59" s="17">
        <v>3581.8520946587</v>
      </c>
      <c r="R59" s="18">
        <v>3.6451226247083697E-2</v>
      </c>
      <c r="S59" s="17">
        <v>388.18395365510798</v>
      </c>
      <c r="T59" s="18">
        <v>0.136934617726265</v>
      </c>
      <c r="U59" s="17">
        <v>8142.2314410781401</v>
      </c>
      <c r="V59" s="18">
        <v>-3.3087636152500703E-2</v>
      </c>
      <c r="W59" s="17">
        <v>17325.4463565976</v>
      </c>
      <c r="X59" s="18">
        <v>-5.8161658514691197E-2</v>
      </c>
      <c r="Y59" s="17">
        <v>5306.6631580908897</v>
      </c>
      <c r="Z59" s="18">
        <v>-2.3998166012656998E-2</v>
      </c>
      <c r="AA59" s="17">
        <v>6706.5453615050801</v>
      </c>
      <c r="AB59" s="18">
        <v>0.11905957020524099</v>
      </c>
      <c r="AC59" s="17">
        <v>3360.5092261058098</v>
      </c>
      <c r="AD59" s="18">
        <v>-1.0365888551854399E-2</v>
      </c>
      <c r="AE59" s="17">
        <v>4360.0177738001703</v>
      </c>
      <c r="AF59" s="18">
        <v>8.3541337337547095E-3</v>
      </c>
      <c r="AG59" s="17">
        <v>6613.2688536432497</v>
      </c>
      <c r="AH59" s="18">
        <v>7.0575772252385899E-2</v>
      </c>
      <c r="AI59" s="17">
        <v>3590.4285160168001</v>
      </c>
      <c r="AJ59" s="18">
        <v>8.23251387710775E-2</v>
      </c>
      <c r="AK59" s="17">
        <v>2270.8579256038402</v>
      </c>
      <c r="AL59" s="18">
        <v>5.77535942814527E-2</v>
      </c>
      <c r="AM59" s="17">
        <v>22367.180338992101</v>
      </c>
      <c r="AN59" s="18">
        <v>-5.97939793038549E-3</v>
      </c>
      <c r="AO59" s="17">
        <v>8898.0604747438392</v>
      </c>
      <c r="AP59" s="18">
        <v>3.46713538331622E-3</v>
      </c>
      <c r="AQ59" s="17">
        <v>6677.8411692255004</v>
      </c>
      <c r="AR59" s="18">
        <v>-3.4595935510187199E-2</v>
      </c>
      <c r="AS59" s="17">
        <v>5697.8009501131801</v>
      </c>
      <c r="AT59" s="18">
        <v>1.0349296458552801E-2</v>
      </c>
      <c r="AU59" s="17">
        <v>776.40958063581104</v>
      </c>
      <c r="AV59" s="18">
        <v>8.6131184803668309E-3</v>
      </c>
      <c r="AW59" s="17">
        <v>2731.2892580206599</v>
      </c>
      <c r="AX59" s="18">
        <v>-0.123901534408546</v>
      </c>
      <c r="AY59" s="17">
        <v>421.12325701384401</v>
      </c>
      <c r="AZ59" s="18">
        <v>-1.42528611402972E-2</v>
      </c>
      <c r="BA59" s="17">
        <v>2431.3355685733</v>
      </c>
      <c r="BB59" s="18">
        <v>-0.11078153999824</v>
      </c>
      <c r="BC59" s="17">
        <v>5340.4659774662396</v>
      </c>
      <c r="BD59" s="18">
        <v>-2.60382992191917E-2</v>
      </c>
      <c r="BE59" s="17">
        <v>-3112.3094396139199</v>
      </c>
      <c r="BF59" s="18">
        <v>8.0803955412302605E-2</v>
      </c>
      <c r="BG59" s="17"/>
      <c r="BH59" s="18"/>
    </row>
    <row r="60" spans="1:60" x14ac:dyDescent="0.2">
      <c r="A60" s="16">
        <v>1992</v>
      </c>
      <c r="B60" s="16">
        <v>1</v>
      </c>
      <c r="C60" s="17">
        <v>112514.88330763701</v>
      </c>
      <c r="D60" s="18">
        <v>8.9086149606298903E-4</v>
      </c>
      <c r="E60" s="17">
        <v>110431.543627794</v>
      </c>
      <c r="F60" s="18">
        <v>2.73267271127331E-3</v>
      </c>
      <c r="G60" s="17">
        <v>1293.8715819211</v>
      </c>
      <c r="H60" s="18">
        <v>3.8477277776903997E-2</v>
      </c>
      <c r="I60" s="17">
        <v>163.28069824936799</v>
      </c>
      <c r="J60" s="18">
        <v>-0.113175154900893</v>
      </c>
      <c r="K60" s="17">
        <v>17795.1796734253</v>
      </c>
      <c r="L60" s="18">
        <v>1.8532460228935E-2</v>
      </c>
      <c r="M60" s="17">
        <v>1535.53091198314</v>
      </c>
      <c r="N60" s="18">
        <v>9.0858688607145202E-2</v>
      </c>
      <c r="O60" s="17">
        <v>19121.607391048499</v>
      </c>
      <c r="P60" s="18">
        <v>4.3214979731211996E-3</v>
      </c>
      <c r="Q60" s="17">
        <v>3553.1322584346899</v>
      </c>
      <c r="R60" s="18">
        <v>6.3563463461515602E-3</v>
      </c>
      <c r="S60" s="17">
        <v>399.75400182547997</v>
      </c>
      <c r="T60" s="18">
        <v>0.13387067773738701</v>
      </c>
      <c r="U60" s="17">
        <v>8460.3925412030603</v>
      </c>
      <c r="V60" s="18">
        <v>-4.3973651807540801E-2</v>
      </c>
      <c r="W60" s="17">
        <v>14191.6839764131</v>
      </c>
      <c r="X60" s="18">
        <v>-2.1394078705783599E-2</v>
      </c>
      <c r="Y60" s="17">
        <v>4183.90621935326</v>
      </c>
      <c r="Z60" s="18">
        <v>-2.1285708984799999E-2</v>
      </c>
      <c r="AA60" s="17">
        <v>6691.56102661971</v>
      </c>
      <c r="AB60" s="18">
        <v>5.7259294733032602E-2</v>
      </c>
      <c r="AC60" s="17">
        <v>3719.0513620710399</v>
      </c>
      <c r="AD60" s="18">
        <v>-2.03669705375128E-2</v>
      </c>
      <c r="AE60" s="17">
        <v>4331.2374298906698</v>
      </c>
      <c r="AF60" s="18">
        <v>-2.2591469053373499E-3</v>
      </c>
      <c r="AG60" s="17">
        <v>6968.8694130792001</v>
      </c>
      <c r="AH60" s="18">
        <v>5.48968339917262E-2</v>
      </c>
      <c r="AI60" s="17">
        <v>3946.0523550449602</v>
      </c>
      <c r="AJ60" s="18">
        <v>2.2934939739018601E-2</v>
      </c>
      <c r="AK60" s="17">
        <v>2333.06937174839</v>
      </c>
      <c r="AL60" s="18">
        <v>8.0060066307157396E-2</v>
      </c>
      <c r="AM60" s="17">
        <v>22437.652072885401</v>
      </c>
      <c r="AN60" s="18">
        <v>-3.85117633743093E-3</v>
      </c>
      <c r="AO60" s="17">
        <v>8910.5875266882595</v>
      </c>
      <c r="AP60" s="18">
        <v>6.3384159033879096E-3</v>
      </c>
      <c r="AQ60" s="17">
        <v>6672.9614964648899</v>
      </c>
      <c r="AR60" s="18">
        <v>-2.2170896996270201E-2</v>
      </c>
      <c r="AS60" s="17">
        <v>5706.37497071706</v>
      </c>
      <c r="AT60" s="18">
        <v>9.1189902777084608E-3</v>
      </c>
      <c r="AU60" s="17">
        <v>747.96025023995503</v>
      </c>
      <c r="AV60" s="18">
        <v>-8.1387780284890507E-2</v>
      </c>
      <c r="AW60" s="17">
        <v>2697.15283293533</v>
      </c>
      <c r="AX60" s="18">
        <v>-9.0822461725753798E-2</v>
      </c>
      <c r="AY60" s="17">
        <v>420.782416717388</v>
      </c>
      <c r="AZ60" s="18">
        <v>-8.6703068546674106E-3</v>
      </c>
      <c r="BA60" s="17">
        <v>2299.1106751095099</v>
      </c>
      <c r="BB60" s="18">
        <v>-7.2962139856607697E-2</v>
      </c>
      <c r="BC60" s="17">
        <v>5186.9810022148104</v>
      </c>
      <c r="BD60" s="18">
        <v>-2.5385441455519801E-2</v>
      </c>
      <c r="BE60" s="17">
        <v>-3101.3984185956701</v>
      </c>
      <c r="BF60" s="18">
        <v>2.51183331867391E-2</v>
      </c>
      <c r="BG60" s="17"/>
      <c r="BH60" s="18"/>
    </row>
    <row r="61" spans="1:60" x14ac:dyDescent="0.2">
      <c r="A61" s="16">
        <v>1992</v>
      </c>
      <c r="B61" s="16">
        <v>2</v>
      </c>
      <c r="C61" s="17">
        <v>113842.780853301</v>
      </c>
      <c r="D61" s="18">
        <v>4.3873574241266597E-3</v>
      </c>
      <c r="E61" s="17">
        <v>111726.591701107</v>
      </c>
      <c r="F61" s="18">
        <v>5.4398365860339696E-3</v>
      </c>
      <c r="G61" s="17">
        <v>1299.4469355219901</v>
      </c>
      <c r="H61" s="18">
        <v>3.9182720803028398E-2</v>
      </c>
      <c r="I61" s="17">
        <v>169.99585616974201</v>
      </c>
      <c r="J61" s="18">
        <v>-0.168776418937126</v>
      </c>
      <c r="K61" s="17">
        <v>17911.280732307499</v>
      </c>
      <c r="L61" s="18">
        <v>7.3741090641432604E-3</v>
      </c>
      <c r="M61" s="17">
        <v>1533.4820932354301</v>
      </c>
      <c r="N61" s="18">
        <v>7.4045950447338305E-2</v>
      </c>
      <c r="O61" s="17">
        <v>19278.394040925399</v>
      </c>
      <c r="P61" s="18">
        <v>-5.6889030665783196E-3</v>
      </c>
      <c r="Q61" s="17">
        <v>3571.5978748556499</v>
      </c>
      <c r="R61" s="18">
        <v>6.0194899037486503E-2</v>
      </c>
      <c r="S61" s="17">
        <v>406.76958348511999</v>
      </c>
      <c r="T61" s="18">
        <v>0.121173228909823</v>
      </c>
      <c r="U61" s="17">
        <v>8883.4651861500206</v>
      </c>
      <c r="V61" s="18">
        <v>-3.6921589212832999E-2</v>
      </c>
      <c r="W61" s="17">
        <v>15056.489469365701</v>
      </c>
      <c r="X61" s="18">
        <v>1.6885284891412101E-2</v>
      </c>
      <c r="Y61" s="17">
        <v>4452.4510028227696</v>
      </c>
      <c r="Z61" s="18">
        <v>1.3906433519595999E-2</v>
      </c>
      <c r="AA61" s="17">
        <v>6724.2030054987899</v>
      </c>
      <c r="AB61" s="18">
        <v>2.5699579136960998E-2</v>
      </c>
      <c r="AC61" s="17">
        <v>3526.9369840406898</v>
      </c>
      <c r="AD61" s="18">
        <v>-2.2655179240409499E-2</v>
      </c>
      <c r="AE61" s="17">
        <v>4280.9624537970903</v>
      </c>
      <c r="AF61" s="18">
        <v>-1.782225448139E-2</v>
      </c>
      <c r="AG61" s="17">
        <v>6825.5719733546102</v>
      </c>
      <c r="AH61" s="18">
        <v>2.1014823836742198E-2</v>
      </c>
      <c r="AI61" s="17">
        <v>3653.74574827784</v>
      </c>
      <c r="AJ61" s="18">
        <v>-6.06357294465492E-2</v>
      </c>
      <c r="AK61" s="17">
        <v>2382.07248043144</v>
      </c>
      <c r="AL61" s="18">
        <v>9.0118782440081993E-2</v>
      </c>
      <c r="AM61" s="17">
        <v>22445.107804718598</v>
      </c>
      <c r="AN61" s="18">
        <v>3.43440307405429E-3</v>
      </c>
      <c r="AO61" s="17">
        <v>8898.2403313705399</v>
      </c>
      <c r="AP61" s="18">
        <v>6.7957141391563596E-3</v>
      </c>
      <c r="AQ61" s="17">
        <v>6696.7873354481599</v>
      </c>
      <c r="AR61" s="18">
        <v>-8.3910746263942092E-3</v>
      </c>
      <c r="AS61" s="17">
        <v>5785.8397945917704</v>
      </c>
      <c r="AT61" s="18">
        <v>1.9733767172800599E-2</v>
      </c>
      <c r="AU61" s="17">
        <v>730.94369140942001</v>
      </c>
      <c r="AV61" s="18">
        <v>-6.7789273136992304E-2</v>
      </c>
      <c r="AW61" s="17">
        <v>2701.1527283903201</v>
      </c>
      <c r="AX61" s="18">
        <v>-4.9290019709200397E-2</v>
      </c>
      <c r="AY61" s="17">
        <v>420.19491657761398</v>
      </c>
      <c r="AZ61" s="18">
        <v>-5.4467175851701201E-3</v>
      </c>
      <c r="BA61" s="17">
        <v>2333.8836079173998</v>
      </c>
      <c r="BB61" s="18">
        <v>-3.97908550076305E-2</v>
      </c>
      <c r="BC61" s="17">
        <v>5198.4073160295202</v>
      </c>
      <c r="BD61" s="18">
        <v>-2.4645729832398201E-2</v>
      </c>
      <c r="BE61" s="17">
        <v>-3070.8310503545099</v>
      </c>
      <c r="BF61" s="18">
        <v>-9.58578500588869E-3</v>
      </c>
      <c r="BG61" s="17"/>
      <c r="BH61" s="18"/>
    </row>
    <row r="62" spans="1:60" x14ac:dyDescent="0.2">
      <c r="A62" s="16">
        <v>1992</v>
      </c>
      <c r="B62" s="16">
        <v>3</v>
      </c>
      <c r="C62" s="17">
        <v>112384.671232369</v>
      </c>
      <c r="D62" s="18">
        <v>3.46139103060361E-4</v>
      </c>
      <c r="E62" s="17">
        <v>110317.40761535399</v>
      </c>
      <c r="F62" s="18">
        <v>8.0873575028061995E-4</v>
      </c>
      <c r="G62" s="17">
        <v>1290.3734479345601</v>
      </c>
      <c r="H62" s="18">
        <v>2.6839515721631201E-2</v>
      </c>
      <c r="I62" s="17">
        <v>167.523650238324</v>
      </c>
      <c r="J62" s="18">
        <v>-0.172516987778667</v>
      </c>
      <c r="K62" s="17">
        <v>17303.608918037698</v>
      </c>
      <c r="L62" s="18">
        <v>3.2870682714976102E-3</v>
      </c>
      <c r="M62" s="17">
        <v>1499.45616945438</v>
      </c>
      <c r="N62" s="18">
        <v>4.9586944432733503E-2</v>
      </c>
      <c r="O62" s="17">
        <v>18576.559783417099</v>
      </c>
      <c r="P62" s="18">
        <v>-6.0055889999424102E-3</v>
      </c>
      <c r="Q62" s="17">
        <v>3658.0999302855098</v>
      </c>
      <c r="R62" s="18">
        <v>6.7377121173342297E-2</v>
      </c>
      <c r="S62" s="17">
        <v>412.71551948208503</v>
      </c>
      <c r="T62" s="18">
        <v>0.10040627982471199</v>
      </c>
      <c r="U62" s="17">
        <v>9048.6805017225797</v>
      </c>
      <c r="V62" s="18">
        <v>-4.6138278727661998E-2</v>
      </c>
      <c r="W62" s="17">
        <v>14274.7305934008</v>
      </c>
      <c r="X62" s="18">
        <v>2.90649255812159E-2</v>
      </c>
      <c r="Y62" s="17">
        <v>4304.8929412044599</v>
      </c>
      <c r="Z62" s="18">
        <v>1.28038700276578E-2</v>
      </c>
      <c r="AA62" s="17">
        <v>6736.2383929771704</v>
      </c>
      <c r="AB62" s="18">
        <v>2.2749946130442601E-3</v>
      </c>
      <c r="AC62" s="17">
        <v>4059.2314099240202</v>
      </c>
      <c r="AD62" s="18">
        <v>-4.3941841500496598E-2</v>
      </c>
      <c r="AE62" s="17">
        <v>4214.5659052234196</v>
      </c>
      <c r="AF62" s="18">
        <v>-3.8415801994481601E-2</v>
      </c>
      <c r="AG62" s="17">
        <v>6904.5689196801404</v>
      </c>
      <c r="AH62" s="18">
        <v>3.8035936212266398E-2</v>
      </c>
      <c r="AI62" s="17">
        <v>3694.6389317006601</v>
      </c>
      <c r="AJ62" s="18">
        <v>-1.5564235273873401E-2</v>
      </c>
      <c r="AK62" s="17">
        <v>2418.90288609766</v>
      </c>
      <c r="AL62" s="18">
        <v>8.8666167273390994E-2</v>
      </c>
      <c r="AM62" s="17">
        <v>22270.601565196499</v>
      </c>
      <c r="AN62" s="18">
        <v>-4.70288263855445E-3</v>
      </c>
      <c r="AO62" s="17">
        <v>8846.1077036601691</v>
      </c>
      <c r="AP62" s="18">
        <v>-2.3630930425891901E-3</v>
      </c>
      <c r="AQ62" s="17">
        <v>6749.3407926238497</v>
      </c>
      <c r="AR62" s="18">
        <v>6.6634786686217097E-3</v>
      </c>
      <c r="AS62" s="17">
        <v>5630.7806354430404</v>
      </c>
      <c r="AT62" s="18">
        <v>-9.8249962686491905E-3</v>
      </c>
      <c r="AU62" s="17">
        <v>659.18382544215297</v>
      </c>
      <c r="AV62" s="18">
        <v>-0.16870507004018301</v>
      </c>
      <c r="AW62" s="17">
        <v>2629.5799583456501</v>
      </c>
      <c r="AX62" s="18">
        <v>-6.2623051659200804E-2</v>
      </c>
      <c r="AY62" s="17">
        <v>420.12401556147398</v>
      </c>
      <c r="AZ62" s="18">
        <v>-2.9991978507112301E-3</v>
      </c>
      <c r="BA62" s="17">
        <v>2283.8154315454399</v>
      </c>
      <c r="BB62" s="18">
        <v>-2.1240523609760999E-2</v>
      </c>
      <c r="BC62" s="17">
        <v>5130.2794063143201</v>
      </c>
      <c r="BD62" s="18">
        <v>-2.5663634192502099E-2</v>
      </c>
      <c r="BE62" s="17">
        <v>-3055.11105469524</v>
      </c>
      <c r="BF62" s="18">
        <v>-3.1258643874971501E-2</v>
      </c>
      <c r="BG62" s="17"/>
      <c r="BH62" s="18"/>
    </row>
    <row r="63" spans="1:60" x14ac:dyDescent="0.2">
      <c r="A63" s="16">
        <v>1992</v>
      </c>
      <c r="B63" s="16">
        <v>4</v>
      </c>
      <c r="C63" s="17">
        <v>114927.07571343399</v>
      </c>
      <c r="D63" s="18">
        <v>-7.2114447001475597E-3</v>
      </c>
      <c r="E63" s="17">
        <v>112745.031956987</v>
      </c>
      <c r="F63" s="18">
        <v>-7.0824423736417499E-3</v>
      </c>
      <c r="G63" s="17">
        <v>1280.4787158972199</v>
      </c>
      <c r="H63" s="18">
        <v>1.0997679194364901E-2</v>
      </c>
      <c r="I63" s="17">
        <v>163.18725930198599</v>
      </c>
      <c r="J63" s="18">
        <v>-0.157381616930372</v>
      </c>
      <c r="K63" s="17">
        <v>17779.323972811799</v>
      </c>
      <c r="L63" s="18">
        <v>-2.5202072448317198E-2</v>
      </c>
      <c r="M63" s="17">
        <v>1508.21422568772</v>
      </c>
      <c r="N63" s="18">
        <v>3.4740855182126898E-2</v>
      </c>
      <c r="O63" s="17">
        <v>19173.4491120606</v>
      </c>
      <c r="P63" s="18">
        <v>-3.69008629663563E-2</v>
      </c>
      <c r="Q63" s="17">
        <v>3582.47991743685</v>
      </c>
      <c r="R63" s="18">
        <v>1.75278811507917E-4</v>
      </c>
      <c r="S63" s="17">
        <v>413.93504482857003</v>
      </c>
      <c r="T63" s="18">
        <v>6.6337340662827399E-2</v>
      </c>
      <c r="U63" s="17">
        <v>8236.1733632453197</v>
      </c>
      <c r="V63" s="18">
        <v>1.1537613840505201E-2</v>
      </c>
      <c r="W63" s="17">
        <v>17150.527613008198</v>
      </c>
      <c r="X63" s="18">
        <v>-1.00960598641536E-2</v>
      </c>
      <c r="Y63" s="17">
        <v>5261.4612805338102</v>
      </c>
      <c r="Z63" s="18">
        <v>-8.5179473824639196E-3</v>
      </c>
      <c r="AA63" s="17">
        <v>6637.62080319493</v>
      </c>
      <c r="AB63" s="18">
        <v>-1.02772075032502E-2</v>
      </c>
      <c r="AC63" s="17">
        <v>3207.17544680535</v>
      </c>
      <c r="AD63" s="18">
        <v>-4.5628138173018799E-2</v>
      </c>
      <c r="AE63" s="17">
        <v>4131.0128129290197</v>
      </c>
      <c r="AF63" s="18">
        <v>-5.25238594776547E-2</v>
      </c>
      <c r="AG63" s="17">
        <v>7163.5654168475803</v>
      </c>
      <c r="AH63" s="18">
        <v>8.3210977110233203E-2</v>
      </c>
      <c r="AI63" s="17">
        <v>3981.5961615338301</v>
      </c>
      <c r="AJ63" s="18">
        <v>0.108947342572631</v>
      </c>
      <c r="AK63" s="17">
        <v>2444.0537113658702</v>
      </c>
      <c r="AL63" s="18">
        <v>7.6268877858562303E-2</v>
      </c>
      <c r="AM63" s="17">
        <v>22064.896601149099</v>
      </c>
      <c r="AN63" s="18">
        <v>-1.3514610838812899E-2</v>
      </c>
      <c r="AO63" s="17">
        <v>8788.0288053808308</v>
      </c>
      <c r="AP63" s="18">
        <v>-1.23658037249038E-2</v>
      </c>
      <c r="AQ63" s="17">
        <v>6830.6706289315998</v>
      </c>
      <c r="AR63" s="18">
        <v>2.2886057909015298E-2</v>
      </c>
      <c r="AS63" s="17">
        <v>5638.4899670170298</v>
      </c>
      <c r="AT63" s="18">
        <v>-1.0409451578854799E-2</v>
      </c>
      <c r="AU63" s="17">
        <v>662.88273788501203</v>
      </c>
      <c r="AV63" s="18">
        <v>-0.14622030122017701</v>
      </c>
      <c r="AW63" s="17">
        <v>2564.1060927171002</v>
      </c>
      <c r="AX63" s="18">
        <v>-6.1210347755229301E-2</v>
      </c>
      <c r="AY63" s="17">
        <v>420.50056685919299</v>
      </c>
      <c r="AZ63" s="18">
        <v>-1.47864109682827E-3</v>
      </c>
      <c r="BA63" s="17">
        <v>2398.36532250446</v>
      </c>
      <c r="BB63" s="18">
        <v>-1.35605493931E-2</v>
      </c>
      <c r="BC63" s="17">
        <v>5205.6640397159399</v>
      </c>
      <c r="BD63" s="18">
        <v>-2.5241605942081399E-2</v>
      </c>
      <c r="BE63" s="17">
        <v>-2998.0439361956801</v>
      </c>
      <c r="BF63" s="18">
        <v>-3.6714056116607899E-2</v>
      </c>
      <c r="BG63" s="17"/>
      <c r="BH63" s="18"/>
    </row>
    <row r="64" spans="1:60" x14ac:dyDescent="0.2">
      <c r="A64" s="16">
        <v>1993</v>
      </c>
      <c r="B64" s="16">
        <v>1</v>
      </c>
      <c r="C64" s="17">
        <v>110359.362067843</v>
      </c>
      <c r="D64" s="18">
        <v>-1.9157654315831399E-2</v>
      </c>
      <c r="E64" s="17">
        <v>108298.01406104901</v>
      </c>
      <c r="F64" s="18">
        <v>-1.9319928859597699E-2</v>
      </c>
      <c r="G64" s="17">
        <v>1265.46977451783</v>
      </c>
      <c r="H64" s="18">
        <v>-2.19510249704261E-2</v>
      </c>
      <c r="I64" s="17">
        <v>154.91842765227</v>
      </c>
      <c r="J64" s="18">
        <v>-5.1214079108888103E-2</v>
      </c>
      <c r="K64" s="17">
        <v>17213.7432781356</v>
      </c>
      <c r="L64" s="18">
        <v>-3.2673814255331397E-2</v>
      </c>
      <c r="M64" s="17">
        <v>1566.4398040234601</v>
      </c>
      <c r="N64" s="18">
        <v>2.01291239395485E-2</v>
      </c>
      <c r="O64" s="17">
        <v>18281.636085133701</v>
      </c>
      <c r="P64" s="18">
        <v>-4.3927860704220001E-2</v>
      </c>
      <c r="Q64" s="17">
        <v>3600.02799283691</v>
      </c>
      <c r="R64" s="18">
        <v>1.3198420714819E-2</v>
      </c>
      <c r="S64" s="17">
        <v>410.90270069533301</v>
      </c>
      <c r="T64" s="18">
        <v>2.7888898720067602E-2</v>
      </c>
      <c r="U64" s="17">
        <v>8137.69076266702</v>
      </c>
      <c r="V64" s="18">
        <v>-3.8142648460393398E-2</v>
      </c>
      <c r="W64" s="17">
        <v>13536.347605933601</v>
      </c>
      <c r="X64" s="18">
        <v>-4.6177491802148501E-2</v>
      </c>
      <c r="Y64" s="17">
        <v>4061.9816024634601</v>
      </c>
      <c r="Z64" s="18">
        <v>-2.9141335990233299E-2</v>
      </c>
      <c r="AA64" s="17">
        <v>6565.6470736356396</v>
      </c>
      <c r="AB64" s="18">
        <v>-1.88168280141459E-2</v>
      </c>
      <c r="AC64" s="17">
        <v>3610.3484450965402</v>
      </c>
      <c r="AD64" s="18">
        <v>-2.9228667848774301E-2</v>
      </c>
      <c r="AE64" s="17">
        <v>4060.7517281729702</v>
      </c>
      <c r="AF64" s="18">
        <v>-6.2449982504083103E-2</v>
      </c>
      <c r="AG64" s="17">
        <v>7387.1778824970397</v>
      </c>
      <c r="AH64" s="18">
        <v>6.0025298886037699E-2</v>
      </c>
      <c r="AI64" s="17">
        <v>4221.7564098275298</v>
      </c>
      <c r="AJ64" s="18">
        <v>6.9868321546744203E-2</v>
      </c>
      <c r="AK64" s="17">
        <v>2457.49754446929</v>
      </c>
      <c r="AL64" s="18">
        <v>5.3332393038809899E-2</v>
      </c>
      <c r="AM64" s="17">
        <v>22012.467653503802</v>
      </c>
      <c r="AN64" s="18">
        <v>-1.8949594993293899E-2</v>
      </c>
      <c r="AO64" s="17">
        <v>8805.2302572008794</v>
      </c>
      <c r="AP64" s="18">
        <v>-1.18238297050366E-2</v>
      </c>
      <c r="AQ64" s="17">
        <v>6940.85230504429</v>
      </c>
      <c r="AR64" s="18">
        <v>4.0145714720714702E-2</v>
      </c>
      <c r="AS64" s="17">
        <v>5648.7848062441099</v>
      </c>
      <c r="AT64" s="18">
        <v>-1.00922502934837E-2</v>
      </c>
      <c r="AU64" s="17">
        <v>648.73477101288199</v>
      </c>
      <c r="AV64" s="18">
        <v>-0.132661433806462</v>
      </c>
      <c r="AW64" s="17">
        <v>2550.6166016485299</v>
      </c>
      <c r="AX64" s="18">
        <v>-5.4329969550640303E-2</v>
      </c>
      <c r="AY64" s="17">
        <v>421.10796393080898</v>
      </c>
      <c r="AZ64" s="18">
        <v>7.7367114329640596E-4</v>
      </c>
      <c r="BA64" s="17">
        <v>2271.84997188129</v>
      </c>
      <c r="BB64" s="18">
        <v>-1.18570643524677E-2</v>
      </c>
      <c r="BC64" s="17">
        <v>5056.63578119662</v>
      </c>
      <c r="BD64" s="18">
        <v>-2.51293037245627E-2</v>
      </c>
      <c r="BE64" s="17">
        <v>-2984.9419675079698</v>
      </c>
      <c r="BF64" s="18">
        <v>-3.7549658370056999E-2</v>
      </c>
      <c r="BG64" s="17"/>
      <c r="BH64" s="18"/>
    </row>
    <row r="65" spans="1:60" x14ac:dyDescent="0.2">
      <c r="A65" s="16">
        <v>1993</v>
      </c>
      <c r="B65" s="16">
        <v>2</v>
      </c>
      <c r="C65" s="17">
        <v>112853.98230312399</v>
      </c>
      <c r="D65" s="18">
        <v>-8.6856500057827003E-3</v>
      </c>
      <c r="E65" s="17">
        <v>110681.30794725299</v>
      </c>
      <c r="F65" s="18">
        <v>-9.3557293562758197E-3</v>
      </c>
      <c r="G65" s="17">
        <v>1251.7072933172999</v>
      </c>
      <c r="H65" s="18">
        <v>-3.6738431481630002E-2</v>
      </c>
      <c r="I65" s="17">
        <v>168.584345302874</v>
      </c>
      <c r="J65" s="18">
        <v>-8.3032074938287296E-3</v>
      </c>
      <c r="K65" s="17">
        <v>17651.068285225701</v>
      </c>
      <c r="L65" s="18">
        <v>-1.4527852640514999E-2</v>
      </c>
      <c r="M65" s="17">
        <v>1606.6962796486901</v>
      </c>
      <c r="N65" s="18">
        <v>4.77437504723617E-2</v>
      </c>
      <c r="O65" s="17">
        <v>18744.8701573121</v>
      </c>
      <c r="P65" s="18">
        <v>-2.76747058121498E-2</v>
      </c>
      <c r="Q65" s="17">
        <v>3550.0660390868302</v>
      </c>
      <c r="R65" s="18">
        <v>-6.0286282283937799E-3</v>
      </c>
      <c r="S65" s="17">
        <v>405.88594124658101</v>
      </c>
      <c r="T65" s="18">
        <v>-2.1723409871705602E-3</v>
      </c>
      <c r="U65" s="17">
        <v>8609.9925368391705</v>
      </c>
      <c r="V65" s="18">
        <v>-3.0784456693455801E-2</v>
      </c>
      <c r="W65" s="17">
        <v>14378.0463309184</v>
      </c>
      <c r="X65" s="18">
        <v>-4.5059848766715899E-2</v>
      </c>
      <c r="Y65" s="17">
        <v>4327.0752446789802</v>
      </c>
      <c r="Z65" s="18">
        <v>-2.8158818157526501E-2</v>
      </c>
      <c r="AA65" s="17">
        <v>6537.1856688166499</v>
      </c>
      <c r="AB65" s="18">
        <v>-2.78125655232607E-2</v>
      </c>
      <c r="AC65" s="17">
        <v>3416.3184209756701</v>
      </c>
      <c r="AD65" s="18">
        <v>-3.1363918200287402E-2</v>
      </c>
      <c r="AE65" s="17">
        <v>4065.2578584193502</v>
      </c>
      <c r="AF65" s="18">
        <v>-5.0386939316980801E-2</v>
      </c>
      <c r="AG65" s="17">
        <v>7450.5920936746697</v>
      </c>
      <c r="AH65" s="18">
        <v>9.1570365496106906E-2</v>
      </c>
      <c r="AI65" s="17">
        <v>4276.0881218538598</v>
      </c>
      <c r="AJ65" s="18">
        <v>0.17032996175756099</v>
      </c>
      <c r="AK65" s="17">
        <v>2467.73163392885</v>
      </c>
      <c r="AL65" s="18">
        <v>3.5959927416604497E-2</v>
      </c>
      <c r="AM65" s="17">
        <v>22529.791622757799</v>
      </c>
      <c r="AN65" s="18">
        <v>3.7729298863693498E-3</v>
      </c>
      <c r="AO65" s="17">
        <v>8887.3593109483008</v>
      </c>
      <c r="AP65" s="18">
        <v>-1.2228283365056699E-3</v>
      </c>
      <c r="AQ65" s="17">
        <v>6943.9967284590803</v>
      </c>
      <c r="AR65" s="18">
        <v>3.6914624972838497E-2</v>
      </c>
      <c r="AS65" s="17">
        <v>5745.7319528122098</v>
      </c>
      <c r="AT65" s="18">
        <v>-6.9320691902070601E-3</v>
      </c>
      <c r="AU65" s="17">
        <v>657.27440913561202</v>
      </c>
      <c r="AV65" s="18">
        <v>-0.100786535460423</v>
      </c>
      <c r="AW65" s="17">
        <v>2587.42450285001</v>
      </c>
      <c r="AX65" s="18">
        <v>-4.2103589458299999E-2</v>
      </c>
      <c r="AY65" s="17">
        <v>422.74305288503899</v>
      </c>
      <c r="AZ65" s="18">
        <v>6.0641769019451602E-3</v>
      </c>
      <c r="BA65" s="17">
        <v>2385.3499924309799</v>
      </c>
      <c r="BB65" s="18">
        <v>2.2051821410024298E-2</v>
      </c>
      <c r="BC65" s="17">
        <v>5153.5256249764898</v>
      </c>
      <c r="BD65" s="18">
        <v>-8.6337388212420797E-3</v>
      </c>
      <c r="BE65" s="17">
        <v>-2959.6189497035298</v>
      </c>
      <c r="BF65" s="18">
        <v>-3.6215636362715103E-2</v>
      </c>
      <c r="BG65" s="17"/>
      <c r="BH65" s="18"/>
    </row>
    <row r="66" spans="1:60" x14ac:dyDescent="0.2">
      <c r="A66" s="16">
        <v>1993</v>
      </c>
      <c r="B66" s="16">
        <v>3</v>
      </c>
      <c r="C66" s="17">
        <v>113072.79655946699</v>
      </c>
      <c r="D66" s="18">
        <v>6.1229464797349902E-3</v>
      </c>
      <c r="E66" s="17">
        <v>110863.89891165499</v>
      </c>
      <c r="F66" s="18">
        <v>4.9538083618376697E-3</v>
      </c>
      <c r="G66" s="17">
        <v>1229.8914796122699</v>
      </c>
      <c r="H66" s="18">
        <v>-4.6871677667500798E-2</v>
      </c>
      <c r="I66" s="17">
        <v>168.576459678025</v>
      </c>
      <c r="J66" s="18">
        <v>6.2845421419810404E-3</v>
      </c>
      <c r="K66" s="17">
        <v>17439.078061998</v>
      </c>
      <c r="L66" s="18">
        <v>7.8289531739843508E-3</v>
      </c>
      <c r="M66" s="17">
        <v>1606.5864400919199</v>
      </c>
      <c r="N66" s="18">
        <v>7.1446083466728996E-2</v>
      </c>
      <c r="O66" s="17">
        <v>18468.8194835133</v>
      </c>
      <c r="P66" s="18">
        <v>-5.7997983028021897E-3</v>
      </c>
      <c r="Q66" s="17">
        <v>3869.4346778713202</v>
      </c>
      <c r="R66" s="18">
        <v>5.7771726200304803E-2</v>
      </c>
      <c r="S66" s="17">
        <v>428.68831537924501</v>
      </c>
      <c r="T66" s="18">
        <v>3.8701708908849698E-2</v>
      </c>
      <c r="U66" s="17">
        <v>8757.99430059927</v>
      </c>
      <c r="V66" s="18">
        <v>-3.2124706035091502E-2</v>
      </c>
      <c r="W66" s="17">
        <v>13926.7683581079</v>
      </c>
      <c r="X66" s="18">
        <v>-2.43760982399021E-2</v>
      </c>
      <c r="Y66" s="17">
        <v>4268.62057370822</v>
      </c>
      <c r="Z66" s="18">
        <v>-8.4258465870443704E-3</v>
      </c>
      <c r="AA66" s="17">
        <v>6542.9789797794701</v>
      </c>
      <c r="AB66" s="18">
        <v>-2.8689515115614201E-2</v>
      </c>
      <c r="AC66" s="17">
        <v>3899.9939237152498</v>
      </c>
      <c r="AD66" s="18">
        <v>-3.9228481978008899E-2</v>
      </c>
      <c r="AE66" s="17">
        <v>4025.4477396703901</v>
      </c>
      <c r="AF66" s="18">
        <v>-4.4872513517619401E-2</v>
      </c>
      <c r="AG66" s="17">
        <v>7606.3247028059004</v>
      </c>
      <c r="AH66" s="18">
        <v>0.101636436870887</v>
      </c>
      <c r="AI66" s="17">
        <v>4440.5129443501</v>
      </c>
      <c r="AJ66" s="18">
        <v>0.201880082583905</v>
      </c>
      <c r="AK66" s="17">
        <v>2474.0637603695</v>
      </c>
      <c r="AL66" s="18">
        <v>2.28040879974463E-2</v>
      </c>
      <c r="AM66" s="17">
        <v>22715.223364703299</v>
      </c>
      <c r="AN66" s="18">
        <v>1.9964516818510698E-2</v>
      </c>
      <c r="AO66" s="17">
        <v>8925.7047730295508</v>
      </c>
      <c r="AP66" s="18">
        <v>8.9979765153045399E-3</v>
      </c>
      <c r="AQ66" s="17">
        <v>6840.1068166822597</v>
      </c>
      <c r="AR66" s="18">
        <v>1.34481317283028E-2</v>
      </c>
      <c r="AS66" s="17">
        <v>5795.5213602920403</v>
      </c>
      <c r="AT66" s="18">
        <v>2.9257173297081399E-2</v>
      </c>
      <c r="AU66" s="17">
        <v>633.39739878093997</v>
      </c>
      <c r="AV66" s="18">
        <v>-3.91187187336055E-2</v>
      </c>
      <c r="AW66" s="17">
        <v>2550.2829862639501</v>
      </c>
      <c r="AX66" s="18">
        <v>-3.0155756180763799E-2</v>
      </c>
      <c r="AY66" s="17">
        <v>425.63390532086697</v>
      </c>
      <c r="AZ66" s="18">
        <v>1.3114912633663999E-2</v>
      </c>
      <c r="BA66" s="17">
        <v>2420.7074920190498</v>
      </c>
      <c r="BB66" s="18">
        <v>5.9940071593689498E-2</v>
      </c>
      <c r="BC66" s="17">
        <v>5185.7544976007903</v>
      </c>
      <c r="BD66" s="18">
        <v>1.0813269004060501E-2</v>
      </c>
      <c r="BE66" s="17">
        <v>-2954.0219106017498</v>
      </c>
      <c r="BF66" s="18">
        <v>-3.3088533373651002E-2</v>
      </c>
      <c r="BG66" s="17"/>
      <c r="BH66" s="18"/>
    </row>
    <row r="67" spans="1:60" x14ac:dyDescent="0.2">
      <c r="A67" s="16">
        <v>1993</v>
      </c>
      <c r="B67" s="16">
        <v>4</v>
      </c>
      <c r="C67" s="17">
        <v>116811.721364875</v>
      </c>
      <c r="D67" s="18">
        <v>1.6398621819454999E-2</v>
      </c>
      <c r="E67" s="17">
        <v>114395.24245753299</v>
      </c>
      <c r="F67" s="18">
        <v>1.4636658235863499E-2</v>
      </c>
      <c r="G67" s="17">
        <v>1204.8692535975799</v>
      </c>
      <c r="H67" s="18">
        <v>-5.9047808730392601E-2</v>
      </c>
      <c r="I67" s="17">
        <v>159.41484560420901</v>
      </c>
      <c r="J67" s="18">
        <v>-2.3117084715511799E-2</v>
      </c>
      <c r="K67" s="17">
        <v>18456.551246544899</v>
      </c>
      <c r="L67" s="18">
        <v>3.80907212652579E-2</v>
      </c>
      <c r="M67" s="17">
        <v>1654.9362524483599</v>
      </c>
      <c r="N67" s="18">
        <v>9.7281953890690401E-2</v>
      </c>
      <c r="O67" s="17">
        <v>19666.831393730801</v>
      </c>
      <c r="P67" s="18">
        <v>2.57325783580491E-2</v>
      </c>
      <c r="Q67" s="17">
        <v>4106.9300362108397</v>
      </c>
      <c r="R67" s="18">
        <v>0.14639303802412401</v>
      </c>
      <c r="S67" s="17">
        <v>421.52645879193898</v>
      </c>
      <c r="T67" s="18">
        <v>1.8339626127845201E-2</v>
      </c>
      <c r="U67" s="17">
        <v>8200.1864327125095</v>
      </c>
      <c r="V67" s="18">
        <v>-4.3693750660231999E-3</v>
      </c>
      <c r="W67" s="17">
        <v>16589.763095939899</v>
      </c>
      <c r="X67" s="18">
        <v>-3.2696633580121398E-2</v>
      </c>
      <c r="Y67" s="17">
        <v>5108.32011762406</v>
      </c>
      <c r="Z67" s="18">
        <v>-2.9106203532530399E-2</v>
      </c>
      <c r="AA67" s="17">
        <v>6475.5084832770399</v>
      </c>
      <c r="AB67" s="18">
        <v>-2.4423257176707101E-2</v>
      </c>
      <c r="AC67" s="17">
        <v>3039.05292281624</v>
      </c>
      <c r="AD67" s="18">
        <v>-5.2420744289673499E-2</v>
      </c>
      <c r="AE67" s="17">
        <v>3995.1338705212002</v>
      </c>
      <c r="AF67" s="18">
        <v>-3.28924040086611E-2</v>
      </c>
      <c r="AG67" s="17">
        <v>7844.5895641035804</v>
      </c>
      <c r="AH67" s="18">
        <v>9.5067764112872793E-2</v>
      </c>
      <c r="AI67" s="17">
        <v>4699.8118186679703</v>
      </c>
      <c r="AJ67" s="18">
        <v>0.18038385310715799</v>
      </c>
      <c r="AK67" s="17">
        <v>2475.62780211374</v>
      </c>
      <c r="AL67" s="18">
        <v>1.29187384880454E-2</v>
      </c>
      <c r="AM67" s="17">
        <v>22893.365293936298</v>
      </c>
      <c r="AN67" s="18">
        <v>3.75469102694128E-2</v>
      </c>
      <c r="AO67" s="17">
        <v>9028.9151827844707</v>
      </c>
      <c r="AP67" s="18">
        <v>2.7410740535596799E-2</v>
      </c>
      <c r="AQ67" s="17">
        <v>6629.0861770121701</v>
      </c>
      <c r="AR67" s="18">
        <v>-2.9511663330041401E-2</v>
      </c>
      <c r="AS67" s="17">
        <v>5805.8891007095299</v>
      </c>
      <c r="AT67" s="18">
        <v>2.96886461928145E-2</v>
      </c>
      <c r="AU67" s="17">
        <v>674.06760623837602</v>
      </c>
      <c r="AV67" s="18">
        <v>1.6873072285832302E-2</v>
      </c>
      <c r="AW67" s="17">
        <v>2459.8017275638799</v>
      </c>
      <c r="AX67" s="18">
        <v>-4.0678646429439497E-2</v>
      </c>
      <c r="AY67" s="17">
        <v>429.69461705630499</v>
      </c>
      <c r="AZ67" s="18">
        <v>2.1864536986915001E-2</v>
      </c>
      <c r="BA67" s="17">
        <v>2629.92049869536</v>
      </c>
      <c r="BB67" s="18">
        <v>9.6547083139569598E-2</v>
      </c>
      <c r="BC67" s="17">
        <v>5342.9474228078998</v>
      </c>
      <c r="BD67" s="18">
        <v>2.63719252807268E-2</v>
      </c>
      <c r="BE67" s="17">
        <v>-2883.3699163178499</v>
      </c>
      <c r="BF67" s="18">
        <v>-3.8249612853689101E-2</v>
      </c>
      <c r="BG67" s="17"/>
      <c r="BH67" s="18"/>
    </row>
    <row r="68" spans="1:60" x14ac:dyDescent="0.2">
      <c r="A68" s="16">
        <v>1994</v>
      </c>
      <c r="B68" s="16">
        <v>1</v>
      </c>
      <c r="C68" s="17">
        <v>113330.979951035</v>
      </c>
      <c r="D68" s="18">
        <v>2.6926740310125701E-2</v>
      </c>
      <c r="E68" s="17">
        <v>110961.686356718</v>
      </c>
      <c r="F68" s="18">
        <v>2.4595763078044699E-2</v>
      </c>
      <c r="G68" s="17">
        <v>1175.0428799793599</v>
      </c>
      <c r="H68" s="18">
        <v>-7.1457174528667997E-2</v>
      </c>
      <c r="I68" s="17">
        <v>143.81881222485899</v>
      </c>
      <c r="J68" s="18">
        <v>-7.1648128603046798E-2</v>
      </c>
      <c r="K68" s="17">
        <v>18017.788779636801</v>
      </c>
      <c r="L68" s="18">
        <v>4.6709509286254398E-2</v>
      </c>
      <c r="M68" s="17">
        <v>1771.5225776862401</v>
      </c>
      <c r="N68" s="18">
        <v>0.13092285649025101</v>
      </c>
      <c r="O68" s="17">
        <v>18787.8590009541</v>
      </c>
      <c r="P68" s="18">
        <v>2.7690241369155801E-2</v>
      </c>
      <c r="Q68" s="17">
        <v>4010.8304151661</v>
      </c>
      <c r="R68" s="18">
        <v>0.114110896678188</v>
      </c>
      <c r="S68" s="17">
        <v>413.55177064461299</v>
      </c>
      <c r="T68" s="18">
        <v>6.4469519056400398E-3</v>
      </c>
      <c r="U68" s="17">
        <v>8298.4094757089206</v>
      </c>
      <c r="V68" s="18">
        <v>1.9749916497100201E-2</v>
      </c>
      <c r="W68" s="17">
        <v>13652.532132853299</v>
      </c>
      <c r="X68" s="18">
        <v>8.5831518443497696E-3</v>
      </c>
      <c r="Y68" s="17">
        <v>4104.5507234428596</v>
      </c>
      <c r="Z68" s="18">
        <v>1.0479890148586701E-2</v>
      </c>
      <c r="AA68" s="17">
        <v>6379.0911346845196</v>
      </c>
      <c r="AB68" s="18">
        <v>-2.84139456262038E-2</v>
      </c>
      <c r="AC68" s="17">
        <v>3458.83464504837</v>
      </c>
      <c r="AD68" s="18">
        <v>-4.1966531029419898E-2</v>
      </c>
      <c r="AE68" s="17">
        <v>3951.4779861686602</v>
      </c>
      <c r="AF68" s="18">
        <v>-2.6909732315369701E-2</v>
      </c>
      <c r="AG68" s="17">
        <v>8125.66085464564</v>
      </c>
      <c r="AH68" s="18">
        <v>9.9968213016548499E-2</v>
      </c>
      <c r="AI68" s="17">
        <v>4965.8443912996199</v>
      </c>
      <c r="AJ68" s="18">
        <v>0.17625080872500801</v>
      </c>
      <c r="AK68" s="17">
        <v>2471.3451339562298</v>
      </c>
      <c r="AL68" s="18">
        <v>5.6348334988593997E-3</v>
      </c>
      <c r="AM68" s="17">
        <v>23102.510844160399</v>
      </c>
      <c r="AN68" s="18">
        <v>4.9519354568275699E-2</v>
      </c>
      <c r="AO68" s="17">
        <v>9104.2016962665693</v>
      </c>
      <c r="AP68" s="18">
        <v>3.3953846785687199E-2</v>
      </c>
      <c r="AQ68" s="17">
        <v>6310.73901710273</v>
      </c>
      <c r="AR68" s="18">
        <v>-9.0783272752197997E-2</v>
      </c>
      <c r="AS68" s="17">
        <v>5849.3623321148698</v>
      </c>
      <c r="AT68" s="18">
        <v>3.5508084083684999E-2</v>
      </c>
      <c r="AU68" s="17">
        <v>613.40121299047701</v>
      </c>
      <c r="AV68" s="18">
        <v>-5.4465337147319201E-2</v>
      </c>
      <c r="AW68" s="17">
        <v>2297.90276186251</v>
      </c>
      <c r="AX68" s="18">
        <v>-9.9079508704947403E-2</v>
      </c>
      <c r="AY68" s="17">
        <v>434.71498914115199</v>
      </c>
      <c r="AZ68" s="18">
        <v>3.2312438556916699E-2</v>
      </c>
      <c r="BA68" s="17">
        <v>2571.80109388247</v>
      </c>
      <c r="BB68" s="18">
        <v>0.13202945868506899</v>
      </c>
      <c r="BC68" s="17">
        <v>5272.5669535653296</v>
      </c>
      <c r="BD68" s="18">
        <v>4.2702536174677598E-2</v>
      </c>
      <c r="BE68" s="17">
        <v>-2871.2089814210699</v>
      </c>
      <c r="BF68" s="18">
        <v>-3.8102243636532099E-2</v>
      </c>
      <c r="BG68" s="17"/>
      <c r="BH68" s="18"/>
    </row>
    <row r="69" spans="1:60" x14ac:dyDescent="0.2">
      <c r="A69" s="16">
        <v>1994</v>
      </c>
      <c r="B69" s="16">
        <v>2</v>
      </c>
      <c r="C69" s="17">
        <v>113343.440414091</v>
      </c>
      <c r="D69" s="18">
        <v>4.3370920633745104E-3</v>
      </c>
      <c r="E69" s="17">
        <v>110924.212441767</v>
      </c>
      <c r="F69" s="18">
        <v>2.19462978003215E-3</v>
      </c>
      <c r="G69" s="17">
        <v>1162.96325346921</v>
      </c>
      <c r="H69" s="18">
        <v>-7.08983963917795E-2</v>
      </c>
      <c r="I69" s="17">
        <v>152.15081840998101</v>
      </c>
      <c r="J69" s="18">
        <v>-9.7479554601402202E-2</v>
      </c>
      <c r="K69" s="17">
        <v>18195.891201409599</v>
      </c>
      <c r="L69" s="18">
        <v>3.0866285676316E-2</v>
      </c>
      <c r="M69" s="17">
        <v>1777.6559717058999</v>
      </c>
      <c r="N69" s="18">
        <v>0.106404486163739</v>
      </c>
      <c r="O69" s="17">
        <v>19003.564862830499</v>
      </c>
      <c r="P69" s="18">
        <v>1.38008267513938E-2</v>
      </c>
      <c r="Q69" s="17">
        <v>4300.7800616309096</v>
      </c>
      <c r="R69" s="18">
        <v>0.21146480495816</v>
      </c>
      <c r="S69" s="17">
        <v>416.69993966215799</v>
      </c>
      <c r="T69" s="18">
        <v>2.66429489584303E-2</v>
      </c>
      <c r="U69" s="17">
        <v>8661.2542972191895</v>
      </c>
      <c r="V69" s="18">
        <v>5.9537520108976496E-3</v>
      </c>
      <c r="W69" s="17">
        <v>13846.301325245</v>
      </c>
      <c r="X69" s="18">
        <v>-3.6983119502818303E-2</v>
      </c>
      <c r="Y69" s="17">
        <v>4158.4756606800602</v>
      </c>
      <c r="Z69" s="18">
        <v>-3.8963866922870898E-2</v>
      </c>
      <c r="AA69" s="17">
        <v>6369.0923741407396</v>
      </c>
      <c r="AB69" s="18">
        <v>-2.5713403778286199E-2</v>
      </c>
      <c r="AC69" s="17">
        <v>3185.1951200261101</v>
      </c>
      <c r="AD69" s="18">
        <v>-6.7652739724290104E-2</v>
      </c>
      <c r="AE69" s="17">
        <v>3937.8981911259202</v>
      </c>
      <c r="AF69" s="18">
        <v>-3.1328804156827497E-2</v>
      </c>
      <c r="AG69" s="17">
        <v>7627.4839823792099</v>
      </c>
      <c r="AH69" s="18">
        <v>2.37419907680512E-2</v>
      </c>
      <c r="AI69" s="17">
        <v>4401.0561819269597</v>
      </c>
      <c r="AJ69" s="18">
        <v>2.9224856109589602E-2</v>
      </c>
      <c r="AK69" s="17">
        <v>2486.8848036198601</v>
      </c>
      <c r="AL69" s="18">
        <v>7.7614475689649102E-3</v>
      </c>
      <c r="AM69" s="17">
        <v>23274.7453336039</v>
      </c>
      <c r="AN69" s="18">
        <v>3.3065273009164099E-2</v>
      </c>
      <c r="AO69" s="17">
        <v>9027.0703442451395</v>
      </c>
      <c r="AP69" s="18">
        <v>1.57201963382676E-2</v>
      </c>
      <c r="AQ69" s="17">
        <v>6113.8766725209798</v>
      </c>
      <c r="AR69" s="18">
        <v>-0.11954499525265599</v>
      </c>
      <c r="AS69" s="17">
        <v>5895.7703080279498</v>
      </c>
      <c r="AT69" s="18">
        <v>2.61130098737559E-2</v>
      </c>
      <c r="AU69" s="17">
        <v>608.32645740843896</v>
      </c>
      <c r="AV69" s="18">
        <v>-7.4471105290018394E-2</v>
      </c>
      <c r="AW69" s="17">
        <v>2252.5070662868602</v>
      </c>
      <c r="AX69" s="18">
        <v>-0.129440467226865</v>
      </c>
      <c r="AY69" s="17">
        <v>438.37555834095798</v>
      </c>
      <c r="AZ69" s="18">
        <v>3.69787400389745E-2</v>
      </c>
      <c r="BA69" s="17">
        <v>2618.6136284355698</v>
      </c>
      <c r="BB69" s="18">
        <v>9.7790109101293404E-2</v>
      </c>
      <c r="BC69" s="17">
        <v>5303.6427123724397</v>
      </c>
      <c r="BD69" s="18">
        <v>2.91290076580593E-2</v>
      </c>
      <c r="BE69" s="17">
        <v>-2850.2303923084</v>
      </c>
      <c r="BF69" s="18">
        <v>-3.6960351739231102E-2</v>
      </c>
      <c r="BG69" s="17"/>
      <c r="BH69" s="18"/>
    </row>
    <row r="70" spans="1:60" x14ac:dyDescent="0.2">
      <c r="A70" s="16">
        <v>1994</v>
      </c>
      <c r="B70" s="16">
        <v>3</v>
      </c>
      <c r="C70" s="17">
        <v>114205.068186586</v>
      </c>
      <c r="D70" s="18">
        <v>1.00136519266396E-2</v>
      </c>
      <c r="E70" s="17">
        <v>111742.858104295</v>
      </c>
      <c r="F70" s="18">
        <v>7.9282724247353702E-3</v>
      </c>
      <c r="G70" s="17">
        <v>1159.53689936521</v>
      </c>
      <c r="H70" s="18">
        <v>-5.7203892711931201E-2</v>
      </c>
      <c r="I70" s="17">
        <v>155.40979176350601</v>
      </c>
      <c r="J70" s="18">
        <v>-7.8105020948165002E-2</v>
      </c>
      <c r="K70" s="17">
        <v>18053.1439044088</v>
      </c>
      <c r="L70" s="18">
        <v>3.5212058815708797E-2</v>
      </c>
      <c r="M70" s="17">
        <v>1769.80008342726</v>
      </c>
      <c r="N70" s="18">
        <v>0.10159032795397201</v>
      </c>
      <c r="O70" s="17">
        <v>18838.428625815901</v>
      </c>
      <c r="P70" s="18">
        <v>2.0012602463981701E-2</v>
      </c>
      <c r="Q70" s="17">
        <v>4583.5485442674699</v>
      </c>
      <c r="R70" s="18">
        <v>0.18455250594616601</v>
      </c>
      <c r="S70" s="17">
        <v>400.74479189473101</v>
      </c>
      <c r="T70" s="18">
        <v>-6.5183776842140204E-2</v>
      </c>
      <c r="U70" s="17">
        <v>8905.6041288307206</v>
      </c>
      <c r="V70" s="18">
        <v>1.6854295991188602E-2</v>
      </c>
      <c r="W70" s="17">
        <v>13793.8092586074</v>
      </c>
      <c r="X70" s="18">
        <v>-9.5470173755751696E-3</v>
      </c>
      <c r="Y70" s="17">
        <v>4151.9383253338001</v>
      </c>
      <c r="Z70" s="18">
        <v>-2.7334884035630801E-2</v>
      </c>
      <c r="AA70" s="17">
        <v>6445.5709449460101</v>
      </c>
      <c r="AB70" s="18">
        <v>-1.4887413689466901E-2</v>
      </c>
      <c r="AC70" s="17">
        <v>3678.8550127077301</v>
      </c>
      <c r="AD70" s="18">
        <v>-5.6702373217251301E-2</v>
      </c>
      <c r="AE70" s="17">
        <v>3958.7880963903699</v>
      </c>
      <c r="AF70" s="18">
        <v>-1.6559559977166401E-2</v>
      </c>
      <c r="AG70" s="17">
        <v>7559.3727249828198</v>
      </c>
      <c r="AH70" s="18">
        <v>-6.1727548661910702E-3</v>
      </c>
      <c r="AI70" s="17">
        <v>4284.0554729839896</v>
      </c>
      <c r="AJ70" s="18">
        <v>-3.5234098701408298E-2</v>
      </c>
      <c r="AK70" s="17">
        <v>2521.7910503041298</v>
      </c>
      <c r="AL70" s="18">
        <v>1.9291050901409899E-2</v>
      </c>
      <c r="AM70" s="17">
        <v>23425.171206000101</v>
      </c>
      <c r="AN70" s="18">
        <v>3.12542751571614E-2</v>
      </c>
      <c r="AO70" s="17">
        <v>9157.8714254006009</v>
      </c>
      <c r="AP70" s="18">
        <v>2.6011016303449298E-2</v>
      </c>
      <c r="AQ70" s="17">
        <v>6038.3164874832901</v>
      </c>
      <c r="AR70" s="18">
        <v>-0.117218977815301</v>
      </c>
      <c r="AS70" s="17">
        <v>6101.6284300396101</v>
      </c>
      <c r="AT70" s="18">
        <v>5.2817865851526598E-2</v>
      </c>
      <c r="AU70" s="17">
        <v>619.16668241368097</v>
      </c>
      <c r="AV70" s="18">
        <v>-2.2467279459384398E-2</v>
      </c>
      <c r="AW70" s="17">
        <v>2210.1679891536701</v>
      </c>
      <c r="AX70" s="18">
        <v>-0.13336363020973599</v>
      </c>
      <c r="AY70" s="17">
        <v>440.89282576001</v>
      </c>
      <c r="AZ70" s="18">
        <v>3.5849870624475401E-2</v>
      </c>
      <c r="BA70" s="17">
        <v>2661.5549436305801</v>
      </c>
      <c r="BB70" s="18">
        <v>9.9494652867228903E-2</v>
      </c>
      <c r="BC70" s="17">
        <v>5349.38220214172</v>
      </c>
      <c r="BD70" s="18">
        <v>3.1553307164198498E-2</v>
      </c>
      <c r="BE70" s="17">
        <v>-2850.4360812074001</v>
      </c>
      <c r="BF70" s="18">
        <v>-3.5066032862718297E-2</v>
      </c>
      <c r="BG70" s="17"/>
      <c r="BH70" s="18"/>
    </row>
    <row r="71" spans="1:60" x14ac:dyDescent="0.2">
      <c r="A71" s="16">
        <v>1994</v>
      </c>
      <c r="B71" s="16">
        <v>4</v>
      </c>
      <c r="C71" s="17">
        <v>117971.618723409</v>
      </c>
      <c r="D71" s="18">
        <v>9.9296315898873607E-3</v>
      </c>
      <c r="E71" s="17">
        <v>115366.504134171</v>
      </c>
      <c r="F71" s="18">
        <v>8.4904027105783299E-3</v>
      </c>
      <c r="G71" s="17">
        <v>1166.18529542584</v>
      </c>
      <c r="H71" s="18">
        <v>-3.2106353495404499E-2</v>
      </c>
      <c r="I71" s="17">
        <v>164.03611521941099</v>
      </c>
      <c r="J71" s="18">
        <v>2.8988953931399001E-2</v>
      </c>
      <c r="K71" s="17">
        <v>19071.7339320438</v>
      </c>
      <c r="L71" s="18">
        <v>3.3331399635893301E-2</v>
      </c>
      <c r="M71" s="17">
        <v>1829.20793933242</v>
      </c>
      <c r="N71" s="18">
        <v>0.105304169043516</v>
      </c>
      <c r="O71" s="17">
        <v>20007.943772803399</v>
      </c>
      <c r="P71" s="18">
        <v>1.7344551963838901E-2</v>
      </c>
      <c r="Q71" s="17">
        <v>4467.2745711397101</v>
      </c>
      <c r="R71" s="18">
        <v>8.7740607157100095E-2</v>
      </c>
      <c r="S71" s="17">
        <v>416.231674049422</v>
      </c>
      <c r="T71" s="18">
        <v>-1.25609783966842E-2</v>
      </c>
      <c r="U71" s="17">
        <v>8308.2691452776908</v>
      </c>
      <c r="V71" s="18">
        <v>1.31805189372285E-2</v>
      </c>
      <c r="W71" s="17">
        <v>16868.070727886399</v>
      </c>
      <c r="X71" s="18">
        <v>1.6775865353650301E-2</v>
      </c>
      <c r="Y71" s="17">
        <v>5052.34200748284</v>
      </c>
      <c r="Z71" s="18">
        <v>-1.09582228310418E-2</v>
      </c>
      <c r="AA71" s="17">
        <v>6457.3552937852401</v>
      </c>
      <c r="AB71" s="18">
        <v>-2.8033612400759599E-3</v>
      </c>
      <c r="AC71" s="17">
        <v>2861.3678352491802</v>
      </c>
      <c r="AD71" s="18">
        <v>-5.84672567670853E-2</v>
      </c>
      <c r="AE71" s="17">
        <v>3986.9262044935499</v>
      </c>
      <c r="AF71" s="18">
        <v>-2.0544157701979401E-3</v>
      </c>
      <c r="AG71" s="17">
        <v>7518.8482179805596</v>
      </c>
      <c r="AH71" s="18">
        <v>-4.15243325939696E-2</v>
      </c>
      <c r="AI71" s="17">
        <v>4164.1174805295004</v>
      </c>
      <c r="AJ71" s="18">
        <v>-0.113982082433739</v>
      </c>
      <c r="AK71" s="17">
        <v>2576.4712409003801</v>
      </c>
      <c r="AL71" s="18">
        <v>4.0734491146262403E-2</v>
      </c>
      <c r="AM71" s="17">
        <v>23373.1487812753</v>
      </c>
      <c r="AN71" s="18">
        <v>2.0957315850196799E-2</v>
      </c>
      <c r="AO71" s="17">
        <v>9159.0136897140801</v>
      </c>
      <c r="AP71" s="18">
        <v>1.44090961423218E-2</v>
      </c>
      <c r="AQ71" s="17">
        <v>6083.9883546014999</v>
      </c>
      <c r="AR71" s="18">
        <v>-8.2228199763176704E-2</v>
      </c>
      <c r="AS71" s="17">
        <v>6153.0661045964798</v>
      </c>
      <c r="AT71" s="18">
        <v>5.9797388111412698E-2</v>
      </c>
      <c r="AU71" s="17">
        <v>642.83049214704897</v>
      </c>
      <c r="AV71" s="18">
        <v>-4.6341218302486102E-2</v>
      </c>
      <c r="AW71" s="17">
        <v>2193.5884918194502</v>
      </c>
      <c r="AX71" s="18">
        <v>-0.108225485315063</v>
      </c>
      <c r="AY71" s="17">
        <v>442.20679245086097</v>
      </c>
      <c r="AZ71" s="18">
        <v>2.9118762250904401E-2</v>
      </c>
      <c r="BA71" s="17">
        <v>2807.1286998615701</v>
      </c>
      <c r="BB71" s="18">
        <v>6.7381581022741402E-2</v>
      </c>
      <c r="BC71" s="17">
        <v>5477.1394534447099</v>
      </c>
      <c r="BD71" s="18">
        <v>2.5115731078314101E-2</v>
      </c>
      <c r="BE71" s="17">
        <v>-2820.3204021214301</v>
      </c>
      <c r="BF71" s="18">
        <v>-2.1866606098509499E-2</v>
      </c>
      <c r="BG71" s="17"/>
      <c r="BH71" s="18"/>
    </row>
    <row r="72" spans="1:60" x14ac:dyDescent="0.2">
      <c r="A72" s="16">
        <v>1995</v>
      </c>
      <c r="B72" s="16">
        <v>1</v>
      </c>
      <c r="C72" s="17">
        <v>113095.51314721401</v>
      </c>
      <c r="D72" s="18">
        <v>-2.0776914125574301E-3</v>
      </c>
      <c r="E72" s="17">
        <v>110663.527576133</v>
      </c>
      <c r="F72" s="18">
        <v>-2.6870426214156101E-3</v>
      </c>
      <c r="G72" s="17">
        <v>1194.4314348877101</v>
      </c>
      <c r="H72" s="18">
        <v>1.6500295639165798E-2</v>
      </c>
      <c r="I72" s="17">
        <v>164.506413398966</v>
      </c>
      <c r="J72" s="18">
        <v>0.14384488965019701</v>
      </c>
      <c r="K72" s="17">
        <v>17900.120796126601</v>
      </c>
      <c r="L72" s="18">
        <v>-6.53065617259296E-3</v>
      </c>
      <c r="M72" s="17">
        <v>1847.6836065182199</v>
      </c>
      <c r="N72" s="18">
        <v>4.2991847685878201E-2</v>
      </c>
      <c r="O72" s="17">
        <v>18450.481646968801</v>
      </c>
      <c r="P72" s="18">
        <v>-1.79572006564532E-2</v>
      </c>
      <c r="Q72" s="17">
        <v>4597.4304591592199</v>
      </c>
      <c r="R72" s="18">
        <v>0.146254013077944</v>
      </c>
      <c r="S72" s="17">
        <v>443.70571637464099</v>
      </c>
      <c r="T72" s="18">
        <v>7.2914560813089002E-2</v>
      </c>
      <c r="U72" s="17">
        <v>7602.6581460233001</v>
      </c>
      <c r="V72" s="18">
        <v>-8.3841527912332098E-2</v>
      </c>
      <c r="W72" s="17">
        <v>13950.150835427299</v>
      </c>
      <c r="X72" s="18">
        <v>2.1799524050036202E-2</v>
      </c>
      <c r="Y72" s="17">
        <v>4070.2089646986101</v>
      </c>
      <c r="Z72" s="18">
        <v>-8.3667521875432395E-3</v>
      </c>
      <c r="AA72" s="17">
        <v>6384.8076475103398</v>
      </c>
      <c r="AB72" s="18">
        <v>8.9613280405198602E-4</v>
      </c>
      <c r="AC72" s="17">
        <v>3248.4760677199802</v>
      </c>
      <c r="AD72" s="18">
        <v>-6.0817760580009497E-2</v>
      </c>
      <c r="AE72" s="17">
        <v>4138.8609299976997</v>
      </c>
      <c r="AF72" s="18">
        <v>4.7420976273925497E-2</v>
      </c>
      <c r="AG72" s="17">
        <v>7498.9099572771302</v>
      </c>
      <c r="AH72" s="18">
        <v>-7.7132298354561299E-2</v>
      </c>
      <c r="AI72" s="17">
        <v>4075.9004086519499</v>
      </c>
      <c r="AJ72" s="18">
        <v>-0.179213022503663</v>
      </c>
      <c r="AK72" s="17">
        <v>2669.1013664105099</v>
      </c>
      <c r="AL72" s="18">
        <v>8.0019674199737906E-2</v>
      </c>
      <c r="AM72" s="17">
        <v>23094.5614759905</v>
      </c>
      <c r="AN72" s="18">
        <v>-3.4409109137267802E-4</v>
      </c>
      <c r="AO72" s="17">
        <v>9075.2551191475395</v>
      </c>
      <c r="AP72" s="18">
        <v>-3.1794744981210599E-3</v>
      </c>
      <c r="AQ72" s="17">
        <v>6398.80139977823</v>
      </c>
      <c r="AR72" s="18">
        <v>1.3954369280182E-2</v>
      </c>
      <c r="AS72" s="17">
        <v>6225.7368968331302</v>
      </c>
      <c r="AT72" s="18">
        <v>6.4344546182725004E-2</v>
      </c>
      <c r="AU72" s="17">
        <v>725.20841862561997</v>
      </c>
      <c r="AV72" s="18">
        <v>0.18227418411851001</v>
      </c>
      <c r="AW72" s="17">
        <v>2220.4710212114601</v>
      </c>
      <c r="AX72" s="18">
        <v>-3.3696700285215098E-2</v>
      </c>
      <c r="AY72" s="17">
        <v>439.121930828774</v>
      </c>
      <c r="AZ72" s="18">
        <v>1.01375425225818E-2</v>
      </c>
      <c r="BA72" s="17">
        <v>2629.94682973004</v>
      </c>
      <c r="BB72" s="18">
        <v>2.2608955251584701E-2</v>
      </c>
      <c r="BC72" s="17">
        <v>5281.2519401770596</v>
      </c>
      <c r="BD72" s="18">
        <v>1.6472027170466601E-3</v>
      </c>
      <c r="BE72" s="17">
        <v>-2811.3726937721099</v>
      </c>
      <c r="BF72" s="18">
        <v>-2.0840101865153102E-2</v>
      </c>
      <c r="BG72" s="17"/>
      <c r="BH72" s="18"/>
    </row>
    <row r="73" spans="1:60" x14ac:dyDescent="0.2">
      <c r="A73" s="16">
        <v>1995</v>
      </c>
      <c r="B73" s="16">
        <v>2</v>
      </c>
      <c r="C73" s="17">
        <v>114706.514320298</v>
      </c>
      <c r="D73" s="18">
        <v>1.2026050217169799E-2</v>
      </c>
      <c r="E73" s="17">
        <v>112222.95114468499</v>
      </c>
      <c r="F73" s="18">
        <v>1.17083427894571E-2</v>
      </c>
      <c r="G73" s="17">
        <v>1191.9366134090701</v>
      </c>
      <c r="H73" s="18">
        <v>2.49133924510716E-2</v>
      </c>
      <c r="I73" s="17">
        <v>196.58143792138901</v>
      </c>
      <c r="J73" s="18">
        <v>0.29201696037997799</v>
      </c>
      <c r="K73" s="17">
        <v>18259.8870836469</v>
      </c>
      <c r="L73" s="18">
        <v>3.5170512688245102E-3</v>
      </c>
      <c r="M73" s="17">
        <v>1914.44997688179</v>
      </c>
      <c r="N73" s="18">
        <v>7.6951900341328996E-2</v>
      </c>
      <c r="O73" s="17">
        <v>18747.9723941183</v>
      </c>
      <c r="P73" s="18">
        <v>-1.3449711701839199E-2</v>
      </c>
      <c r="Q73" s="17">
        <v>4597.6535781347102</v>
      </c>
      <c r="R73" s="18">
        <v>6.9027830358575001E-2</v>
      </c>
      <c r="S73" s="17">
        <v>460.04016494432699</v>
      </c>
      <c r="T73" s="18">
        <v>0.10400823507991799</v>
      </c>
      <c r="U73" s="17">
        <v>8409.6927953146405</v>
      </c>
      <c r="V73" s="18">
        <v>-2.9044465532586401E-2</v>
      </c>
      <c r="W73" s="17">
        <v>14662.6393247334</v>
      </c>
      <c r="X73" s="18">
        <v>5.8957116439468403E-2</v>
      </c>
      <c r="Y73" s="17">
        <v>4263.6127594030704</v>
      </c>
      <c r="Z73" s="18">
        <v>2.5282605286623499E-2</v>
      </c>
      <c r="AA73" s="17">
        <v>6227.3350233210203</v>
      </c>
      <c r="AB73" s="18">
        <v>-2.22570725140161E-2</v>
      </c>
      <c r="AC73" s="17">
        <v>3064.6123539472901</v>
      </c>
      <c r="AD73" s="18">
        <v>-3.7857261968250198E-2</v>
      </c>
      <c r="AE73" s="17">
        <v>3833.0898755067601</v>
      </c>
      <c r="AF73" s="18">
        <v>-2.66152933702942E-2</v>
      </c>
      <c r="AG73" s="17">
        <v>7576.89490016339</v>
      </c>
      <c r="AH73" s="18">
        <v>-6.63247308453119E-3</v>
      </c>
      <c r="AI73" s="17">
        <v>4078.3033925097802</v>
      </c>
      <c r="AJ73" s="18">
        <v>-7.3335303180762895E-2</v>
      </c>
      <c r="AK73" s="17">
        <v>2704.2846684522201</v>
      </c>
      <c r="AL73" s="18">
        <v>8.7418550515854898E-2</v>
      </c>
      <c r="AM73" s="17">
        <v>23223.616874166801</v>
      </c>
      <c r="AN73" s="18">
        <v>-2.19673550469679E-3</v>
      </c>
      <c r="AO73" s="17">
        <v>9030.8096462086596</v>
      </c>
      <c r="AP73" s="18">
        <v>4.1423206211144099E-4</v>
      </c>
      <c r="AQ73" s="17">
        <v>6409.2701616211298</v>
      </c>
      <c r="AR73" s="18">
        <v>4.8315251504466701E-2</v>
      </c>
      <c r="AS73" s="17">
        <v>6210.3800465366903</v>
      </c>
      <c r="AT73" s="18">
        <v>5.3361939504385801E-2</v>
      </c>
      <c r="AU73" s="17">
        <v>736.00040481746498</v>
      </c>
      <c r="AV73" s="18">
        <v>0.209877354262933</v>
      </c>
      <c r="AW73" s="17">
        <v>2198.0888163070899</v>
      </c>
      <c r="AX73" s="18">
        <v>-2.4158969707240598E-2</v>
      </c>
      <c r="AY73" s="17">
        <v>440.90139725523699</v>
      </c>
      <c r="AZ73" s="18">
        <v>5.7618151062954802E-3</v>
      </c>
      <c r="BA73" s="17">
        <v>2684.2177811044799</v>
      </c>
      <c r="BB73" s="18">
        <v>2.50530097134283E-2</v>
      </c>
      <c r="BC73" s="17">
        <v>5351.5833987937003</v>
      </c>
      <c r="BD73" s="18">
        <v>9.0391998520988892E-3</v>
      </c>
      <c r="BE73" s="17">
        <v>-2827.1874738828501</v>
      </c>
      <c r="BF73" s="18">
        <v>-8.0845809825532706E-3</v>
      </c>
      <c r="BG73" s="17"/>
      <c r="BH73" s="18"/>
    </row>
    <row r="74" spans="1:60" x14ac:dyDescent="0.2">
      <c r="A74" s="16">
        <v>1995</v>
      </c>
      <c r="B74" s="16">
        <v>3</v>
      </c>
      <c r="C74" s="17">
        <v>114912.807126364</v>
      </c>
      <c r="D74" s="18">
        <v>6.1970887195805799E-3</v>
      </c>
      <c r="E74" s="17">
        <v>112432.489567995</v>
      </c>
      <c r="F74" s="18">
        <v>6.1715932042507599E-3</v>
      </c>
      <c r="G74" s="17">
        <v>1194.7909435791601</v>
      </c>
      <c r="H74" s="18">
        <v>3.04035552755995E-2</v>
      </c>
      <c r="I74" s="17">
        <v>189.014266851472</v>
      </c>
      <c r="J74" s="18">
        <v>0.216231388683047</v>
      </c>
      <c r="K74" s="17">
        <v>17909.142725425601</v>
      </c>
      <c r="L74" s="18">
        <v>-7.97651532307719E-3</v>
      </c>
      <c r="M74" s="17">
        <v>1924.0146823080299</v>
      </c>
      <c r="N74" s="18">
        <v>8.7136733874556102E-2</v>
      </c>
      <c r="O74" s="17">
        <v>18273.163407234999</v>
      </c>
      <c r="P74" s="18">
        <v>-3.0005964393772601E-2</v>
      </c>
      <c r="Q74" s="17">
        <v>4594.5442706075701</v>
      </c>
      <c r="R74" s="18">
        <v>2.3989549219141102E-3</v>
      </c>
      <c r="S74" s="17">
        <v>460.924823963096</v>
      </c>
      <c r="T74" s="18">
        <v>0.15017046580651</v>
      </c>
      <c r="U74" s="17">
        <v>8835.1380267777404</v>
      </c>
      <c r="V74" s="18">
        <v>-7.9125571980965797E-3</v>
      </c>
      <c r="W74" s="17">
        <v>14119.576262367</v>
      </c>
      <c r="X74" s="18">
        <v>2.3616899266337501E-2</v>
      </c>
      <c r="Y74" s="17">
        <v>4203.2257823763202</v>
      </c>
      <c r="Z74" s="18">
        <v>1.2352653874838899E-2</v>
      </c>
      <c r="AA74" s="17">
        <v>6147.7989498502902</v>
      </c>
      <c r="AB74" s="18">
        <v>-4.6197923758671197E-2</v>
      </c>
      <c r="AC74" s="17">
        <v>3442.0831032787401</v>
      </c>
      <c r="AD74" s="18">
        <v>-6.4360217679447995E-2</v>
      </c>
      <c r="AE74" s="17">
        <v>3971.6723016208398</v>
      </c>
      <c r="AF74" s="18">
        <v>3.25458319990046E-3</v>
      </c>
      <c r="AG74" s="17">
        <v>7754.0812652507802</v>
      </c>
      <c r="AH74" s="18">
        <v>2.57572350711683E-2</v>
      </c>
      <c r="AI74" s="17">
        <v>4231.18253940661</v>
      </c>
      <c r="AJ74" s="18">
        <v>-1.2341794804200499E-2</v>
      </c>
      <c r="AK74" s="17">
        <v>2723.7903544802698</v>
      </c>
      <c r="AL74" s="18">
        <v>8.0101523142364101E-2</v>
      </c>
      <c r="AM74" s="17">
        <v>23467.249536278199</v>
      </c>
      <c r="AN74" s="18">
        <v>1.7962869900944899E-3</v>
      </c>
      <c r="AO74" s="17">
        <v>9045.5473593410097</v>
      </c>
      <c r="AP74" s="18">
        <v>-1.2265302802575701E-2</v>
      </c>
      <c r="AQ74" s="17">
        <v>6372.5641995469296</v>
      </c>
      <c r="AR74" s="18">
        <v>5.5354453970156502E-2</v>
      </c>
      <c r="AS74" s="17">
        <v>6324.4589554407403</v>
      </c>
      <c r="AT74" s="18">
        <v>3.6519845145615203E-2</v>
      </c>
      <c r="AU74" s="17">
        <v>726.51323339606199</v>
      </c>
      <c r="AV74" s="18">
        <v>0.17337262167259199</v>
      </c>
      <c r="AW74" s="17">
        <v>2191.5079870869899</v>
      </c>
      <c r="AX74" s="18">
        <v>-8.4427980851444796E-3</v>
      </c>
      <c r="AY74" s="17">
        <v>441.05002083188799</v>
      </c>
      <c r="AZ74" s="18">
        <v>3.5653805798907502E-4</v>
      </c>
      <c r="BA74" s="17">
        <v>2681.3906524885501</v>
      </c>
      <c r="BB74" s="18">
        <v>7.4526768291745E-3</v>
      </c>
      <c r="BC74" s="17">
        <v>5375.8858689347599</v>
      </c>
      <c r="BD74" s="18">
        <v>4.9545285402170496E-3</v>
      </c>
      <c r="BE74" s="17">
        <v>-2856.89765438624</v>
      </c>
      <c r="BF74" s="18">
        <v>2.26687180303387E-3</v>
      </c>
      <c r="BG74" s="17"/>
      <c r="BH74" s="18"/>
    </row>
    <row r="75" spans="1:60" x14ac:dyDescent="0.2">
      <c r="A75" s="16">
        <v>1995</v>
      </c>
      <c r="B75" s="16">
        <v>4</v>
      </c>
      <c r="C75" s="17">
        <v>118342.733684823</v>
      </c>
      <c r="D75" s="18">
        <v>3.1457986711609402E-3</v>
      </c>
      <c r="E75" s="17">
        <v>115711.342940139</v>
      </c>
      <c r="F75" s="18">
        <v>2.98907216228117E-3</v>
      </c>
      <c r="G75" s="17">
        <v>1198.2446124048599</v>
      </c>
      <c r="H75" s="18">
        <v>2.7490757347715899E-2</v>
      </c>
      <c r="I75" s="17">
        <v>176.499422850141</v>
      </c>
      <c r="J75" s="18">
        <v>7.59790465292354E-2</v>
      </c>
      <c r="K75" s="17">
        <v>18805.688219633099</v>
      </c>
      <c r="L75" s="18">
        <v>-1.39497390933997E-2</v>
      </c>
      <c r="M75" s="17">
        <v>1900.88248105819</v>
      </c>
      <c r="N75" s="18">
        <v>3.9183375593661703E-2</v>
      </c>
      <c r="O75" s="17">
        <v>19483.575238001398</v>
      </c>
      <c r="P75" s="18">
        <v>-2.6208017213382399E-2</v>
      </c>
      <c r="Q75" s="17">
        <v>4441.49077444059</v>
      </c>
      <c r="R75" s="18">
        <v>-5.7717062805356899E-3</v>
      </c>
      <c r="S75" s="17">
        <v>462.200893445757</v>
      </c>
      <c r="T75" s="18">
        <v>0.11044142544249699</v>
      </c>
      <c r="U75" s="17">
        <v>8112.9092555902798</v>
      </c>
      <c r="V75" s="18">
        <v>-2.3513909608771599E-2</v>
      </c>
      <c r="W75" s="17">
        <v>16379.157748395901</v>
      </c>
      <c r="X75" s="18">
        <v>-2.89845227339602E-2</v>
      </c>
      <c r="Y75" s="17">
        <v>4773.8462982381698</v>
      </c>
      <c r="Z75" s="18">
        <v>-5.5122101558485702E-2</v>
      </c>
      <c r="AA75" s="17">
        <v>6660.4805081245104</v>
      </c>
      <c r="AB75" s="18">
        <v>3.1456409799034399E-2</v>
      </c>
      <c r="AC75" s="17">
        <v>2745.8293192802998</v>
      </c>
      <c r="AD75" s="18">
        <v>-4.0378770791216698E-2</v>
      </c>
      <c r="AE75" s="17">
        <v>4396.5128730613396</v>
      </c>
      <c r="AF75" s="18">
        <v>0.10273244287947</v>
      </c>
      <c r="AG75" s="17">
        <v>7743.1112913630604</v>
      </c>
      <c r="AH75" s="18">
        <v>2.9826785550239199E-2</v>
      </c>
      <c r="AI75" s="17">
        <v>4211.7321090279502</v>
      </c>
      <c r="AJ75" s="18">
        <v>1.14345065241528E-2</v>
      </c>
      <c r="AK75" s="17">
        <v>2727.3593265789</v>
      </c>
      <c r="AL75" s="18">
        <v>5.85638540354083E-2</v>
      </c>
      <c r="AM75" s="17">
        <v>23508.372606005301</v>
      </c>
      <c r="AN75" s="18">
        <v>5.7854346453436499E-3</v>
      </c>
      <c r="AO75" s="17">
        <v>9029.6741939306903</v>
      </c>
      <c r="AP75" s="18">
        <v>-1.4121552840198099E-2</v>
      </c>
      <c r="AQ75" s="17">
        <v>6309.7181657746496</v>
      </c>
      <c r="AR75" s="18">
        <v>3.7102275352387498E-2</v>
      </c>
      <c r="AS75" s="17">
        <v>6358.64965012845</v>
      </c>
      <c r="AT75" s="18">
        <v>3.3411561331739198E-2</v>
      </c>
      <c r="AU75" s="17">
        <v>741.19904896355297</v>
      </c>
      <c r="AV75" s="18">
        <v>0.153024098915958</v>
      </c>
      <c r="AW75" s="17">
        <v>2177.7570833321001</v>
      </c>
      <c r="AX75" s="18">
        <v>-7.2171278005864802E-3</v>
      </c>
      <c r="AY75" s="17">
        <v>437.34513035101099</v>
      </c>
      <c r="AZ75" s="18">
        <v>-1.09940918657189E-2</v>
      </c>
      <c r="BA75" s="17">
        <v>2837.8898571844402</v>
      </c>
      <c r="BB75" s="18">
        <v>1.0958228357820499E-2</v>
      </c>
      <c r="BC75" s="17">
        <v>5549.3741476551904</v>
      </c>
      <c r="BD75" s="18">
        <v>1.31883978533809E-2</v>
      </c>
      <c r="BE75" s="17">
        <v>-2870.4856832805999</v>
      </c>
      <c r="BF75" s="18">
        <v>1.7787085864938001E-2</v>
      </c>
      <c r="BG75" s="17"/>
      <c r="BH75" s="18"/>
    </row>
    <row r="76" spans="1:60" x14ac:dyDescent="0.2">
      <c r="A76" s="16">
        <v>1996</v>
      </c>
      <c r="B76" s="16">
        <v>1</v>
      </c>
      <c r="C76" s="17">
        <v>114552.455156155</v>
      </c>
      <c r="D76" s="18">
        <v>1.28824032748711E-2</v>
      </c>
      <c r="E76" s="17">
        <v>112051.081536663</v>
      </c>
      <c r="F76" s="18">
        <v>1.2538493855395599E-2</v>
      </c>
      <c r="G76" s="17">
        <v>1190.9262003598999</v>
      </c>
      <c r="H76" s="18">
        <v>-2.9346469168775001E-3</v>
      </c>
      <c r="I76" s="17">
        <v>142.768086019653</v>
      </c>
      <c r="J76" s="18">
        <v>-0.13214273492543399</v>
      </c>
      <c r="K76" s="17">
        <v>18121.173435031102</v>
      </c>
      <c r="L76" s="18">
        <v>1.23492260986502E-2</v>
      </c>
      <c r="M76" s="17">
        <v>1957.9235395743699</v>
      </c>
      <c r="N76" s="18">
        <v>5.9663858393963501E-2</v>
      </c>
      <c r="O76" s="17">
        <v>18475.1309017284</v>
      </c>
      <c r="P76" s="18">
        <v>1.33596809184588E-3</v>
      </c>
      <c r="Q76" s="17">
        <v>4339.42556293293</v>
      </c>
      <c r="R76" s="18">
        <v>-5.6119368964522402E-2</v>
      </c>
      <c r="S76" s="17">
        <v>437.15906432958798</v>
      </c>
      <c r="T76" s="18">
        <v>-1.47544911040207E-2</v>
      </c>
      <c r="U76" s="17">
        <v>7440.6074649644297</v>
      </c>
      <c r="V76" s="18">
        <v>-2.1315002982691501E-2</v>
      </c>
      <c r="W76" s="17">
        <v>13892.3414219077</v>
      </c>
      <c r="X76" s="18">
        <v>-4.1439991725947803E-3</v>
      </c>
      <c r="Y76" s="17">
        <v>4034.6005334993201</v>
      </c>
      <c r="Z76" s="18">
        <v>-8.7485511206247795E-3</v>
      </c>
      <c r="AA76" s="17">
        <v>6629.7256460604403</v>
      </c>
      <c r="AB76" s="18">
        <v>3.8359495237980698E-2</v>
      </c>
      <c r="AC76" s="17">
        <v>3035.5868239824299</v>
      </c>
      <c r="AD76" s="18">
        <v>-6.5535112249408597E-2</v>
      </c>
      <c r="AE76" s="17">
        <v>4228.1305490765799</v>
      </c>
      <c r="AF76" s="18">
        <v>2.1568644269218E-2</v>
      </c>
      <c r="AG76" s="17">
        <v>8178.81929026735</v>
      </c>
      <c r="AH76" s="18">
        <v>9.0667755295609706E-2</v>
      </c>
      <c r="AI76" s="17">
        <v>4690.8372258583904</v>
      </c>
      <c r="AJ76" s="18">
        <v>0.15087140399728899</v>
      </c>
      <c r="AK76" s="17">
        <v>2714.3106326401098</v>
      </c>
      <c r="AL76" s="18">
        <v>1.69380102226699E-2</v>
      </c>
      <c r="AM76" s="17">
        <v>23668.4321513701</v>
      </c>
      <c r="AN76" s="18">
        <v>2.4848736616029501E-2</v>
      </c>
      <c r="AO76" s="17">
        <v>9054.7227158751302</v>
      </c>
      <c r="AP76" s="18">
        <v>-2.2624601736096501E-3</v>
      </c>
      <c r="AQ76" s="17">
        <v>6415.9497650496596</v>
      </c>
      <c r="AR76" s="18">
        <v>2.6799339751384398E-3</v>
      </c>
      <c r="AS76" s="17">
        <v>6368.4656950101298</v>
      </c>
      <c r="AT76" s="18">
        <v>2.2925607127665101E-2</v>
      </c>
      <c r="AU76" s="17">
        <v>784.00043074623295</v>
      </c>
      <c r="AV76" s="18">
        <v>8.1069125248204102E-2</v>
      </c>
      <c r="AW76" s="17">
        <v>2140.90000224098</v>
      </c>
      <c r="AX76" s="18">
        <v>-3.58351981225443E-2</v>
      </c>
      <c r="AY76" s="17">
        <v>429.754560564033</v>
      </c>
      <c r="AZ76" s="18">
        <v>-2.1332048360829799E-2</v>
      </c>
      <c r="BA76" s="17">
        <v>2699.6192668174899</v>
      </c>
      <c r="BB76" s="18">
        <v>2.6491956529253E-2</v>
      </c>
      <c r="BC76" s="17">
        <v>5426.81822706409</v>
      </c>
      <c r="BD76" s="18">
        <v>2.7562837095431499E-2</v>
      </c>
      <c r="BE76" s="17">
        <v>-2899.0673504592</v>
      </c>
      <c r="BF76" s="18">
        <v>3.1192825085537099E-2</v>
      </c>
      <c r="BG76" s="17"/>
      <c r="BH76" s="18"/>
    </row>
    <row r="77" spans="1:60" x14ac:dyDescent="0.2">
      <c r="A77" s="16">
        <v>1996</v>
      </c>
      <c r="B77" s="16">
        <v>2</v>
      </c>
      <c r="C77" s="17">
        <v>115377.986250338</v>
      </c>
      <c r="D77" s="18">
        <v>5.8538256002171902E-3</v>
      </c>
      <c r="E77" s="17">
        <v>112800.663705942</v>
      </c>
      <c r="F77" s="18">
        <v>5.1479002767555997E-3</v>
      </c>
      <c r="G77" s="17">
        <v>1192.7378472149901</v>
      </c>
      <c r="H77" s="18">
        <v>6.7221175766341002E-4</v>
      </c>
      <c r="I77" s="17">
        <v>173.789283413953</v>
      </c>
      <c r="J77" s="18">
        <v>-0.11594255667490901</v>
      </c>
      <c r="K77" s="17">
        <v>18399.5173219635</v>
      </c>
      <c r="L77" s="18">
        <v>7.6468292315803304E-3</v>
      </c>
      <c r="M77" s="17">
        <v>1959.0151163481801</v>
      </c>
      <c r="N77" s="18">
        <v>2.32782992528138E-2</v>
      </c>
      <c r="O77" s="17">
        <v>18825.290679082998</v>
      </c>
      <c r="P77" s="18">
        <v>4.1240878394368501E-3</v>
      </c>
      <c r="Q77" s="17">
        <v>4291.9455595409499</v>
      </c>
      <c r="R77" s="18">
        <v>-6.6492182022505994E-2</v>
      </c>
      <c r="S77" s="17">
        <v>420.56096360961402</v>
      </c>
      <c r="T77" s="18">
        <v>-8.5816857620443998E-2</v>
      </c>
      <c r="U77" s="17">
        <v>8117.5170239558602</v>
      </c>
      <c r="V77" s="18">
        <v>-3.47427401297652E-2</v>
      </c>
      <c r="W77" s="17">
        <v>14231.658200740199</v>
      </c>
      <c r="X77" s="18">
        <v>-2.9393147744293999E-2</v>
      </c>
      <c r="Y77" s="17">
        <v>4116.1290990344896</v>
      </c>
      <c r="Z77" s="18">
        <v>-3.4591241909413997E-2</v>
      </c>
      <c r="AA77" s="17">
        <v>6438.08140075346</v>
      </c>
      <c r="AB77" s="18">
        <v>3.3842145419060103E-2</v>
      </c>
      <c r="AC77" s="17">
        <v>3019.9473153526201</v>
      </c>
      <c r="AD77" s="18">
        <v>-1.4574449697410801E-2</v>
      </c>
      <c r="AE77" s="17">
        <v>3893.1139030229301</v>
      </c>
      <c r="AF77" s="18">
        <v>1.56594365030986E-2</v>
      </c>
      <c r="AG77" s="17">
        <v>8079.7276116415596</v>
      </c>
      <c r="AH77" s="18">
        <v>6.6363954905501496E-2</v>
      </c>
      <c r="AI77" s="17">
        <v>4574.83180776886</v>
      </c>
      <c r="AJ77" s="18">
        <v>0.121748768414584</v>
      </c>
      <c r="AK77" s="17">
        <v>2716.37367665081</v>
      </c>
      <c r="AL77" s="18">
        <v>4.4703164351069802E-3</v>
      </c>
      <c r="AM77" s="17">
        <v>23797.2364629275</v>
      </c>
      <c r="AN77" s="18">
        <v>2.469983861122E-2</v>
      </c>
      <c r="AO77" s="17">
        <v>9037.3016081219994</v>
      </c>
      <c r="AP77" s="18">
        <v>7.1886820425515197E-4</v>
      </c>
      <c r="AQ77" s="17">
        <v>6436.0049763487596</v>
      </c>
      <c r="AR77" s="18">
        <v>4.1712728678091598E-3</v>
      </c>
      <c r="AS77" s="17">
        <v>6363.2542403984698</v>
      </c>
      <c r="AT77" s="18">
        <v>2.46159160496187E-2</v>
      </c>
      <c r="AU77" s="17">
        <v>893.437530540843</v>
      </c>
      <c r="AV77" s="18">
        <v>0.213909020556075</v>
      </c>
      <c r="AW77" s="17">
        <v>2119.4381566079801</v>
      </c>
      <c r="AX77" s="18">
        <v>-3.5781383862025902E-2</v>
      </c>
      <c r="AY77" s="17">
        <v>428.29136690659499</v>
      </c>
      <c r="AZ77" s="18">
        <v>-2.86005678982728E-2</v>
      </c>
      <c r="BA77" s="17">
        <v>2765.1358676211998</v>
      </c>
      <c r="BB77" s="18">
        <v>3.0145872323154702E-2</v>
      </c>
      <c r="BC77" s="17">
        <v>5503.6093180893404</v>
      </c>
      <c r="BD77" s="18">
        <v>2.8407652084785101E-2</v>
      </c>
      <c r="BE77" s="17">
        <v>-2902.4016204371501</v>
      </c>
      <c r="BF77" s="18">
        <v>2.66038765554522E-2</v>
      </c>
      <c r="BG77" s="17"/>
      <c r="BH77" s="18"/>
    </row>
    <row r="78" spans="1:60" x14ac:dyDescent="0.2">
      <c r="A78" s="16">
        <v>1996</v>
      </c>
      <c r="B78" s="16">
        <v>3</v>
      </c>
      <c r="C78" s="17">
        <v>114728.268600054</v>
      </c>
      <c r="D78" s="18">
        <v>-1.6059004294193299E-3</v>
      </c>
      <c r="E78" s="17">
        <v>112120.163860999</v>
      </c>
      <c r="F78" s="18">
        <v>-2.7778955015195202E-3</v>
      </c>
      <c r="G78" s="17">
        <v>1192.66982673031</v>
      </c>
      <c r="H78" s="18">
        <v>-1.77530375522761E-3</v>
      </c>
      <c r="I78" s="17">
        <v>172.346583950302</v>
      </c>
      <c r="J78" s="18">
        <v>-8.8182141902901495E-2</v>
      </c>
      <c r="K78" s="17">
        <v>18024.196564003902</v>
      </c>
      <c r="L78" s="18">
        <v>6.4243074245522403E-3</v>
      </c>
      <c r="M78" s="17">
        <v>1890.0898989432101</v>
      </c>
      <c r="N78" s="18">
        <v>-1.7632289231870799E-2</v>
      </c>
      <c r="O78" s="17">
        <v>18507.622701803699</v>
      </c>
      <c r="P78" s="18">
        <v>1.2830799426652601E-2</v>
      </c>
      <c r="Q78" s="17">
        <v>4128.8495199128702</v>
      </c>
      <c r="R78" s="18">
        <v>-0.101358202961252</v>
      </c>
      <c r="S78" s="17">
        <v>416.75954911128002</v>
      </c>
      <c r="T78" s="18">
        <v>-9.5818824579845405E-2</v>
      </c>
      <c r="U78" s="17">
        <v>8142.4264304006401</v>
      </c>
      <c r="V78" s="18">
        <v>-7.8404162365953795E-2</v>
      </c>
      <c r="W78" s="17">
        <v>13574.6119524552</v>
      </c>
      <c r="X78" s="18">
        <v>-3.8596364351549603E-2</v>
      </c>
      <c r="Y78" s="17">
        <v>4020.7187223507299</v>
      </c>
      <c r="Z78" s="18">
        <v>-4.3420712917880501E-2</v>
      </c>
      <c r="AA78" s="17">
        <v>6336.4578553585397</v>
      </c>
      <c r="AB78" s="18">
        <v>3.06872275829464E-2</v>
      </c>
      <c r="AC78" s="17">
        <v>3510.8854444047302</v>
      </c>
      <c r="AD78" s="18">
        <v>1.9988576411898999E-2</v>
      </c>
      <c r="AE78" s="17">
        <v>3946.8300356937398</v>
      </c>
      <c r="AF78" s="18">
        <v>-6.2548629495353704E-3</v>
      </c>
      <c r="AG78" s="17">
        <v>8164.6619230426104</v>
      </c>
      <c r="AH78" s="18">
        <v>5.2950264995520697E-2</v>
      </c>
      <c r="AI78" s="17">
        <v>4632.2657045805499</v>
      </c>
      <c r="AJ78" s="18">
        <v>9.4792215045913106E-2</v>
      </c>
      <c r="AK78" s="17">
        <v>2732.8276437006598</v>
      </c>
      <c r="AL78" s="18">
        <v>3.3179092530097902E-3</v>
      </c>
      <c r="AM78" s="17">
        <v>23858.024404557898</v>
      </c>
      <c r="AN78" s="18">
        <v>1.6651924533195101E-2</v>
      </c>
      <c r="AO78" s="17">
        <v>9030.8524704540105</v>
      </c>
      <c r="AP78" s="18">
        <v>-1.6245439113005101E-3</v>
      </c>
      <c r="AQ78" s="17">
        <v>6389.9203082633803</v>
      </c>
      <c r="AR78" s="18">
        <v>2.7235674954346799E-3</v>
      </c>
      <c r="AS78" s="17">
        <v>6408.0008449807501</v>
      </c>
      <c r="AT78" s="18">
        <v>1.3209333814736299E-2</v>
      </c>
      <c r="AU78" s="17">
        <v>1039.26560675071</v>
      </c>
      <c r="AV78" s="18">
        <v>0.43048406963311397</v>
      </c>
      <c r="AW78" s="17">
        <v>2110.5920682829401</v>
      </c>
      <c r="AX78" s="18">
        <v>-3.6922484098090798E-2</v>
      </c>
      <c r="AY78" s="17">
        <v>428.01562803602297</v>
      </c>
      <c r="AZ78" s="18">
        <v>-2.9553094162153199E-2</v>
      </c>
      <c r="BA78" s="17">
        <v>2785.5851100986401</v>
      </c>
      <c r="BB78" s="18">
        <v>3.8858365346127403E-2</v>
      </c>
      <c r="BC78" s="17">
        <v>5520.94743956609</v>
      </c>
      <c r="BD78" s="18">
        <v>2.69837519188405E-2</v>
      </c>
      <c r="BE78" s="17">
        <v>-2895.3498279620699</v>
      </c>
      <c r="BF78" s="18">
        <v>1.34594158515953E-2</v>
      </c>
      <c r="BG78" s="17"/>
      <c r="BH78" s="18"/>
    </row>
    <row r="79" spans="1:60" x14ac:dyDescent="0.2">
      <c r="A79" s="16">
        <v>1996</v>
      </c>
      <c r="B79" s="16">
        <v>4</v>
      </c>
      <c r="C79" s="17">
        <v>118981.54987271799</v>
      </c>
      <c r="D79" s="18">
        <v>5.3980178419390503E-3</v>
      </c>
      <c r="E79" s="17">
        <v>116094.002351173</v>
      </c>
      <c r="F79" s="18">
        <v>3.3070172838010098E-3</v>
      </c>
      <c r="G79" s="17">
        <v>1192.7952812417</v>
      </c>
      <c r="H79" s="18">
        <v>-4.5477618732798798E-3</v>
      </c>
      <c r="I79" s="17">
        <v>168.468485907613</v>
      </c>
      <c r="J79" s="18">
        <v>-4.5501207952092601E-2</v>
      </c>
      <c r="K79" s="17">
        <v>18962.857429393702</v>
      </c>
      <c r="L79" s="18">
        <v>8.3575356522484993E-3</v>
      </c>
      <c r="M79" s="17">
        <v>1871.83744086296</v>
      </c>
      <c r="N79" s="18">
        <v>-1.5279766363601E-2</v>
      </c>
      <c r="O79" s="17">
        <v>19738.703723964201</v>
      </c>
      <c r="P79" s="18">
        <v>1.30945415739308E-2</v>
      </c>
      <c r="Q79" s="17">
        <v>4244.4313800999398</v>
      </c>
      <c r="R79" s="18">
        <v>-4.4367849523556997E-2</v>
      </c>
      <c r="S79" s="17">
        <v>424.88706228373002</v>
      </c>
      <c r="T79" s="18">
        <v>-8.0730763811052403E-2</v>
      </c>
      <c r="U79" s="17">
        <v>7246.8189613648601</v>
      </c>
      <c r="V79" s="18">
        <v>-0.106754589129495</v>
      </c>
      <c r="W79" s="17">
        <v>16345.382974188</v>
      </c>
      <c r="X79" s="18">
        <v>-2.0620580573628101E-3</v>
      </c>
      <c r="Y79" s="17">
        <v>4749.9410005050504</v>
      </c>
      <c r="Z79" s="18">
        <v>-5.0075549650477899E-3</v>
      </c>
      <c r="AA79" s="17">
        <v>6544.1823815405696</v>
      </c>
      <c r="AB79" s="18">
        <v>-1.7460921391794702E-2</v>
      </c>
      <c r="AC79" s="17">
        <v>2965.8071534708201</v>
      </c>
      <c r="AD79" s="18">
        <v>8.0113440644657294E-2</v>
      </c>
      <c r="AE79" s="17">
        <v>4328.0020084689804</v>
      </c>
      <c r="AF79" s="18">
        <v>-1.55830010215943E-2</v>
      </c>
      <c r="AG79" s="17">
        <v>8478.4127916596099</v>
      </c>
      <c r="AH79" s="18">
        <v>9.4962021418539405E-2</v>
      </c>
      <c r="AI79" s="17">
        <v>4893.8352004840199</v>
      </c>
      <c r="AJ79" s="18">
        <v>0.16195310475563199</v>
      </c>
      <c r="AK79" s="17">
        <v>2763.33265507742</v>
      </c>
      <c r="AL79" s="18">
        <v>1.3189801632643701E-2</v>
      </c>
      <c r="AM79" s="17">
        <v>23825.814988833601</v>
      </c>
      <c r="AN79" s="18">
        <v>1.35033755057643E-2</v>
      </c>
      <c r="AO79" s="17">
        <v>9014.2990819870593</v>
      </c>
      <c r="AP79" s="18">
        <v>-1.7027316394161399E-3</v>
      </c>
      <c r="AQ79" s="17">
        <v>6305.2338002993401</v>
      </c>
      <c r="AR79" s="18">
        <v>-7.1070773012205102E-4</v>
      </c>
      <c r="AS79" s="17">
        <v>6441.1010456869499</v>
      </c>
      <c r="AT79" s="18">
        <v>1.2966809007449299E-2</v>
      </c>
      <c r="AU79" s="17">
        <v>816.63435654669502</v>
      </c>
      <c r="AV79" s="18">
        <v>0.10177469559442399</v>
      </c>
      <c r="AW79" s="17">
        <v>2110.7480601625998</v>
      </c>
      <c r="AX79" s="18">
        <v>-3.0769741805625299E-2</v>
      </c>
      <c r="AY79" s="17">
        <v>425.67078050739798</v>
      </c>
      <c r="AZ79" s="18">
        <v>-2.66936774493035E-2</v>
      </c>
      <c r="BA79" s="17">
        <v>3034.1845455868502</v>
      </c>
      <c r="BB79" s="18">
        <v>6.9169241331007394E-2</v>
      </c>
      <c r="BC79" s="17">
        <v>5761.6393073188701</v>
      </c>
      <c r="BD79" s="18">
        <v>3.8250288053360601E-2</v>
      </c>
      <c r="BE79" s="17">
        <v>-2846.1337400273901</v>
      </c>
      <c r="BF79" s="18">
        <v>-8.4835619961662907E-3</v>
      </c>
      <c r="BG79" s="17"/>
      <c r="BH79" s="18"/>
    </row>
    <row r="80" spans="1:60" x14ac:dyDescent="0.2">
      <c r="A80" s="16">
        <v>1997</v>
      </c>
      <c r="B80" s="16">
        <v>1</v>
      </c>
      <c r="C80" s="17">
        <v>114327.962213595</v>
      </c>
      <c r="D80" s="18">
        <v>-1.9597392500639902E-3</v>
      </c>
      <c r="E80" s="17">
        <v>111507.27114152801</v>
      </c>
      <c r="F80" s="18">
        <v>-4.8532364674849201E-3</v>
      </c>
      <c r="G80" s="17">
        <v>1206.58264014721</v>
      </c>
      <c r="H80" s="18">
        <v>1.31464399578969E-2</v>
      </c>
      <c r="I80" s="17">
        <v>162.13679645976799</v>
      </c>
      <c r="J80" s="18">
        <v>0.13566554669262201</v>
      </c>
      <c r="K80" s="17">
        <v>18077.222042720601</v>
      </c>
      <c r="L80" s="18">
        <v>-2.4254164592635301E-3</v>
      </c>
      <c r="M80" s="17">
        <v>1933.2203714755599</v>
      </c>
      <c r="N80" s="18">
        <v>-1.26170239028758E-2</v>
      </c>
      <c r="O80" s="17">
        <v>18475.774875920601</v>
      </c>
      <c r="P80" s="18">
        <v>3.4856272230543398E-5</v>
      </c>
      <c r="Q80" s="17">
        <v>4228.6418724525001</v>
      </c>
      <c r="R80" s="18">
        <v>-2.55295750264132E-2</v>
      </c>
      <c r="S80" s="17">
        <v>425.816659964454</v>
      </c>
      <c r="T80" s="18">
        <v>-2.5945714708050099E-2</v>
      </c>
      <c r="U80" s="17">
        <v>6785.0532685179896</v>
      </c>
      <c r="V80" s="18">
        <v>-8.8104929541472504E-2</v>
      </c>
      <c r="W80" s="17">
        <v>13361.7050756837</v>
      </c>
      <c r="X80" s="18">
        <v>-3.8196321995598401E-2</v>
      </c>
      <c r="Y80" s="17">
        <v>3975.1547081795102</v>
      </c>
      <c r="Z80" s="18">
        <v>-1.4734005219657001E-2</v>
      </c>
      <c r="AA80" s="17">
        <v>6079.4052680496197</v>
      </c>
      <c r="AB80" s="18">
        <v>-8.3008016830656797E-2</v>
      </c>
      <c r="AC80" s="17">
        <v>3552.2330858566602</v>
      </c>
      <c r="AD80" s="18">
        <v>0.17019650296031699</v>
      </c>
      <c r="AE80" s="17">
        <v>4003.9094591441299</v>
      </c>
      <c r="AF80" s="18">
        <v>-5.3030786852458899E-2</v>
      </c>
      <c r="AG80" s="17">
        <v>8967.9321432627894</v>
      </c>
      <c r="AH80" s="18">
        <v>9.6482490319167696E-2</v>
      </c>
      <c r="AI80" s="17">
        <v>5259.4020961617198</v>
      </c>
      <c r="AJ80" s="18">
        <v>0.121207546313714</v>
      </c>
      <c r="AK80" s="17">
        <v>2807.9207714775098</v>
      </c>
      <c r="AL80" s="18">
        <v>3.44876292756306E-2</v>
      </c>
      <c r="AM80" s="17">
        <v>23777.775220072101</v>
      </c>
      <c r="AN80" s="18">
        <v>4.61978503699223E-3</v>
      </c>
      <c r="AO80" s="17">
        <v>9013.4637232541299</v>
      </c>
      <c r="AP80" s="18">
        <v>-4.55662684718805E-3</v>
      </c>
      <c r="AQ80" s="17">
        <v>6373.9331826348798</v>
      </c>
      <c r="AR80" s="18">
        <v>-6.5487704787945402E-3</v>
      </c>
      <c r="AS80" s="17">
        <v>6413.3125714260996</v>
      </c>
      <c r="AT80" s="18">
        <v>7.0420221390379298E-3</v>
      </c>
      <c r="AU80" s="17">
        <v>692.47526776103598</v>
      </c>
      <c r="AV80" s="18">
        <v>-0.116741215177752</v>
      </c>
      <c r="AW80" s="17">
        <v>2077.5759141102099</v>
      </c>
      <c r="AX80" s="18">
        <v>-2.95782559038212E-2</v>
      </c>
      <c r="AY80" s="17">
        <v>424.65686436477398</v>
      </c>
      <c r="AZ80" s="18">
        <v>-1.18618780742407E-2</v>
      </c>
      <c r="BA80" s="17">
        <v>2963.1699830484999</v>
      </c>
      <c r="BB80" s="18">
        <v>9.76251427267774E-2</v>
      </c>
      <c r="BC80" s="17">
        <v>5624.0793381317999</v>
      </c>
      <c r="BD80" s="18">
        <v>3.6349312398921398E-2</v>
      </c>
      <c r="BE80" s="17">
        <v>-2786.1848583373899</v>
      </c>
      <c r="BF80" s="18">
        <v>-3.89375197178242E-2</v>
      </c>
      <c r="BG80" s="17"/>
      <c r="BH80" s="18"/>
    </row>
    <row r="81" spans="1:60" x14ac:dyDescent="0.2">
      <c r="A81" s="16">
        <v>1997</v>
      </c>
      <c r="B81" s="16">
        <v>2</v>
      </c>
      <c r="C81" s="17">
        <v>117506.57665302401</v>
      </c>
      <c r="D81" s="18">
        <v>1.8448843422071499E-2</v>
      </c>
      <c r="E81" s="17">
        <v>114500.338562847</v>
      </c>
      <c r="F81" s="18">
        <v>1.5067950852990701E-2</v>
      </c>
      <c r="G81" s="17">
        <v>1203.1127391065199</v>
      </c>
      <c r="H81" s="18">
        <v>8.6983840713652505E-3</v>
      </c>
      <c r="I81" s="17">
        <v>206.976112480697</v>
      </c>
      <c r="J81" s="18">
        <v>0.19096015827221399</v>
      </c>
      <c r="K81" s="17">
        <v>18966.2604502264</v>
      </c>
      <c r="L81" s="18">
        <v>3.0802064986041901E-2</v>
      </c>
      <c r="M81" s="17">
        <v>2025.02753073348</v>
      </c>
      <c r="N81" s="18">
        <v>3.3696735586377501E-2</v>
      </c>
      <c r="O81" s="17">
        <v>19391.9185635588</v>
      </c>
      <c r="P81" s="18">
        <v>3.0099290052687099E-2</v>
      </c>
      <c r="Q81" s="17">
        <v>4222.9374410351502</v>
      </c>
      <c r="R81" s="18">
        <v>-1.6078516735237601E-2</v>
      </c>
      <c r="S81" s="17">
        <v>420.70656109667999</v>
      </c>
      <c r="T81" s="18">
        <v>3.4619829148141402E-4</v>
      </c>
      <c r="U81" s="17">
        <v>7501.4514608286099</v>
      </c>
      <c r="V81" s="18">
        <v>-7.5893350307632904E-2</v>
      </c>
      <c r="W81" s="17">
        <v>14496.117573641501</v>
      </c>
      <c r="X81" s="18">
        <v>1.8582470796519601E-2</v>
      </c>
      <c r="Y81" s="17">
        <v>4211.0469409788502</v>
      </c>
      <c r="Z81" s="18">
        <v>2.3059976900778E-2</v>
      </c>
      <c r="AA81" s="17">
        <v>6117.7902019119001</v>
      </c>
      <c r="AB81" s="18">
        <v>-4.9749479527250201E-2</v>
      </c>
      <c r="AC81" s="17">
        <v>3598.7001164871899</v>
      </c>
      <c r="AD81" s="18">
        <v>0.191643343641245</v>
      </c>
      <c r="AE81" s="17">
        <v>3678.2545396473402</v>
      </c>
      <c r="AF81" s="18">
        <v>-5.5189590833381999E-2</v>
      </c>
      <c r="AG81" s="17">
        <v>9174.1042516094603</v>
      </c>
      <c r="AH81" s="18">
        <v>0.135447219580904</v>
      </c>
      <c r="AI81" s="17">
        <v>5346.8520921772397</v>
      </c>
      <c r="AJ81" s="18">
        <v>0.16875380710113699</v>
      </c>
      <c r="AK81" s="17">
        <v>2849.4955172120899</v>
      </c>
      <c r="AL81" s="18">
        <v>4.9007189881699699E-2</v>
      </c>
      <c r="AM81" s="17">
        <v>23855.2449991336</v>
      </c>
      <c r="AN81" s="18">
        <v>2.4376164978834299E-3</v>
      </c>
      <c r="AO81" s="17">
        <v>9005.36949225836</v>
      </c>
      <c r="AP81" s="18">
        <v>-3.5333683933863598E-3</v>
      </c>
      <c r="AQ81" s="17">
        <v>6429.5956016679802</v>
      </c>
      <c r="AR81" s="18">
        <v>-9.9586229412929094E-4</v>
      </c>
      <c r="AS81" s="17">
        <v>6420.3623436318803</v>
      </c>
      <c r="AT81" s="18">
        <v>8.9746694184951199E-3</v>
      </c>
      <c r="AU81" s="17">
        <v>680.07403206874801</v>
      </c>
      <c r="AV81" s="18">
        <v>-0.23881188239645099</v>
      </c>
      <c r="AW81" s="17">
        <v>2030.51235320408</v>
      </c>
      <c r="AX81" s="18">
        <v>-4.1957253211966597E-2</v>
      </c>
      <c r="AY81" s="17">
        <v>427.365573219905</v>
      </c>
      <c r="AZ81" s="18">
        <v>-2.1615978238775902E-3</v>
      </c>
      <c r="BA81" s="17">
        <v>3136.2761066296498</v>
      </c>
      <c r="BB81" s="18">
        <v>0.134221339122744</v>
      </c>
      <c r="BC81" s="17">
        <v>5810.7420661434198</v>
      </c>
      <c r="BD81" s="18">
        <v>5.5805695917512797E-2</v>
      </c>
      <c r="BE81" s="17">
        <v>-2782.5417535381898</v>
      </c>
      <c r="BF81" s="18">
        <v>-4.1296788857531803E-2</v>
      </c>
      <c r="BG81" s="17"/>
      <c r="BH81" s="18"/>
    </row>
    <row r="82" spans="1:60" x14ac:dyDescent="0.2">
      <c r="A82" s="16">
        <v>1997</v>
      </c>
      <c r="B82" s="16">
        <v>3</v>
      </c>
      <c r="C82" s="17">
        <v>118291.400427313</v>
      </c>
      <c r="D82" s="18">
        <v>3.1057139367116599E-2</v>
      </c>
      <c r="E82" s="17">
        <v>115267.468659505</v>
      </c>
      <c r="F82" s="18">
        <v>2.8070818754846402E-2</v>
      </c>
      <c r="G82" s="17">
        <v>1199.0858544248299</v>
      </c>
      <c r="H82" s="18">
        <v>5.3795506105103197E-3</v>
      </c>
      <c r="I82" s="17">
        <v>211.765719266345</v>
      </c>
      <c r="J82" s="18">
        <v>0.228720142938311</v>
      </c>
      <c r="K82" s="17">
        <v>18803.937244205801</v>
      </c>
      <c r="L82" s="18">
        <v>4.3260773229643501E-2</v>
      </c>
      <c r="M82" s="17">
        <v>2016.44407119465</v>
      </c>
      <c r="N82" s="18">
        <v>6.6850879591540097E-2</v>
      </c>
      <c r="O82" s="17">
        <v>19205.868673035598</v>
      </c>
      <c r="P82" s="18">
        <v>3.7727480318895598E-2</v>
      </c>
      <c r="Q82" s="17">
        <v>4318.1290352488404</v>
      </c>
      <c r="R82" s="18">
        <v>4.5843161496465799E-2</v>
      </c>
      <c r="S82" s="17">
        <v>418.65216175644599</v>
      </c>
      <c r="T82" s="18">
        <v>4.54125802084726E-3</v>
      </c>
      <c r="U82" s="17">
        <v>7486.4714106613301</v>
      </c>
      <c r="V82" s="18">
        <v>-8.0560140806459499E-2</v>
      </c>
      <c r="W82" s="17">
        <v>13945.131546299401</v>
      </c>
      <c r="X82" s="18">
        <v>2.7295041297823001E-2</v>
      </c>
      <c r="Y82" s="17">
        <v>4108.2600208424001</v>
      </c>
      <c r="Z82" s="18">
        <v>2.1772549769533401E-2</v>
      </c>
      <c r="AA82" s="17">
        <v>6346.1098295964002</v>
      </c>
      <c r="AB82" s="18">
        <v>1.52324444637419E-3</v>
      </c>
      <c r="AC82" s="17">
        <v>4220.5143090873098</v>
      </c>
      <c r="AD82" s="18">
        <v>0.20212247762555599</v>
      </c>
      <c r="AE82" s="17">
        <v>3917.3139939846001</v>
      </c>
      <c r="AF82" s="18">
        <v>-7.4784172214682502E-3</v>
      </c>
      <c r="AG82" s="17">
        <v>9363.3174352609803</v>
      </c>
      <c r="AH82" s="18">
        <v>0.14681018314248601</v>
      </c>
      <c r="AI82" s="17">
        <v>5423.9587266496801</v>
      </c>
      <c r="AJ82" s="18">
        <v>0.17090837887089899</v>
      </c>
      <c r="AK82" s="17">
        <v>2888.3819753576299</v>
      </c>
      <c r="AL82" s="18">
        <v>5.6920652136819502E-2</v>
      </c>
      <c r="AM82" s="17">
        <v>24014.577042639201</v>
      </c>
      <c r="AN82" s="18">
        <v>6.5618441588704002E-3</v>
      </c>
      <c r="AO82" s="17">
        <v>9028.5215753454504</v>
      </c>
      <c r="AP82" s="18">
        <v>-2.5810355292421599E-4</v>
      </c>
      <c r="AQ82" s="17">
        <v>6516.2156619901398</v>
      </c>
      <c r="AR82" s="18">
        <v>1.97647775925212E-2</v>
      </c>
      <c r="AS82" s="17">
        <v>6472.7499790588599</v>
      </c>
      <c r="AT82" s="18">
        <v>1.01044203402105E-2</v>
      </c>
      <c r="AU82" s="17">
        <v>722.95693907370503</v>
      </c>
      <c r="AV82" s="18">
        <v>-0.30435787119517199</v>
      </c>
      <c r="AW82" s="17">
        <v>2080.3691390403901</v>
      </c>
      <c r="AX82" s="18">
        <v>-1.43196450402321E-2</v>
      </c>
      <c r="AY82" s="17">
        <v>429.04985608060298</v>
      </c>
      <c r="AZ82" s="18">
        <v>2.4163324346952999E-3</v>
      </c>
      <c r="BA82" s="17">
        <v>3155.2034679384301</v>
      </c>
      <c r="BB82" s="18">
        <v>0.13268966598787399</v>
      </c>
      <c r="BC82" s="17">
        <v>5887.2976642036501</v>
      </c>
      <c r="BD82" s="18">
        <v>6.6356405064119398E-2</v>
      </c>
      <c r="BE82" s="17">
        <v>-2847.9911355761401</v>
      </c>
      <c r="BF82" s="18">
        <v>-1.6356811853463299E-2</v>
      </c>
      <c r="BG82" s="17"/>
      <c r="BH82" s="18"/>
    </row>
    <row r="83" spans="1:60" x14ac:dyDescent="0.2">
      <c r="A83" s="16">
        <v>1997</v>
      </c>
      <c r="B83" s="16">
        <v>4</v>
      </c>
      <c r="C83" s="17">
        <v>123239.716799195</v>
      </c>
      <c r="D83" s="18">
        <v>3.5788464102474798E-2</v>
      </c>
      <c r="E83" s="17">
        <v>120066.915012725</v>
      </c>
      <c r="F83" s="18">
        <v>3.4221515160915303E-2</v>
      </c>
      <c r="G83" s="17">
        <v>1200.39289903492</v>
      </c>
      <c r="H83" s="18">
        <v>6.3695907526584196E-3</v>
      </c>
      <c r="I83" s="17">
        <v>207.82695340792</v>
      </c>
      <c r="J83" s="18">
        <v>0.23362510375911699</v>
      </c>
      <c r="K83" s="17">
        <v>19916.9677906172</v>
      </c>
      <c r="L83" s="18">
        <v>5.03146935938295E-2</v>
      </c>
      <c r="M83" s="17">
        <v>2082.53754778445</v>
      </c>
      <c r="N83" s="18">
        <v>0.11256325059101099</v>
      </c>
      <c r="O83" s="17">
        <v>20464.973407582402</v>
      </c>
      <c r="P83" s="18">
        <v>3.6794193467550203E-2</v>
      </c>
      <c r="Q83" s="17">
        <v>4105.6273722865099</v>
      </c>
      <c r="R83" s="18">
        <v>-3.2702615588090199E-2</v>
      </c>
      <c r="S83" s="17">
        <v>414.35707463577398</v>
      </c>
      <c r="T83" s="18">
        <v>-2.4783027262253201E-2</v>
      </c>
      <c r="U83" s="17">
        <v>6907.3091483761</v>
      </c>
      <c r="V83" s="18">
        <v>-4.68494955923143E-2</v>
      </c>
      <c r="W83" s="17">
        <v>17179.581575313801</v>
      </c>
      <c r="X83" s="18">
        <v>5.1035732992194903E-2</v>
      </c>
      <c r="Y83" s="17">
        <v>4916.10427795747</v>
      </c>
      <c r="Z83" s="18">
        <v>3.4982177133306099E-2</v>
      </c>
      <c r="AA83" s="17">
        <v>6594.7209547371704</v>
      </c>
      <c r="AB83" s="18">
        <v>7.7226718709968402E-3</v>
      </c>
      <c r="AC83" s="17">
        <v>3606.88853117593</v>
      </c>
      <c r="AD83" s="18">
        <v>0.21615747232751401</v>
      </c>
      <c r="AE83" s="17">
        <v>4543.8062058854302</v>
      </c>
      <c r="AF83" s="18">
        <v>4.98623145262354E-2</v>
      </c>
      <c r="AG83" s="17">
        <v>9298.1964614629105</v>
      </c>
      <c r="AH83" s="18">
        <v>9.6690700246363503E-2</v>
      </c>
      <c r="AI83" s="17">
        <v>5281.0818107730001</v>
      </c>
      <c r="AJ83" s="18">
        <v>7.91294750282312E-2</v>
      </c>
      <c r="AK83" s="17">
        <v>2924.8340684367799</v>
      </c>
      <c r="AL83" s="18">
        <v>5.8444434137385801E-2</v>
      </c>
      <c r="AM83" s="17">
        <v>24102.055316531601</v>
      </c>
      <c r="AN83" s="18">
        <v>1.1594160696181599E-2</v>
      </c>
      <c r="AO83" s="17">
        <v>9018.7691418440609</v>
      </c>
      <c r="AP83" s="18">
        <v>4.9588546112544496E-4</v>
      </c>
      <c r="AQ83" s="17">
        <v>6507.5063304101604</v>
      </c>
      <c r="AR83" s="18">
        <v>3.20800998848325E-2</v>
      </c>
      <c r="AS83" s="17">
        <v>6497.9524608366601</v>
      </c>
      <c r="AT83" s="18">
        <v>8.8263504556849205E-3</v>
      </c>
      <c r="AU83" s="17">
        <v>692.73526585573302</v>
      </c>
      <c r="AV83" s="18">
        <v>-0.15171917480290101</v>
      </c>
      <c r="AW83" s="17">
        <v>2072.18437881315</v>
      </c>
      <c r="AX83" s="18">
        <v>-1.8270148899948799E-2</v>
      </c>
      <c r="AY83" s="17">
        <v>429.21207064201798</v>
      </c>
      <c r="AZ83" s="18">
        <v>8.3193169387836292E-3</v>
      </c>
      <c r="BA83" s="17">
        <v>3306.1390071733699</v>
      </c>
      <c r="BB83" s="18">
        <v>8.96301650412374E-2</v>
      </c>
      <c r="BC83" s="17">
        <v>6136.1154478470198</v>
      </c>
      <c r="BD83" s="18">
        <v>6.4994721216313306E-2</v>
      </c>
      <c r="BE83" s="17">
        <v>-2945.7476128989701</v>
      </c>
      <c r="BF83" s="18">
        <v>3.4999716095783298E-2</v>
      </c>
      <c r="BG83" s="17"/>
      <c r="BH83" s="18"/>
    </row>
    <row r="84" spans="1:60" x14ac:dyDescent="0.2">
      <c r="A84" s="16">
        <v>1998</v>
      </c>
      <c r="B84" s="16">
        <v>1</v>
      </c>
      <c r="C84" s="17">
        <v>118884.229433699</v>
      </c>
      <c r="D84" s="18">
        <v>3.9852605888247801E-2</v>
      </c>
      <c r="E84" s="17">
        <v>116011.13019246599</v>
      </c>
      <c r="F84" s="18">
        <v>4.0390720755973497E-2</v>
      </c>
      <c r="G84" s="17">
        <v>1207.98952146498</v>
      </c>
      <c r="H84" s="18">
        <v>1.1660049390318501E-3</v>
      </c>
      <c r="I84" s="17">
        <v>191.98582154083499</v>
      </c>
      <c r="J84" s="18">
        <v>0.18409778491259399</v>
      </c>
      <c r="K84" s="17">
        <v>18986.002921344701</v>
      </c>
      <c r="L84" s="18">
        <v>5.02721533472585E-2</v>
      </c>
      <c r="M84" s="17">
        <v>2223.0031098557301</v>
      </c>
      <c r="N84" s="18">
        <v>0.14989638152788301</v>
      </c>
      <c r="O84" s="17">
        <v>18976.393135143699</v>
      </c>
      <c r="P84" s="18">
        <v>2.7095927644990699E-2</v>
      </c>
      <c r="Q84" s="17">
        <v>4061.0831515302798</v>
      </c>
      <c r="R84" s="18">
        <v>-3.9624713081942403E-2</v>
      </c>
      <c r="S84" s="17">
        <v>399.54722276858303</v>
      </c>
      <c r="T84" s="18">
        <v>-6.1691896221402101E-2</v>
      </c>
      <c r="U84" s="17">
        <v>6637.0726370606199</v>
      </c>
      <c r="V84" s="18">
        <v>-2.1809796563276501E-2</v>
      </c>
      <c r="W84" s="17">
        <v>13858.4197625951</v>
      </c>
      <c r="X84" s="18">
        <v>3.7174498621089798E-2</v>
      </c>
      <c r="Y84" s="17">
        <v>4041.9966193200999</v>
      </c>
      <c r="Z84" s="18">
        <v>1.6814920688005899E-2</v>
      </c>
      <c r="AA84" s="17">
        <v>6736.7652590601901</v>
      </c>
      <c r="AB84" s="18">
        <v>0.108128996509796</v>
      </c>
      <c r="AC84" s="17">
        <v>3892.52744679223</v>
      </c>
      <c r="AD84" s="18">
        <v>9.5797306288956302E-2</v>
      </c>
      <c r="AE84" s="17">
        <v>4395.1305457776198</v>
      </c>
      <c r="AF84" s="18">
        <v>9.7709773566435398E-2</v>
      </c>
      <c r="AG84" s="17">
        <v>9706.1552820423694</v>
      </c>
      <c r="AH84" s="18">
        <v>8.2318100425657195E-2</v>
      </c>
      <c r="AI84" s="17">
        <v>5562.9439843524096</v>
      </c>
      <c r="AJ84" s="18">
        <v>5.7714143668956303E-2</v>
      </c>
      <c r="AK84" s="17">
        <v>2959.0412798969001</v>
      </c>
      <c r="AL84" s="18">
        <v>5.3819363407420398E-2</v>
      </c>
      <c r="AM84" s="17">
        <v>24308.7783871397</v>
      </c>
      <c r="AN84" s="18">
        <v>2.2331911297544599E-2</v>
      </c>
      <c r="AO84" s="17">
        <v>8982.6140993940007</v>
      </c>
      <c r="AP84" s="18">
        <v>-3.42261585638115E-3</v>
      </c>
      <c r="AQ84" s="17">
        <v>6531.3591439635102</v>
      </c>
      <c r="AR84" s="18">
        <v>2.4698401570559799E-2</v>
      </c>
      <c r="AS84" s="17">
        <v>6645.7380760808401</v>
      </c>
      <c r="AT84" s="18">
        <v>3.6241100377719902E-2</v>
      </c>
      <c r="AU84" s="17">
        <v>901.49820503700596</v>
      </c>
      <c r="AV84" s="18">
        <v>0.30184895693357999</v>
      </c>
      <c r="AW84" s="17">
        <v>2060.6274550072499</v>
      </c>
      <c r="AX84" s="18">
        <v>-8.1578049629135192E-3</v>
      </c>
      <c r="AY84" s="17">
        <v>428.56568189354601</v>
      </c>
      <c r="AZ84" s="18">
        <v>9.2046493458179893E-3</v>
      </c>
      <c r="BA84" s="17">
        <v>3026.4564754303001</v>
      </c>
      <c r="BB84" s="18">
        <v>2.1357698931831801E-2</v>
      </c>
      <c r="BC84" s="17">
        <v>5974.23352905301</v>
      </c>
      <c r="BD84" s="18">
        <v>6.2259824207515399E-2</v>
      </c>
      <c r="BE84" s="17">
        <v>-3107.0809877894699</v>
      </c>
      <c r="BF84" s="18">
        <v>0.115174026767042</v>
      </c>
      <c r="BG84" s="17"/>
      <c r="BH84" s="18"/>
    </row>
    <row r="85" spans="1:60" x14ac:dyDescent="0.2">
      <c r="A85" s="16">
        <v>1998</v>
      </c>
      <c r="B85" s="16">
        <v>2</v>
      </c>
      <c r="C85" s="17">
        <v>121780.952395927</v>
      </c>
      <c r="D85" s="18">
        <v>3.63756298979281E-2</v>
      </c>
      <c r="E85" s="17">
        <v>118831.642531561</v>
      </c>
      <c r="F85" s="18">
        <v>3.78278704070047E-2</v>
      </c>
      <c r="G85" s="17">
        <v>1213.95515219701</v>
      </c>
      <c r="H85" s="18">
        <v>9.0119676552848898E-3</v>
      </c>
      <c r="I85" s="17">
        <v>225.57767800271799</v>
      </c>
      <c r="J85" s="18">
        <v>8.9873006595176899E-2</v>
      </c>
      <c r="K85" s="17">
        <v>19555.713401960002</v>
      </c>
      <c r="L85" s="18">
        <v>3.1079028640381898E-2</v>
      </c>
      <c r="M85" s="17">
        <v>2263.6185556813898</v>
      </c>
      <c r="N85" s="18">
        <v>0.11782112654117299</v>
      </c>
      <c r="O85" s="17">
        <v>19603.9262144196</v>
      </c>
      <c r="P85" s="18">
        <v>1.09327836833619E-2</v>
      </c>
      <c r="Q85" s="17">
        <v>4100.7755333496998</v>
      </c>
      <c r="R85" s="18">
        <v>-2.8928183140572199E-2</v>
      </c>
      <c r="S85" s="17">
        <v>399.48965000160598</v>
      </c>
      <c r="T85" s="18">
        <v>-5.04316144720134E-2</v>
      </c>
      <c r="U85" s="17">
        <v>7506.2260858016298</v>
      </c>
      <c r="V85" s="18">
        <v>6.3649348368821602E-4</v>
      </c>
      <c r="W85" s="17">
        <v>14818.4224325742</v>
      </c>
      <c r="X85" s="18">
        <v>2.2233874504350899E-2</v>
      </c>
      <c r="Y85" s="17">
        <v>4295.7200375929096</v>
      </c>
      <c r="Z85" s="18">
        <v>2.0107374199532801E-2</v>
      </c>
      <c r="AA85" s="17">
        <v>6657.8790573884698</v>
      </c>
      <c r="AB85" s="18">
        <v>8.8281689572776906E-2</v>
      </c>
      <c r="AC85" s="17">
        <v>3823.4230269903601</v>
      </c>
      <c r="AD85" s="18">
        <v>6.2445578466960597E-2</v>
      </c>
      <c r="AE85" s="17">
        <v>4210.5620874319502</v>
      </c>
      <c r="AF85" s="18">
        <v>0.14471743106599999</v>
      </c>
      <c r="AG85" s="17">
        <v>9824.3671690351403</v>
      </c>
      <c r="AH85" s="18">
        <v>7.0880262485745402E-2</v>
      </c>
      <c r="AI85" s="17">
        <v>5592.4142287491404</v>
      </c>
      <c r="AJ85" s="18">
        <v>4.5926487648905598E-2</v>
      </c>
      <c r="AK85" s="17">
        <v>2983.3456664833798</v>
      </c>
      <c r="AL85" s="18">
        <v>4.6973279467465101E-2</v>
      </c>
      <c r="AM85" s="17">
        <v>24461.986706846299</v>
      </c>
      <c r="AN85" s="18">
        <v>2.5434310472801199E-2</v>
      </c>
      <c r="AO85" s="17">
        <v>8960.81811439372</v>
      </c>
      <c r="AP85" s="18">
        <v>-4.9472015449165702E-3</v>
      </c>
      <c r="AQ85" s="17">
        <v>6564.4549407632903</v>
      </c>
      <c r="AR85" s="18">
        <v>2.0974777801005699E-2</v>
      </c>
      <c r="AS85" s="17">
        <v>6785.8836479946904</v>
      </c>
      <c r="AT85" s="18">
        <v>5.6931569403612103E-2</v>
      </c>
      <c r="AU85" s="17">
        <v>1175.12980692973</v>
      </c>
      <c r="AV85" s="18">
        <v>0.72794394656571504</v>
      </c>
      <c r="AW85" s="17">
        <v>2043.42247110273</v>
      </c>
      <c r="AX85" s="18">
        <v>6.3580592741912002E-3</v>
      </c>
      <c r="AY85" s="17">
        <v>430.63517519945202</v>
      </c>
      <c r="AZ85" s="18">
        <v>7.6505974847547202E-3</v>
      </c>
      <c r="BA85" s="17">
        <v>3105.6224860534899</v>
      </c>
      <c r="BB85" s="18">
        <v>-9.7738909247709893E-3</v>
      </c>
      <c r="BC85" s="17">
        <v>6119.6924380548098</v>
      </c>
      <c r="BD85" s="18">
        <v>5.3168832550922501E-2</v>
      </c>
      <c r="BE85" s="17">
        <v>-3175.9541014053998</v>
      </c>
      <c r="BF85" s="18">
        <v>0.14138596388246499</v>
      </c>
      <c r="BG85" s="17"/>
      <c r="BH85" s="18"/>
    </row>
    <row r="86" spans="1:60" x14ac:dyDescent="0.2">
      <c r="A86" s="16">
        <v>1998</v>
      </c>
      <c r="B86" s="16">
        <v>3</v>
      </c>
      <c r="C86" s="17">
        <v>121023.424155942</v>
      </c>
      <c r="D86" s="18">
        <v>2.30957087223558E-2</v>
      </c>
      <c r="E86" s="17">
        <v>118055.09685780499</v>
      </c>
      <c r="F86" s="18">
        <v>2.4183997711742601E-2</v>
      </c>
      <c r="G86" s="17">
        <v>1219.7650064469001</v>
      </c>
      <c r="H86" s="18">
        <v>1.7245764300995801E-2</v>
      </c>
      <c r="I86" s="17">
        <v>227.09522706118699</v>
      </c>
      <c r="J86" s="18">
        <v>7.2388995952465299E-2</v>
      </c>
      <c r="K86" s="17">
        <v>19151.465653695501</v>
      </c>
      <c r="L86" s="18">
        <v>1.8481683116487999E-2</v>
      </c>
      <c r="M86" s="17">
        <v>2179.3765073291502</v>
      </c>
      <c r="N86" s="18">
        <v>8.0801862279259895E-2</v>
      </c>
      <c r="O86" s="17">
        <v>19282.094262739101</v>
      </c>
      <c r="P86" s="18">
        <v>3.9688696721431596E-3</v>
      </c>
      <c r="Q86" s="17">
        <v>4107.4885240679396</v>
      </c>
      <c r="R86" s="18">
        <v>-4.8780504116818099E-2</v>
      </c>
      <c r="S86" s="17">
        <v>408.41400505262402</v>
      </c>
      <c r="T86" s="18">
        <v>-2.4455043205482099E-2</v>
      </c>
      <c r="U86" s="17">
        <v>7785.0041775631798</v>
      </c>
      <c r="V86" s="18">
        <v>3.98762982620504E-2</v>
      </c>
      <c r="W86" s="17">
        <v>14140.430625635199</v>
      </c>
      <c r="X86" s="18">
        <v>1.40048215886197E-2</v>
      </c>
      <c r="Y86" s="17">
        <v>4190.4743761975596</v>
      </c>
      <c r="Z86" s="18">
        <v>2.0011964904378201E-2</v>
      </c>
      <c r="AA86" s="17">
        <v>6544.3235031405302</v>
      </c>
      <c r="AB86" s="18">
        <v>3.1233886407027601E-2</v>
      </c>
      <c r="AC86" s="17">
        <v>4243.1314311924698</v>
      </c>
      <c r="AD86" s="18">
        <v>5.3588545017992902E-3</v>
      </c>
      <c r="AE86" s="17">
        <v>4401.4155918869801</v>
      </c>
      <c r="AF86" s="18">
        <v>0.123579983285936</v>
      </c>
      <c r="AG86" s="17">
        <v>9547.9908835523092</v>
      </c>
      <c r="AH86" s="18">
        <v>1.97230788732927E-2</v>
      </c>
      <c r="AI86" s="17">
        <v>5311.3758127751598</v>
      </c>
      <c r="AJ86" s="18">
        <v>-2.07565948688666E-2</v>
      </c>
      <c r="AK86" s="17">
        <v>2997.6151547069999</v>
      </c>
      <c r="AL86" s="18">
        <v>3.7818121107701101E-2</v>
      </c>
      <c r="AM86" s="17">
        <v>24556.651091731499</v>
      </c>
      <c r="AN86" s="18">
        <v>2.2572708573208599E-2</v>
      </c>
      <c r="AO86" s="17">
        <v>8999.6967501227191</v>
      </c>
      <c r="AP86" s="18">
        <v>-3.1926406756835899E-3</v>
      </c>
      <c r="AQ86" s="17">
        <v>6639.4429046595596</v>
      </c>
      <c r="AR86" s="18">
        <v>1.8910860085282099E-2</v>
      </c>
      <c r="AS86" s="17">
        <v>6849.5964637254301</v>
      </c>
      <c r="AT86" s="18">
        <v>5.82204605284877E-2</v>
      </c>
      <c r="AU86" s="17">
        <v>1005.74238415524</v>
      </c>
      <c r="AV86" s="18">
        <v>0.39115115963040997</v>
      </c>
      <c r="AW86" s="17">
        <v>2062.1139285008198</v>
      </c>
      <c r="AX86" s="18">
        <v>-8.7749862257586707E-3</v>
      </c>
      <c r="AY86" s="17">
        <v>432.646406189245</v>
      </c>
      <c r="AZ86" s="18">
        <v>8.3825925068394796E-3</v>
      </c>
      <c r="BA86" s="17">
        <v>3118.9629355874499</v>
      </c>
      <c r="BB86" s="18">
        <v>-1.14859573143971E-2</v>
      </c>
      <c r="BC86" s="17">
        <v>6122.4851094364903</v>
      </c>
      <c r="BD86" s="18">
        <v>3.9948285044739899E-2</v>
      </c>
      <c r="BE86" s="17">
        <v>-3162.6543648728398</v>
      </c>
      <c r="BF86" s="18">
        <v>0.110486028332758</v>
      </c>
      <c r="BG86" s="17"/>
      <c r="BH86" s="18"/>
    </row>
    <row r="87" spans="1:60" x14ac:dyDescent="0.2">
      <c r="A87" s="16">
        <v>1998</v>
      </c>
      <c r="B87" s="16">
        <v>4</v>
      </c>
      <c r="C87" s="17">
        <v>124818.219279896</v>
      </c>
      <c r="D87" s="18">
        <v>1.28083910098031E-2</v>
      </c>
      <c r="E87" s="17">
        <v>121554.180951813</v>
      </c>
      <c r="F87" s="18">
        <v>1.23869755371842E-2</v>
      </c>
      <c r="G87" s="17">
        <v>1225.0278124721899</v>
      </c>
      <c r="H87" s="18">
        <v>2.0522375179890601E-2</v>
      </c>
      <c r="I87" s="17">
        <v>204.290685781799</v>
      </c>
      <c r="J87" s="18">
        <v>-1.7015442742789998E-2</v>
      </c>
      <c r="K87" s="17">
        <v>19802.568272707598</v>
      </c>
      <c r="L87" s="18">
        <v>-5.7438220070576999E-3</v>
      </c>
      <c r="M87" s="17">
        <v>2104.761840059</v>
      </c>
      <c r="N87" s="18">
        <v>1.0671736650409699E-2</v>
      </c>
      <c r="O87" s="17">
        <v>20268.8605538825</v>
      </c>
      <c r="P87" s="18">
        <v>-9.5828540694453696E-3</v>
      </c>
      <c r="Q87" s="17">
        <v>4121.0117360490804</v>
      </c>
      <c r="R87" s="18">
        <v>3.7471407820439699E-3</v>
      </c>
      <c r="S87" s="17">
        <v>428.11127626292898</v>
      </c>
      <c r="T87" s="18">
        <v>3.3194079380073599E-2</v>
      </c>
      <c r="U87" s="17">
        <v>6990.7487059044097</v>
      </c>
      <c r="V87" s="18">
        <v>1.20798933037367E-2</v>
      </c>
      <c r="W87" s="17">
        <v>17229.039032840301</v>
      </c>
      <c r="X87" s="18">
        <v>2.8788511122708198E-3</v>
      </c>
      <c r="Y87" s="17">
        <v>5018.4591616743901</v>
      </c>
      <c r="Z87" s="18">
        <v>2.0820323965838199E-2</v>
      </c>
      <c r="AA87" s="17">
        <v>6400.6456382912602</v>
      </c>
      <c r="AB87" s="18">
        <v>-2.94288898314179E-2</v>
      </c>
      <c r="AC87" s="17">
        <v>3567.3301425316399</v>
      </c>
      <c r="AD87" s="18">
        <v>-1.0967455274088499E-2</v>
      </c>
      <c r="AE87" s="17">
        <v>4914.7678675944699</v>
      </c>
      <c r="AF87" s="18">
        <v>8.1641171498145801E-2</v>
      </c>
      <c r="AG87" s="17">
        <v>9519.2375889800205</v>
      </c>
      <c r="AH87" s="18">
        <v>2.3772473342893199E-2</v>
      </c>
      <c r="AI87" s="17">
        <v>5325.91101462186</v>
      </c>
      <c r="AJ87" s="18">
        <v>8.48864029286878E-3</v>
      </c>
      <c r="AK87" s="17">
        <v>3001.4520414160202</v>
      </c>
      <c r="AL87" s="18">
        <v>2.6195664843369701E-2</v>
      </c>
      <c r="AM87" s="17">
        <v>24663.057942762702</v>
      </c>
      <c r="AN87" s="18">
        <v>2.3276132216256899E-2</v>
      </c>
      <c r="AO87" s="17">
        <v>8980.5643320737599</v>
      </c>
      <c r="AP87" s="18">
        <v>-4.2361445524795602E-3</v>
      </c>
      <c r="AQ87" s="17">
        <v>6602.0686160749701</v>
      </c>
      <c r="AR87" s="18">
        <v>1.45312629544292E-2</v>
      </c>
      <c r="AS87" s="17">
        <v>6874.5874485680397</v>
      </c>
      <c r="AT87" s="18">
        <v>5.79621026779382E-2</v>
      </c>
      <c r="AU87" s="17">
        <v>813.61123534231103</v>
      </c>
      <c r="AV87" s="18">
        <v>0.17449085595095301</v>
      </c>
      <c r="AW87" s="17">
        <v>2010.72615242037</v>
      </c>
      <c r="AX87" s="18">
        <v>-2.9658666970541901E-2</v>
      </c>
      <c r="AY87" s="17">
        <v>433.99013196278702</v>
      </c>
      <c r="AZ87" s="18">
        <v>1.11321690315507E-2</v>
      </c>
      <c r="BA87" s="17">
        <v>3393.8820486654199</v>
      </c>
      <c r="BB87" s="18">
        <v>2.6539429014227602E-2</v>
      </c>
      <c r="BC87" s="17">
        <v>6319.7024212550996</v>
      </c>
      <c r="BD87" s="18">
        <v>2.9919087241505399E-2</v>
      </c>
      <c r="BE87" s="17">
        <v>-3048.73317730079</v>
      </c>
      <c r="BF87" s="18">
        <v>3.4960756295228802E-2</v>
      </c>
      <c r="BG87" s="17"/>
      <c r="BH87" s="18"/>
    </row>
    <row r="88" spans="1:60" x14ac:dyDescent="0.2">
      <c r="A88" s="16">
        <v>1999</v>
      </c>
      <c r="B88" s="16">
        <v>1</v>
      </c>
      <c r="C88" s="17">
        <v>120019.847716823</v>
      </c>
      <c r="D88" s="18">
        <v>9.5523038550453503E-3</v>
      </c>
      <c r="E88" s="17">
        <v>116712.466309439</v>
      </c>
      <c r="F88" s="18">
        <v>6.0454209506393096E-3</v>
      </c>
      <c r="G88" s="17">
        <v>1229.7655258679699</v>
      </c>
      <c r="H88" s="18">
        <v>1.8026650079367101E-2</v>
      </c>
      <c r="I88" s="17">
        <v>181.42955731549901</v>
      </c>
      <c r="J88" s="18">
        <v>-5.4984603241085998E-2</v>
      </c>
      <c r="K88" s="17">
        <v>19035.332728576399</v>
      </c>
      <c r="L88" s="18">
        <v>2.59821972197494E-3</v>
      </c>
      <c r="M88" s="17">
        <v>2120.7102318279299</v>
      </c>
      <c r="N88" s="18">
        <v>-4.6015625247792798E-2</v>
      </c>
      <c r="O88" s="17">
        <v>19263.858730048501</v>
      </c>
      <c r="P88" s="18">
        <v>1.5148589769280499E-2</v>
      </c>
      <c r="Q88" s="17">
        <v>4013.2520370899701</v>
      </c>
      <c r="R88" s="18">
        <v>-1.17779204846582E-2</v>
      </c>
      <c r="S88" s="17">
        <v>417.36339833182598</v>
      </c>
      <c r="T88" s="18">
        <v>4.4590913283763599E-2</v>
      </c>
      <c r="U88" s="17">
        <v>6549.7562672256699</v>
      </c>
      <c r="V88" s="18">
        <v>-1.31558556926716E-2</v>
      </c>
      <c r="W88" s="17">
        <v>14317.8546539666</v>
      </c>
      <c r="X88" s="18">
        <v>3.31520403654888E-2</v>
      </c>
      <c r="Y88" s="17">
        <v>4187.1799590378196</v>
      </c>
      <c r="Z88" s="18">
        <v>3.5918718740082498E-2</v>
      </c>
      <c r="AA88" s="17">
        <v>5771.4263375666897</v>
      </c>
      <c r="AB88" s="18">
        <v>-0.143294130695029</v>
      </c>
      <c r="AC88" s="17">
        <v>3850.0659209946998</v>
      </c>
      <c r="AD88" s="18">
        <v>-1.09084717777705E-2</v>
      </c>
      <c r="AE88" s="17">
        <v>4599.2443430049998</v>
      </c>
      <c r="AF88" s="18">
        <v>4.64408952365414E-2</v>
      </c>
      <c r="AG88" s="17">
        <v>9823.8856017144808</v>
      </c>
      <c r="AH88" s="18">
        <v>1.21294494319415E-2</v>
      </c>
      <c r="AI88" s="17">
        <v>5611.46207211816</v>
      </c>
      <c r="AJ88" s="18">
        <v>8.7216567166994406E-3</v>
      </c>
      <c r="AK88" s="17">
        <v>2994.1824663597499</v>
      </c>
      <c r="AL88" s="18">
        <v>1.1875868951740601E-2</v>
      </c>
      <c r="AM88" s="17">
        <v>24805.121366973799</v>
      </c>
      <c r="AN88" s="18">
        <v>2.0418260923252399E-2</v>
      </c>
      <c r="AO88" s="17">
        <v>8990.1591787967991</v>
      </c>
      <c r="AP88" s="18">
        <v>8.3996477187020502E-4</v>
      </c>
      <c r="AQ88" s="17">
        <v>6656.5667030820396</v>
      </c>
      <c r="AR88" s="18">
        <v>1.9170215013249801E-2</v>
      </c>
      <c r="AS88" s="17">
        <v>6847.82774385841</v>
      </c>
      <c r="AT88" s="18">
        <v>3.0408912518675502E-2</v>
      </c>
      <c r="AU88" s="17">
        <v>767.21917479193598</v>
      </c>
      <c r="AV88" s="18">
        <v>-0.14895096794957899</v>
      </c>
      <c r="AW88" s="17">
        <v>1961.1794072774701</v>
      </c>
      <c r="AX88" s="18">
        <v>-4.8261051500660297E-2</v>
      </c>
      <c r="AY88" s="17">
        <v>435.22572298032298</v>
      </c>
      <c r="AZ88" s="18">
        <v>1.5540304247766199E-2</v>
      </c>
      <c r="BA88" s="17">
        <v>3387.5793638047498</v>
      </c>
      <c r="BB88" s="18">
        <v>0.119322016128817</v>
      </c>
      <c r="BC88" s="17">
        <v>6144.9551063114304</v>
      </c>
      <c r="BD88" s="18">
        <v>2.8576314673371499E-2</v>
      </c>
      <c r="BE88" s="17">
        <v>-2835.1118859092498</v>
      </c>
      <c r="BF88" s="18">
        <v>-8.7532028598237097E-2</v>
      </c>
      <c r="BG88" s="17"/>
      <c r="BH88" s="18"/>
    </row>
    <row r="89" spans="1:60" x14ac:dyDescent="0.2">
      <c r="A89" s="16">
        <v>1999</v>
      </c>
      <c r="B89" s="16">
        <v>2</v>
      </c>
      <c r="C89" s="17">
        <v>122111.803438542</v>
      </c>
      <c r="D89" s="18">
        <v>2.7167716798548501E-3</v>
      </c>
      <c r="E89" s="17">
        <v>118527.16402374599</v>
      </c>
      <c r="F89" s="18">
        <v>-2.5622679391519299E-3</v>
      </c>
      <c r="G89" s="17">
        <v>1241.09466441227</v>
      </c>
      <c r="H89" s="18">
        <v>2.2356272524686201E-2</v>
      </c>
      <c r="I89" s="17">
        <v>218.97912157892199</v>
      </c>
      <c r="J89" s="18">
        <v>-2.9251814639729298E-2</v>
      </c>
      <c r="K89" s="17">
        <v>19426.060778168299</v>
      </c>
      <c r="L89" s="18">
        <v>-6.6299102020307404E-3</v>
      </c>
      <c r="M89" s="17">
        <v>2135.2652871801602</v>
      </c>
      <c r="N89" s="18">
        <v>-5.6702693207334197E-2</v>
      </c>
      <c r="O89" s="17">
        <v>19721.625523241699</v>
      </c>
      <c r="P89" s="18">
        <v>6.0038641002222396E-3</v>
      </c>
      <c r="Q89" s="17">
        <v>4273.1798389468104</v>
      </c>
      <c r="R89" s="18">
        <v>4.2041878224014E-2</v>
      </c>
      <c r="S89" s="17">
        <v>411.17806132401</v>
      </c>
      <c r="T89" s="18">
        <v>2.92583583138082E-2</v>
      </c>
      <c r="U89" s="17">
        <v>7209.1634052865002</v>
      </c>
      <c r="V89" s="18">
        <v>-3.9575504004206598E-2</v>
      </c>
      <c r="W89" s="17">
        <v>15004.483514977701</v>
      </c>
      <c r="X89" s="18">
        <v>1.25560654820118E-2</v>
      </c>
      <c r="Y89" s="17">
        <v>4309.8033058002402</v>
      </c>
      <c r="Z89" s="18">
        <v>3.2784418174569602E-3</v>
      </c>
      <c r="AA89" s="17">
        <v>5521.9763166970697</v>
      </c>
      <c r="AB89" s="18">
        <v>-0.17061029960146901</v>
      </c>
      <c r="AC89" s="17">
        <v>3762.20921492657</v>
      </c>
      <c r="AD89" s="18">
        <v>-1.6010211695557199E-2</v>
      </c>
      <c r="AE89" s="17">
        <v>4409.1168936547701</v>
      </c>
      <c r="AF89" s="18">
        <v>4.7156365848511003E-2</v>
      </c>
      <c r="AG89" s="17">
        <v>9911.0870321806397</v>
      </c>
      <c r="AH89" s="18">
        <v>8.8270177257656606E-3</v>
      </c>
      <c r="AI89" s="17">
        <v>5679.2650126376702</v>
      </c>
      <c r="AJ89" s="18">
        <v>1.5530105663857E-2</v>
      </c>
      <c r="AK89" s="17">
        <v>3003.9925456178698</v>
      </c>
      <c r="AL89" s="18">
        <v>6.9207129989816698E-3</v>
      </c>
      <c r="AM89" s="17">
        <v>24826.346394303298</v>
      </c>
      <c r="AN89" s="18">
        <v>1.48949344067397E-2</v>
      </c>
      <c r="AO89" s="17">
        <v>9022.9614820350707</v>
      </c>
      <c r="AP89" s="18">
        <v>6.9350104921255297E-3</v>
      </c>
      <c r="AQ89" s="17">
        <v>6691.4747117675397</v>
      </c>
      <c r="AR89" s="18">
        <v>1.93496295047282E-2</v>
      </c>
      <c r="AS89" s="17">
        <v>6928.7928153261701</v>
      </c>
      <c r="AT89" s="18">
        <v>2.1059772720049899E-2</v>
      </c>
      <c r="AU89" s="17">
        <v>776.64865650735396</v>
      </c>
      <c r="AV89" s="18">
        <v>-0.33909543275350201</v>
      </c>
      <c r="AW89" s="17">
        <v>1957.19629758933</v>
      </c>
      <c r="AX89" s="18">
        <v>-4.2196939072937499E-2</v>
      </c>
      <c r="AY89" s="17">
        <v>437.74598513418698</v>
      </c>
      <c r="AZ89" s="18">
        <v>1.6512376007003799E-2</v>
      </c>
      <c r="BA89" s="17">
        <v>3623.1760991086298</v>
      </c>
      <c r="BB89" s="18">
        <v>0.16665052348742801</v>
      </c>
      <c r="BC89" s="17">
        <v>6270.8399801696996</v>
      </c>
      <c r="BD89" s="18">
        <v>2.4698552034247801E-2</v>
      </c>
      <c r="BE89" s="17">
        <v>-2671.76721407593</v>
      </c>
      <c r="BF89" s="18">
        <v>-0.15875131416614399</v>
      </c>
      <c r="BG89" s="17"/>
      <c r="BH89" s="18"/>
    </row>
    <row r="90" spans="1:60" x14ac:dyDescent="0.2">
      <c r="A90" s="16">
        <v>1999</v>
      </c>
      <c r="B90" s="16">
        <v>3</v>
      </c>
      <c r="C90" s="17">
        <v>122369.886500016</v>
      </c>
      <c r="D90" s="18">
        <v>1.1125634177551001E-2</v>
      </c>
      <c r="E90" s="17">
        <v>118629.01189869001</v>
      </c>
      <c r="F90" s="18">
        <v>4.8614168821248197E-3</v>
      </c>
      <c r="G90" s="17">
        <v>1256.269590849</v>
      </c>
      <c r="H90" s="18">
        <v>2.9927555069343401E-2</v>
      </c>
      <c r="I90" s="17">
        <v>217.87342209609699</v>
      </c>
      <c r="J90" s="18">
        <v>-4.0607656463893499E-2</v>
      </c>
      <c r="K90" s="17">
        <v>19203.808519435901</v>
      </c>
      <c r="L90" s="18">
        <v>2.7330997369532399E-3</v>
      </c>
      <c r="M90" s="17">
        <v>2254.8813796762602</v>
      </c>
      <c r="N90" s="18">
        <v>3.4645171264898703E-2</v>
      </c>
      <c r="O90" s="17">
        <v>19186.043703636999</v>
      </c>
      <c r="P90" s="18">
        <v>-4.9813343816990097E-3</v>
      </c>
      <c r="Q90" s="17">
        <v>4285.8907267292097</v>
      </c>
      <c r="R90" s="18">
        <v>4.3433402580657102E-2</v>
      </c>
      <c r="S90" s="17">
        <v>406.38962557101098</v>
      </c>
      <c r="T90" s="18">
        <v>-4.9566847771350701E-3</v>
      </c>
      <c r="U90" s="17">
        <v>7249.3308505478299</v>
      </c>
      <c r="V90" s="18">
        <v>-6.8808354471945193E-2</v>
      </c>
      <c r="W90" s="17">
        <v>14728.8574892458</v>
      </c>
      <c r="X90" s="18">
        <v>4.1613079487398598E-2</v>
      </c>
      <c r="Y90" s="17">
        <v>4271.5008034810498</v>
      </c>
      <c r="Z90" s="18">
        <v>1.9335860336894502E-2</v>
      </c>
      <c r="AA90" s="17">
        <v>5672.2064134708298</v>
      </c>
      <c r="AB90" s="18">
        <v>-0.13326313854307201</v>
      </c>
      <c r="AC90" s="17">
        <v>4177.1018429614596</v>
      </c>
      <c r="AD90" s="18">
        <v>-1.5561523205623E-2</v>
      </c>
      <c r="AE90" s="17">
        <v>4663.5434218443697</v>
      </c>
      <c r="AF90" s="18">
        <v>5.9555346339157197E-2</v>
      </c>
      <c r="AG90" s="17">
        <v>9732.9422849564598</v>
      </c>
      <c r="AH90" s="18">
        <v>1.93707140758539E-2</v>
      </c>
      <c r="AI90" s="17">
        <v>5473.8122179166103</v>
      </c>
      <c r="AJ90" s="18">
        <v>3.0582736162399399E-2</v>
      </c>
      <c r="AK90" s="17">
        <v>3030.3665328601201</v>
      </c>
      <c r="AL90" s="18">
        <v>1.09258115077542E-2</v>
      </c>
      <c r="AM90" s="17">
        <v>24913.196546028899</v>
      </c>
      <c r="AN90" s="18">
        <v>1.4519302854672201E-2</v>
      </c>
      <c r="AO90" s="17">
        <v>9063.8546925660903</v>
      </c>
      <c r="AP90" s="18">
        <v>7.1289004757295604E-3</v>
      </c>
      <c r="AQ90" s="17">
        <v>6669.4592217421596</v>
      </c>
      <c r="AR90" s="18">
        <v>4.5209089849296297E-3</v>
      </c>
      <c r="AS90" s="17">
        <v>6966.42170852046</v>
      </c>
      <c r="AT90" s="18">
        <v>1.70557850252522E-2</v>
      </c>
      <c r="AU90" s="17">
        <v>775.42351556269398</v>
      </c>
      <c r="AV90" s="18">
        <v>-0.229003840566983</v>
      </c>
      <c r="AW90" s="17">
        <v>1969.21815025356</v>
      </c>
      <c r="AX90" s="18">
        <v>-4.5048809846697499E-2</v>
      </c>
      <c r="AY90" s="17">
        <v>439.72503779353002</v>
      </c>
      <c r="AZ90" s="18">
        <v>1.6361239809278099E-2</v>
      </c>
      <c r="BA90" s="17">
        <v>3750.34502907359</v>
      </c>
      <c r="BB90" s="18">
        <v>0.202433342917306</v>
      </c>
      <c r="BC90" s="17">
        <v>6327.2349282823197</v>
      </c>
      <c r="BD90" s="18">
        <v>3.3442273061676797E-2</v>
      </c>
      <c r="BE90" s="17">
        <v>-2569.7809371128501</v>
      </c>
      <c r="BF90" s="18">
        <v>-0.187460708430538</v>
      </c>
      <c r="BG90" s="17"/>
      <c r="BH90" s="18"/>
    </row>
    <row r="91" spans="1:60" x14ac:dyDescent="0.2">
      <c r="A91" s="16">
        <v>1999</v>
      </c>
      <c r="B91" s="16">
        <v>4</v>
      </c>
      <c r="C91" s="17">
        <v>130178.97003021601</v>
      </c>
      <c r="D91" s="18">
        <v>4.2948463623717202E-2</v>
      </c>
      <c r="E91" s="17">
        <v>126000.555756441</v>
      </c>
      <c r="F91" s="18">
        <v>3.6579365430391003E-2</v>
      </c>
      <c r="G91" s="17">
        <v>1272.6607031188</v>
      </c>
      <c r="H91" s="18">
        <v>3.8883109560172303E-2</v>
      </c>
      <c r="I91" s="17">
        <v>200.96042975049301</v>
      </c>
      <c r="J91" s="18">
        <v>-1.6301555886222702E-2</v>
      </c>
      <c r="K91" s="17">
        <v>20818.434258611702</v>
      </c>
      <c r="L91" s="18">
        <v>5.12997088011184E-2</v>
      </c>
      <c r="M91" s="17">
        <v>2432.6346850352702</v>
      </c>
      <c r="N91" s="18">
        <v>0.155776695840837</v>
      </c>
      <c r="O91" s="17">
        <v>20824.6384713876</v>
      </c>
      <c r="P91" s="18">
        <v>2.7420284234906899E-2</v>
      </c>
      <c r="Q91" s="17">
        <v>4336.8434018655098</v>
      </c>
      <c r="R91" s="18">
        <v>5.23734654595664E-2</v>
      </c>
      <c r="S91" s="17">
        <v>407.65991339162599</v>
      </c>
      <c r="T91" s="18">
        <v>-4.7771138031744903E-2</v>
      </c>
      <c r="U91" s="17">
        <v>7036.3105841064198</v>
      </c>
      <c r="V91" s="18">
        <v>6.5174532970300198E-3</v>
      </c>
      <c r="W91" s="17">
        <v>18264.1482218653</v>
      </c>
      <c r="X91" s="18">
        <v>6.0079333911310602E-2</v>
      </c>
      <c r="Y91" s="17">
        <v>5066.5264762069201</v>
      </c>
      <c r="Z91" s="18">
        <v>9.5781021592478092E-3</v>
      </c>
      <c r="AA91" s="17">
        <v>5801.0163138035196</v>
      </c>
      <c r="AB91" s="18">
        <v>-9.3682631155288201E-2</v>
      </c>
      <c r="AC91" s="17">
        <v>3559.5422391540601</v>
      </c>
      <c r="AD91" s="18">
        <v>-2.1831182050474599E-3</v>
      </c>
      <c r="AE91" s="17">
        <v>5296.8866514952197</v>
      </c>
      <c r="AF91" s="18">
        <v>7.7749101116301803E-2</v>
      </c>
      <c r="AG91" s="17">
        <v>10647.1430585447</v>
      </c>
      <c r="AH91" s="18">
        <v>0.11848695434079699</v>
      </c>
      <c r="AI91" s="17">
        <v>6257.7954338154996</v>
      </c>
      <c r="AJ91" s="18">
        <v>0.174971834233659</v>
      </c>
      <c r="AK91" s="17">
        <v>3073.2271381440701</v>
      </c>
      <c r="AL91" s="18">
        <v>2.3913457798974799E-2</v>
      </c>
      <c r="AM91" s="17">
        <v>24754.722143866202</v>
      </c>
      <c r="AN91" s="18">
        <v>3.7166600068916401E-3</v>
      </c>
      <c r="AO91" s="17">
        <v>9126.6173855663492</v>
      </c>
      <c r="AP91" s="18">
        <v>1.6263237820251599E-2</v>
      </c>
      <c r="AQ91" s="17">
        <v>6626.7427400015904</v>
      </c>
      <c r="AR91" s="18">
        <v>3.7373322456164498E-3</v>
      </c>
      <c r="AS91" s="17">
        <v>6996.9111833177703</v>
      </c>
      <c r="AT91" s="18">
        <v>1.7793610986097701E-2</v>
      </c>
      <c r="AU91" s="17">
        <v>752.31786050816095</v>
      </c>
      <c r="AV91" s="18">
        <v>-7.5334966101300194E-2</v>
      </c>
      <c r="AW91" s="17">
        <v>1955.5466941452801</v>
      </c>
      <c r="AX91" s="18">
        <v>-2.7442552636356001E-2</v>
      </c>
      <c r="AY91" s="17">
        <v>440.18171390258999</v>
      </c>
      <c r="AZ91" s="18">
        <v>1.42666422201827E-2</v>
      </c>
      <c r="BA91" s="17">
        <v>4149.5073861852798</v>
      </c>
      <c r="BB91" s="18">
        <v>0.22264337024234401</v>
      </c>
      <c r="BC91" s="17">
        <v>6714.1217333558498</v>
      </c>
      <c r="BD91" s="18">
        <v>6.2411057643188397E-2</v>
      </c>
      <c r="BE91" s="17">
        <v>-2500.63468579457</v>
      </c>
      <c r="BF91" s="18">
        <v>-0.179779094998231</v>
      </c>
      <c r="BG91" s="17"/>
      <c r="BH91" s="18"/>
    </row>
    <row r="92" spans="1:60" x14ac:dyDescent="0.2">
      <c r="A92" s="16">
        <v>2000</v>
      </c>
      <c r="B92" s="16">
        <v>1</v>
      </c>
      <c r="C92" s="17">
        <v>125448.056683228</v>
      </c>
      <c r="D92" s="18">
        <v>4.52275941826921E-2</v>
      </c>
      <c r="E92" s="17">
        <v>121375.461069536</v>
      </c>
      <c r="F92" s="18">
        <v>3.9952842293077502E-2</v>
      </c>
      <c r="G92" s="17">
        <v>1282.4133291094699</v>
      </c>
      <c r="H92" s="18">
        <v>4.2811253148724103E-2</v>
      </c>
      <c r="I92" s="17">
        <v>181.78511912240899</v>
      </c>
      <c r="J92" s="18">
        <v>1.95977883742504E-3</v>
      </c>
      <c r="K92" s="17">
        <v>19539.5451127177</v>
      </c>
      <c r="L92" s="18">
        <v>2.6488235920580899E-2</v>
      </c>
      <c r="M92" s="17">
        <v>2454.1905741745099</v>
      </c>
      <c r="N92" s="18">
        <v>0.15724936737780101</v>
      </c>
      <c r="O92" s="17">
        <v>19186.440913040598</v>
      </c>
      <c r="P92" s="18">
        <v>-4.0188115004823298E-3</v>
      </c>
      <c r="Q92" s="17">
        <v>4143.9116683042203</v>
      </c>
      <c r="R92" s="18">
        <v>3.2557046008252301E-2</v>
      </c>
      <c r="S92" s="17">
        <v>397.08667197940002</v>
      </c>
      <c r="T92" s="18">
        <v>-4.8582905049820803E-2</v>
      </c>
      <c r="U92" s="17">
        <v>6564.11514648104</v>
      </c>
      <c r="V92" s="18">
        <v>2.1922768832212101E-3</v>
      </c>
      <c r="W92" s="17">
        <v>15081.072202729099</v>
      </c>
      <c r="X92" s="18">
        <v>5.3305300773609302E-2</v>
      </c>
      <c r="Y92" s="17">
        <v>4265.5858447477403</v>
      </c>
      <c r="Z92" s="18">
        <v>1.8725224728084699E-2</v>
      </c>
      <c r="AA92" s="17">
        <v>5945.1397486856004</v>
      </c>
      <c r="AB92" s="18">
        <v>3.00988700121145E-2</v>
      </c>
      <c r="AC92" s="17">
        <v>3899.1860691281199</v>
      </c>
      <c r="AD92" s="18">
        <v>1.27582615834096E-2</v>
      </c>
      <c r="AE92" s="17">
        <v>5193.2319414472804</v>
      </c>
      <c r="AF92" s="18">
        <v>0.129148954511557</v>
      </c>
      <c r="AG92" s="17">
        <v>11214.1725041916</v>
      </c>
      <c r="AH92" s="18">
        <v>0.14152108023677001</v>
      </c>
      <c r="AI92" s="17">
        <v>6683.6361460512499</v>
      </c>
      <c r="AJ92" s="18">
        <v>0.19106857716466499</v>
      </c>
      <c r="AK92" s="17">
        <v>3132.9334820048398</v>
      </c>
      <c r="AL92" s="18">
        <v>4.6340200440016202E-2</v>
      </c>
      <c r="AM92" s="17">
        <v>24645.258908425199</v>
      </c>
      <c r="AN92" s="18">
        <v>-6.4447359955853703E-3</v>
      </c>
      <c r="AO92" s="17">
        <v>9156.6468992541904</v>
      </c>
      <c r="AP92" s="18">
        <v>1.8518884609969099E-2</v>
      </c>
      <c r="AQ92" s="17">
        <v>6592.7535393735398</v>
      </c>
      <c r="AR92" s="18">
        <v>-9.5864980484545708E-3</v>
      </c>
      <c r="AS92" s="17">
        <v>7056.91359081875</v>
      </c>
      <c r="AT92" s="18">
        <v>3.0533163914331599E-2</v>
      </c>
      <c r="AU92" s="17">
        <v>855.57601001903095</v>
      </c>
      <c r="AV92" s="18">
        <v>0.11516505078363901</v>
      </c>
      <c r="AW92" s="17">
        <v>1957.6679057511401</v>
      </c>
      <c r="AX92" s="18">
        <v>-1.79050499576938E-3</v>
      </c>
      <c r="AY92" s="17">
        <v>440.08671558028402</v>
      </c>
      <c r="AZ92" s="18">
        <v>1.11689000518491E-2</v>
      </c>
      <c r="BA92" s="17">
        <v>4019.1538868436901</v>
      </c>
      <c r="BB92" s="18">
        <v>0.18643829567127401</v>
      </c>
      <c r="BC92" s="17">
        <v>6569.6861386313903</v>
      </c>
      <c r="BD92" s="18">
        <v>6.9118655054732206E-2</v>
      </c>
      <c r="BE92" s="17">
        <v>-2485.3699751132399</v>
      </c>
      <c r="BF92" s="18">
        <v>-0.12336088481525199</v>
      </c>
      <c r="BG92" s="17"/>
      <c r="BH92" s="18"/>
    </row>
    <row r="93" spans="1:60" x14ac:dyDescent="0.2">
      <c r="A93" s="16">
        <v>2000</v>
      </c>
      <c r="B93" s="16">
        <v>2</v>
      </c>
      <c r="C93" s="17">
        <v>126726.54021563999</v>
      </c>
      <c r="D93" s="18">
        <v>3.7791078725826398E-2</v>
      </c>
      <c r="E93" s="17">
        <v>122575.163309076</v>
      </c>
      <c r="F93" s="18">
        <v>3.4152502666133101E-2</v>
      </c>
      <c r="G93" s="17">
        <v>1289.5284442362899</v>
      </c>
      <c r="H93" s="18">
        <v>3.9025048783813701E-2</v>
      </c>
      <c r="I93" s="17">
        <v>206.24160713491199</v>
      </c>
      <c r="J93" s="18">
        <v>-5.8167711844709501E-2</v>
      </c>
      <c r="K93" s="17">
        <v>19680.466253264902</v>
      </c>
      <c r="L93" s="18">
        <v>1.30960917914189E-2</v>
      </c>
      <c r="M93" s="17">
        <v>2413.57492382389</v>
      </c>
      <c r="N93" s="18">
        <v>0.13033960619069501</v>
      </c>
      <c r="O93" s="17">
        <v>19447.9871796072</v>
      </c>
      <c r="P93" s="18">
        <v>-1.38750400321733E-2</v>
      </c>
      <c r="Q93" s="17">
        <v>4346.7572759956001</v>
      </c>
      <c r="R93" s="18">
        <v>1.7218427452594599E-2</v>
      </c>
      <c r="S93" s="17">
        <v>393.470791380528</v>
      </c>
      <c r="T93" s="18">
        <v>-4.3064724529476101E-2</v>
      </c>
      <c r="U93" s="17">
        <v>7078.1713155469297</v>
      </c>
      <c r="V93" s="18">
        <v>-1.81702206449533E-2</v>
      </c>
      <c r="W93" s="17">
        <v>15772.9359841072</v>
      </c>
      <c r="X93" s="18">
        <v>5.1214856436905903E-2</v>
      </c>
      <c r="Y93" s="17">
        <v>4425.2236609076199</v>
      </c>
      <c r="Z93" s="18">
        <v>2.6780886949538299E-2</v>
      </c>
      <c r="AA93" s="17">
        <v>5817.24689053367</v>
      </c>
      <c r="AB93" s="18">
        <v>5.3471901526228403E-2</v>
      </c>
      <c r="AC93" s="17">
        <v>3898.4618086383798</v>
      </c>
      <c r="AD93" s="18">
        <v>3.6216112908136401E-2</v>
      </c>
      <c r="AE93" s="17">
        <v>5132.6166129379999</v>
      </c>
      <c r="AF93" s="18">
        <v>0.164091752778075</v>
      </c>
      <c r="AG93" s="17">
        <v>10871.680690519701</v>
      </c>
      <c r="AH93" s="18">
        <v>9.6921120278742098E-2</v>
      </c>
      <c r="AI93" s="17">
        <v>6238.0855144728703</v>
      </c>
      <c r="AJ93" s="18">
        <v>9.8396623610924799E-2</v>
      </c>
      <c r="AK93" s="17">
        <v>3184.5309915036501</v>
      </c>
      <c r="AL93" s="18">
        <v>6.0099498631960097E-2</v>
      </c>
      <c r="AM93" s="17">
        <v>24628.3107381064</v>
      </c>
      <c r="AN93" s="18">
        <v>-7.9768344907296101E-3</v>
      </c>
      <c r="AO93" s="17">
        <v>9200.5289638794002</v>
      </c>
      <c r="AP93" s="18">
        <v>1.9679512341693101E-2</v>
      </c>
      <c r="AQ93" s="17">
        <v>6558.9846242063304</v>
      </c>
      <c r="AR93" s="18">
        <v>-1.9799833858478701E-2</v>
      </c>
      <c r="AS93" s="17">
        <v>7174.5025046504597</v>
      </c>
      <c r="AT93" s="18">
        <v>3.5462121017790803E-2</v>
      </c>
      <c r="AU93" s="17">
        <v>1088.4326029174599</v>
      </c>
      <c r="AV93" s="18">
        <v>0.40144786680275701</v>
      </c>
      <c r="AW93" s="17">
        <v>1964.3599295942099</v>
      </c>
      <c r="AX93" s="18">
        <v>3.6601499878687899E-3</v>
      </c>
      <c r="AY93" s="17">
        <v>441.1729806678</v>
      </c>
      <c r="AZ93" s="18">
        <v>7.8287309307072395E-3</v>
      </c>
      <c r="BA93" s="17">
        <v>4088.1316391608202</v>
      </c>
      <c r="BB93" s="18">
        <v>0.12832816493975599</v>
      </c>
      <c r="BC93" s="17">
        <v>6649.42153073802</v>
      </c>
      <c r="BD93" s="18">
        <v>6.0371744736832197E-2</v>
      </c>
      <c r="BE93" s="17">
        <v>-2486.7126508254401</v>
      </c>
      <c r="BF93" s="18">
        <v>-6.9262981548523603E-2</v>
      </c>
      <c r="BG93" s="17"/>
      <c r="BH93" s="18"/>
    </row>
    <row r="94" spans="1:60" x14ac:dyDescent="0.2">
      <c r="A94" s="16">
        <v>2000</v>
      </c>
      <c r="B94" s="16">
        <v>3</v>
      </c>
      <c r="C94" s="17">
        <v>127041.247505056</v>
      </c>
      <c r="D94" s="18">
        <v>3.8174105890336402E-2</v>
      </c>
      <c r="E94" s="17">
        <v>122911.31096596899</v>
      </c>
      <c r="F94" s="18">
        <v>3.6098244423848902E-2</v>
      </c>
      <c r="G94" s="17">
        <v>1284.3246550553399</v>
      </c>
      <c r="H94" s="18">
        <v>2.2332041156376499E-2</v>
      </c>
      <c r="I94" s="17">
        <v>204.98154496946501</v>
      </c>
      <c r="J94" s="18">
        <v>-5.9171407887217198E-2</v>
      </c>
      <c r="K94" s="17">
        <v>19534.598106474899</v>
      </c>
      <c r="L94" s="18">
        <v>1.7225207526113701E-2</v>
      </c>
      <c r="M94" s="17">
        <v>2400.6608413755098</v>
      </c>
      <c r="N94" s="18">
        <v>6.4650612228737595E-2</v>
      </c>
      <c r="O94" s="17">
        <v>19293.334317981498</v>
      </c>
      <c r="P94" s="18">
        <v>5.5921176873066098E-3</v>
      </c>
      <c r="Q94" s="17">
        <v>4058.9370369232802</v>
      </c>
      <c r="R94" s="18">
        <v>-5.2953680874436797E-2</v>
      </c>
      <c r="S94" s="17">
        <v>398.25996897437801</v>
      </c>
      <c r="T94" s="18">
        <v>-2.00045869409439E-2</v>
      </c>
      <c r="U94" s="17">
        <v>7190.0240733303799</v>
      </c>
      <c r="V94" s="18">
        <v>-8.1810002109322707E-3</v>
      </c>
      <c r="W94" s="17">
        <v>15365.8576300597</v>
      </c>
      <c r="X94" s="18">
        <v>4.3248442133341697E-2</v>
      </c>
      <c r="Y94" s="17">
        <v>4369.7396349996498</v>
      </c>
      <c r="Z94" s="18">
        <v>2.2998668626853999E-2</v>
      </c>
      <c r="AA94" s="17">
        <v>6013.6263787235503</v>
      </c>
      <c r="AB94" s="18">
        <v>6.01917385167587E-2</v>
      </c>
      <c r="AC94" s="17">
        <v>4262.6592506594798</v>
      </c>
      <c r="AD94" s="18">
        <v>2.0482480656340001E-2</v>
      </c>
      <c r="AE94" s="17">
        <v>5337.2195994666699</v>
      </c>
      <c r="AF94" s="18">
        <v>0.144455860422945</v>
      </c>
      <c r="AG94" s="17">
        <v>10876.9950362249</v>
      </c>
      <c r="AH94" s="18">
        <v>0.11754438871344799</v>
      </c>
      <c r="AI94" s="17">
        <v>6158.9330454712699</v>
      </c>
      <c r="AJ94" s="18">
        <v>0.12516337796758101</v>
      </c>
      <c r="AK94" s="17">
        <v>3228.61005816954</v>
      </c>
      <c r="AL94" s="18">
        <v>6.5418992441918594E-2</v>
      </c>
      <c r="AM94" s="17">
        <v>24711.979956865202</v>
      </c>
      <c r="AN94" s="18">
        <v>-8.0767070091526394E-3</v>
      </c>
      <c r="AO94" s="17">
        <v>9254.7388837343606</v>
      </c>
      <c r="AP94" s="18">
        <v>2.10599350544345E-2</v>
      </c>
      <c r="AQ94" s="17">
        <v>6544.3105307402202</v>
      </c>
      <c r="AR94" s="18">
        <v>-1.87644435389848E-2</v>
      </c>
      <c r="AS94" s="17">
        <v>7318.1060763136002</v>
      </c>
      <c r="AT94" s="18">
        <v>5.04827847793086E-2</v>
      </c>
      <c r="AU94" s="17">
        <v>1288.1872562803101</v>
      </c>
      <c r="AV94" s="18">
        <v>0.66126926824694898</v>
      </c>
      <c r="AW94" s="17">
        <v>1974.53737969179</v>
      </c>
      <c r="AX94" s="18">
        <v>2.7011885085168599E-3</v>
      </c>
      <c r="AY94" s="17">
        <v>442.71009770641399</v>
      </c>
      <c r="AZ94" s="18">
        <v>6.7884692849495797E-3</v>
      </c>
      <c r="BA94" s="17">
        <v>4074.4204291791302</v>
      </c>
      <c r="BB94" s="18">
        <v>8.6412156106497898E-2</v>
      </c>
      <c r="BC94" s="17">
        <v>6661.0516337074196</v>
      </c>
      <c r="BD94" s="18">
        <v>5.27587025310172E-2</v>
      </c>
      <c r="BE94" s="17">
        <v>-2520.8310068303899</v>
      </c>
      <c r="BF94" s="18">
        <v>-1.90482891267203E-2</v>
      </c>
      <c r="BG94" s="17"/>
      <c r="BH94" s="18"/>
    </row>
    <row r="95" spans="1:60" x14ac:dyDescent="0.2">
      <c r="A95" s="16">
        <v>2000</v>
      </c>
      <c r="B95" s="16">
        <v>4</v>
      </c>
      <c r="C95" s="17">
        <v>133437.47889750401</v>
      </c>
      <c r="D95" s="18">
        <v>2.5030992844174999E-2</v>
      </c>
      <c r="E95" s="17">
        <v>129094.670144608</v>
      </c>
      <c r="F95" s="18">
        <v>2.4556355085821401E-2</v>
      </c>
      <c r="G95" s="17">
        <v>1258.17013751728</v>
      </c>
      <c r="H95" s="18">
        <v>-1.13860399445108E-2</v>
      </c>
      <c r="I95" s="17">
        <v>199.990519862057</v>
      </c>
      <c r="J95" s="18">
        <v>-4.8263724835784201E-3</v>
      </c>
      <c r="K95" s="17">
        <v>21345.068778855901</v>
      </c>
      <c r="L95" s="18">
        <v>2.5296547939303901E-2</v>
      </c>
      <c r="M95" s="17">
        <v>2441.01554364606</v>
      </c>
      <c r="N95" s="18">
        <v>3.44517763490959E-3</v>
      </c>
      <c r="O95" s="17">
        <v>21466.151576141401</v>
      </c>
      <c r="P95" s="18">
        <v>3.0805485801597601E-2</v>
      </c>
      <c r="Q95" s="17">
        <v>4312.2606889843901</v>
      </c>
      <c r="R95" s="18">
        <v>-5.6683422948918798E-3</v>
      </c>
      <c r="S95" s="17">
        <v>398.59747724078801</v>
      </c>
      <c r="T95" s="18">
        <v>-2.22303833492992E-2</v>
      </c>
      <c r="U95" s="17">
        <v>6958.5339288772402</v>
      </c>
      <c r="V95" s="18">
        <v>-1.1053613154152301E-2</v>
      </c>
      <c r="W95" s="17">
        <v>18479.298756279299</v>
      </c>
      <c r="X95" s="18">
        <v>1.17799380403834E-2</v>
      </c>
      <c r="Y95" s="17">
        <v>5106.5098239434001</v>
      </c>
      <c r="Z95" s="18">
        <v>7.8916685670635794E-3</v>
      </c>
      <c r="AA95" s="17">
        <v>6125.1821547892096</v>
      </c>
      <c r="AB95" s="18">
        <v>5.5880870428572503E-2</v>
      </c>
      <c r="AC95" s="17">
        <v>3586.40598955221</v>
      </c>
      <c r="AD95" s="18">
        <v>7.5469677259767396E-3</v>
      </c>
      <c r="AE95" s="17">
        <v>5902.0295006034003</v>
      </c>
      <c r="AF95" s="18">
        <v>0.11424500634488</v>
      </c>
      <c r="AG95" s="17">
        <v>11091.669836225799</v>
      </c>
      <c r="AH95" s="18">
        <v>4.1750803500693497E-2</v>
      </c>
      <c r="AI95" s="17">
        <v>6319.4572952796998</v>
      </c>
      <c r="AJ95" s="18">
        <v>9.8536077307673792E-3</v>
      </c>
      <c r="AK95" s="17">
        <v>3265.5620559271802</v>
      </c>
      <c r="AL95" s="18">
        <v>6.2584022962670405E-2</v>
      </c>
      <c r="AM95" s="17">
        <v>24949.134402351301</v>
      </c>
      <c r="AN95" s="18">
        <v>7.8535423405370307E-3</v>
      </c>
      <c r="AO95" s="17">
        <v>9326.6459891126597</v>
      </c>
      <c r="AP95" s="18">
        <v>2.1917058105520401E-2</v>
      </c>
      <c r="AQ95" s="17">
        <v>6499.1612934099303</v>
      </c>
      <c r="AR95" s="18">
        <v>-1.9252512372562199E-2</v>
      </c>
      <c r="AS95" s="17">
        <v>7418.4059951892896</v>
      </c>
      <c r="AT95" s="18">
        <v>6.0240126082558201E-2</v>
      </c>
      <c r="AU95" s="17">
        <v>968.30293322554405</v>
      </c>
      <c r="AV95" s="18">
        <v>0.28709284207541502</v>
      </c>
      <c r="AW95" s="17">
        <v>1960.27484077435</v>
      </c>
      <c r="AX95" s="18">
        <v>2.4178132095902202E-3</v>
      </c>
      <c r="AY95" s="17">
        <v>444.82972402630099</v>
      </c>
      <c r="AZ95" s="18">
        <v>1.0559298528108E-2</v>
      </c>
      <c r="BA95" s="17">
        <v>4283.2706251358404</v>
      </c>
      <c r="BB95" s="18">
        <v>3.2235932244847297E-2</v>
      </c>
      <c r="BC95" s="17">
        <v>6918.8345390183504</v>
      </c>
      <c r="BD95" s="18">
        <v>3.04898859139664E-2</v>
      </c>
      <c r="BE95" s="17">
        <v>-2545.36860206853</v>
      </c>
      <c r="BF95" s="18">
        <v>1.7889024945578098E-2</v>
      </c>
      <c r="BG95" s="17"/>
      <c r="BH95" s="18"/>
    </row>
    <row r="96" spans="1:60" x14ac:dyDescent="0.2">
      <c r="A96" s="16">
        <v>2001</v>
      </c>
      <c r="B96" s="16">
        <v>1</v>
      </c>
      <c r="C96" s="17">
        <v>128206.788999066</v>
      </c>
      <c r="D96" s="18">
        <v>2.1991032693345701E-2</v>
      </c>
      <c r="E96" s="17">
        <v>124193.90419087</v>
      </c>
      <c r="F96" s="18">
        <v>2.32208643864102E-2</v>
      </c>
      <c r="G96" s="17">
        <v>1200.5142145433199</v>
      </c>
      <c r="H96" s="18">
        <v>-6.3863274583266197E-2</v>
      </c>
      <c r="I96" s="17">
        <v>178.73060424553799</v>
      </c>
      <c r="J96" s="18">
        <v>-1.68028873409285E-2</v>
      </c>
      <c r="K96" s="17">
        <v>20793.239390435399</v>
      </c>
      <c r="L96" s="18">
        <v>6.4161896834625101E-2</v>
      </c>
      <c r="M96" s="17">
        <v>2735.6075269159601</v>
      </c>
      <c r="N96" s="18">
        <v>0.114667929908462</v>
      </c>
      <c r="O96" s="17">
        <v>20177.074887330102</v>
      </c>
      <c r="P96" s="18">
        <v>5.1631982126306902E-2</v>
      </c>
      <c r="Q96" s="17">
        <v>4297.2713842226503</v>
      </c>
      <c r="R96" s="18">
        <v>3.7008442311027297E-2</v>
      </c>
      <c r="S96" s="17">
        <v>396.66355364695198</v>
      </c>
      <c r="T96" s="18">
        <v>-1.06555662102292E-3</v>
      </c>
      <c r="U96" s="17">
        <v>6424.4938498817901</v>
      </c>
      <c r="V96" s="18">
        <v>-2.1270391131711801E-2</v>
      </c>
      <c r="W96" s="17">
        <v>15654.755409670001</v>
      </c>
      <c r="X96" s="18">
        <v>3.8039948302690099E-2</v>
      </c>
      <c r="Y96" s="17">
        <v>4519.2098854777596</v>
      </c>
      <c r="Z96" s="18">
        <v>5.9458196355915101E-2</v>
      </c>
      <c r="AA96" s="17">
        <v>5937.5773330319298</v>
      </c>
      <c r="AB96" s="18">
        <v>-1.2720332865761E-3</v>
      </c>
      <c r="AC96" s="17">
        <v>4097.1174120255901</v>
      </c>
      <c r="AD96" s="18">
        <v>5.0762220470725601E-2</v>
      </c>
      <c r="AE96" s="17">
        <v>5697.69348417118</v>
      </c>
      <c r="AF96" s="18">
        <v>9.7138265421534906E-2</v>
      </c>
      <c r="AG96" s="17">
        <v>10385.5425455687</v>
      </c>
      <c r="AH96" s="18">
        <v>-7.3891315503941193E-2</v>
      </c>
      <c r="AI96" s="17">
        <v>5646.9119924608303</v>
      </c>
      <c r="AJ96" s="18">
        <v>-0.155113792991699</v>
      </c>
      <c r="AK96" s="17">
        <v>3295.5897009948199</v>
      </c>
      <c r="AL96" s="18">
        <v>5.1918184642046901E-2</v>
      </c>
      <c r="AM96" s="17">
        <v>25405.527611888199</v>
      </c>
      <c r="AN96" s="18">
        <v>3.0848477035194201E-2</v>
      </c>
      <c r="AO96" s="17">
        <v>9451.7568793168994</v>
      </c>
      <c r="AP96" s="18">
        <v>3.2229044464601203E-2</v>
      </c>
      <c r="AQ96" s="17">
        <v>6493.1059685768596</v>
      </c>
      <c r="AR96" s="18">
        <v>-1.51147119639097E-2</v>
      </c>
      <c r="AS96" s="17">
        <v>7637.2811852388704</v>
      </c>
      <c r="AT96" s="18">
        <v>8.2240994869938494E-2</v>
      </c>
      <c r="AU96" s="17">
        <v>802.00579217625295</v>
      </c>
      <c r="AV96" s="18">
        <v>-6.2613043394690801E-2</v>
      </c>
      <c r="AW96" s="17">
        <v>1972.53170534633</v>
      </c>
      <c r="AX96" s="18">
        <v>7.5926052378565397E-3</v>
      </c>
      <c r="AY96" s="17">
        <v>447.611461741911</v>
      </c>
      <c r="AZ96" s="18">
        <v>1.7098326068998301E-2</v>
      </c>
      <c r="BA96" s="17">
        <v>3998.9079097066901</v>
      </c>
      <c r="BB96" s="18">
        <v>-5.0373729663044696E-3</v>
      </c>
      <c r="BC96" s="17">
        <v>6647.88171742957</v>
      </c>
      <c r="BD96" s="18">
        <v>1.19024831853645E-2</v>
      </c>
      <c r="BE96" s="17">
        <v>-2613.2450517142402</v>
      </c>
      <c r="BF96" s="18">
        <v>5.145112312511E-2</v>
      </c>
      <c r="BG96" s="17"/>
      <c r="BH96" s="18"/>
    </row>
    <row r="97" spans="1:60" x14ac:dyDescent="0.2">
      <c r="A97" s="16">
        <v>2001</v>
      </c>
      <c r="B97" s="16">
        <v>2</v>
      </c>
      <c r="C97" s="17">
        <v>129872.08160387901</v>
      </c>
      <c r="D97" s="18">
        <v>2.4821488718040199E-2</v>
      </c>
      <c r="E97" s="17">
        <v>125888.090814353</v>
      </c>
      <c r="F97" s="18">
        <v>2.7027722548682801E-2</v>
      </c>
      <c r="G97" s="17">
        <v>1173.3375141049</v>
      </c>
      <c r="H97" s="18">
        <v>-9.0103425520177596E-2</v>
      </c>
      <c r="I97" s="17">
        <v>208.490203219194</v>
      </c>
      <c r="J97" s="18">
        <v>1.0902727706204599E-2</v>
      </c>
      <c r="K97" s="17">
        <v>21414.852935742099</v>
      </c>
      <c r="L97" s="18">
        <v>8.8127316708741493E-2</v>
      </c>
      <c r="M97" s="17">
        <v>2860.2171898669098</v>
      </c>
      <c r="N97" s="18">
        <v>0.18505423703002299</v>
      </c>
      <c r="O97" s="17">
        <v>20694.067934102699</v>
      </c>
      <c r="P97" s="18">
        <v>6.4072479223047193E-2</v>
      </c>
      <c r="Q97" s="17">
        <v>4474.2269669184398</v>
      </c>
      <c r="R97" s="18">
        <v>2.9325237833448099E-2</v>
      </c>
      <c r="S97" s="17">
        <v>401.40357010988401</v>
      </c>
      <c r="T97" s="18">
        <v>2.01610358459485E-2</v>
      </c>
      <c r="U97" s="17">
        <v>7042.8470897918996</v>
      </c>
      <c r="V97" s="18">
        <v>-4.9905864354306004E-3</v>
      </c>
      <c r="W97" s="17">
        <v>16392.737296299401</v>
      </c>
      <c r="X97" s="18">
        <v>3.9295240455975197E-2</v>
      </c>
      <c r="Y97" s="17">
        <v>4663.6098761519497</v>
      </c>
      <c r="Z97" s="18">
        <v>5.3869868171914997E-2</v>
      </c>
      <c r="AA97" s="17">
        <v>5774.3897800229997</v>
      </c>
      <c r="AB97" s="18">
        <v>-7.3672497174577202E-3</v>
      </c>
      <c r="AC97" s="17">
        <v>3897.22828280251</v>
      </c>
      <c r="AD97" s="18">
        <v>-3.1641347188338098E-4</v>
      </c>
      <c r="AE97" s="17">
        <v>5413.1945168080301</v>
      </c>
      <c r="AF97" s="18">
        <v>5.4665665688485E-2</v>
      </c>
      <c r="AG97" s="17">
        <v>10237.916983798799</v>
      </c>
      <c r="AH97" s="18">
        <v>-5.8294915456227302E-2</v>
      </c>
      <c r="AI97" s="17">
        <v>5513.7024737654601</v>
      </c>
      <c r="AJ97" s="18">
        <v>-0.116122653180496</v>
      </c>
      <c r="AK97" s="17">
        <v>3301.2458839185401</v>
      </c>
      <c r="AL97" s="18">
        <v>3.6650575147892099E-2</v>
      </c>
      <c r="AM97" s="17">
        <v>25841.676863246201</v>
      </c>
      <c r="AN97" s="18">
        <v>4.9267127495774998E-2</v>
      </c>
      <c r="AO97" s="17">
        <v>9362.7864211251399</v>
      </c>
      <c r="AP97" s="18">
        <v>1.7635666153842999E-2</v>
      </c>
      <c r="AQ97" s="17">
        <v>6564.5748167699303</v>
      </c>
      <c r="AR97" s="18">
        <v>8.5229542130105295E-4</v>
      </c>
      <c r="AS97" s="17">
        <v>7584.8214493032501</v>
      </c>
      <c r="AT97" s="18">
        <v>5.7191274849624801E-2</v>
      </c>
      <c r="AU97" s="17">
        <v>764.01254749990801</v>
      </c>
      <c r="AV97" s="18">
        <v>-0.29806168480066503</v>
      </c>
      <c r="AW97" s="17">
        <v>2003.62095848641</v>
      </c>
      <c r="AX97" s="18">
        <v>1.99866777471416E-2</v>
      </c>
      <c r="AY97" s="17">
        <v>449.91165691132898</v>
      </c>
      <c r="AZ97" s="18">
        <v>1.9807822841510399E-2</v>
      </c>
      <c r="BA97" s="17">
        <v>3991.73023483415</v>
      </c>
      <c r="BB97" s="18">
        <v>-2.35807974976204E-2</v>
      </c>
      <c r="BC97" s="17">
        <v>6681.3939681755</v>
      </c>
      <c r="BD97" s="18">
        <v>4.8083035929784596E-3</v>
      </c>
      <c r="BE97" s="17">
        <v>-2665.7911275158299</v>
      </c>
      <c r="BF97" s="18">
        <v>7.2014141493567302E-2</v>
      </c>
      <c r="BG97" s="17"/>
      <c r="BH97" s="18"/>
    </row>
    <row r="98" spans="1:60" x14ac:dyDescent="0.2">
      <c r="A98" s="16">
        <v>2001</v>
      </c>
      <c r="B98" s="16">
        <v>3</v>
      </c>
      <c r="C98" s="17">
        <v>129115.673184136</v>
      </c>
      <c r="D98" s="18">
        <v>1.6328757154225899E-2</v>
      </c>
      <c r="E98" s="17">
        <v>125252.055770077</v>
      </c>
      <c r="F98" s="18">
        <v>1.90441773479804E-2</v>
      </c>
      <c r="G98" s="17">
        <v>1163.95090337946</v>
      </c>
      <c r="H98" s="18">
        <v>-9.3725329652492001E-2</v>
      </c>
      <c r="I98" s="17">
        <v>208.498962898294</v>
      </c>
      <c r="J98" s="18">
        <v>1.71596810305699E-2</v>
      </c>
      <c r="K98" s="17">
        <v>20810.185061319102</v>
      </c>
      <c r="L98" s="18">
        <v>6.5298858358463302E-2</v>
      </c>
      <c r="M98" s="17">
        <v>2797.2138797022699</v>
      </c>
      <c r="N98" s="18">
        <v>0.16518494886580601</v>
      </c>
      <c r="O98" s="17">
        <v>20074.011960954402</v>
      </c>
      <c r="P98" s="18">
        <v>4.0463593804273397E-2</v>
      </c>
      <c r="Q98" s="17">
        <v>4383.2237377105903</v>
      </c>
      <c r="R98" s="18">
        <v>7.9894489083554704E-2</v>
      </c>
      <c r="S98" s="17">
        <v>403.45375991818202</v>
      </c>
      <c r="T98" s="18">
        <v>1.3041207624203899E-2</v>
      </c>
      <c r="U98" s="17">
        <v>7215.9190472641103</v>
      </c>
      <c r="V98" s="18">
        <v>3.6015142188152698E-3</v>
      </c>
      <c r="W98" s="17">
        <v>15839.4777248091</v>
      </c>
      <c r="X98" s="18">
        <v>3.08228870885086E-2</v>
      </c>
      <c r="Y98" s="17">
        <v>4609.2903429851303</v>
      </c>
      <c r="Z98" s="18">
        <v>5.4820361851031903E-2</v>
      </c>
      <c r="AA98" s="17">
        <v>5977.8830795192198</v>
      </c>
      <c r="AB98" s="18">
        <v>-5.9437179753626399E-3</v>
      </c>
      <c r="AC98" s="17">
        <v>4316.6651842848996</v>
      </c>
      <c r="AD98" s="18">
        <v>1.26695404088559E-2</v>
      </c>
      <c r="AE98" s="17">
        <v>5583.3470844511003</v>
      </c>
      <c r="AF98" s="18">
        <v>4.6115300372692201E-2</v>
      </c>
      <c r="AG98" s="17">
        <v>10062.4528851541</v>
      </c>
      <c r="AH98" s="18">
        <v>-7.4886689601128903E-2</v>
      </c>
      <c r="AI98" s="17">
        <v>5409.5379820562002</v>
      </c>
      <c r="AJ98" s="18">
        <v>-0.121676117905862</v>
      </c>
      <c r="AK98" s="17">
        <v>3281.9049022886502</v>
      </c>
      <c r="AL98" s="18">
        <v>1.6507055097674E-2</v>
      </c>
      <c r="AM98" s="17">
        <v>25775.222693510401</v>
      </c>
      <c r="AN98" s="18">
        <v>4.3025396528370501E-2</v>
      </c>
      <c r="AO98" s="17">
        <v>9421.0346193973292</v>
      </c>
      <c r="AP98" s="18">
        <v>1.7968711786697601E-2</v>
      </c>
      <c r="AQ98" s="17">
        <v>6619.4672682471901</v>
      </c>
      <c r="AR98" s="18">
        <v>1.14842865652445E-2</v>
      </c>
      <c r="AS98" s="17">
        <v>7705.3470986877501</v>
      </c>
      <c r="AT98" s="18">
        <v>5.29154699776129E-2</v>
      </c>
      <c r="AU98" s="17">
        <v>782.59679620041197</v>
      </c>
      <c r="AV98" s="18">
        <v>-0.39248211594625698</v>
      </c>
      <c r="AW98" s="17">
        <v>2024.4164402462</v>
      </c>
      <c r="AX98" s="18">
        <v>2.5261137655542699E-2</v>
      </c>
      <c r="AY98" s="17">
        <v>451.63035273879501</v>
      </c>
      <c r="AZ98" s="18">
        <v>2.01492016527181E-2</v>
      </c>
      <c r="BA98" s="17">
        <v>3897.5752472126901</v>
      </c>
      <c r="BB98" s="18">
        <v>-4.3403763808946699E-2</v>
      </c>
      <c r="BC98" s="17">
        <v>6624.6380098406798</v>
      </c>
      <c r="BD98" s="18">
        <v>-5.4666478912249704E-3</v>
      </c>
      <c r="BE98" s="17">
        <v>-2729.9197342085999</v>
      </c>
      <c r="BF98" s="18">
        <v>8.2944365096934397E-2</v>
      </c>
      <c r="BG98" s="17"/>
      <c r="BH98" s="18"/>
    </row>
    <row r="99" spans="1:60" x14ac:dyDescent="0.2">
      <c r="A99" s="16">
        <v>2001</v>
      </c>
      <c r="B99" s="16">
        <v>4</v>
      </c>
      <c r="C99" s="17">
        <v>133621.234031817</v>
      </c>
      <c r="D99" s="18">
        <v>1.37708787538915E-3</v>
      </c>
      <c r="E99" s="17">
        <v>129612.93273212299</v>
      </c>
      <c r="F99" s="18">
        <v>4.01459322011255E-3</v>
      </c>
      <c r="G99" s="17">
        <v>1177.1864136239999</v>
      </c>
      <c r="H99" s="18">
        <v>-6.4366274066145507E-2</v>
      </c>
      <c r="I99" s="17">
        <v>201.45202160269599</v>
      </c>
      <c r="J99" s="18">
        <v>7.3078551005680802E-3</v>
      </c>
      <c r="K99" s="17">
        <v>21824.0385139748</v>
      </c>
      <c r="L99" s="18">
        <v>2.2439362462643799E-2</v>
      </c>
      <c r="M99" s="17">
        <v>2791.5269744505999</v>
      </c>
      <c r="N99" s="18">
        <v>0.14359246163627301</v>
      </c>
      <c r="O99" s="17">
        <v>21337.728326156001</v>
      </c>
      <c r="P99" s="18">
        <v>-5.9825930852016604E-3</v>
      </c>
      <c r="Q99" s="17">
        <v>3968.77195061982</v>
      </c>
      <c r="R99" s="18">
        <v>-7.9653982710741894E-2</v>
      </c>
      <c r="S99" s="17">
        <v>408.73409646120001</v>
      </c>
      <c r="T99" s="18">
        <v>2.54307159457723E-2</v>
      </c>
      <c r="U99" s="17">
        <v>6958.0097339499298</v>
      </c>
      <c r="V99" s="18">
        <v>-7.53312310700638E-5</v>
      </c>
      <c r="W99" s="17">
        <v>18713.707008756701</v>
      </c>
      <c r="X99" s="18">
        <v>1.2684910589361199E-2</v>
      </c>
      <c r="Y99" s="17">
        <v>5280.6137196163199</v>
      </c>
      <c r="Z99" s="18">
        <v>3.4094499310778799E-2</v>
      </c>
      <c r="AA99" s="17">
        <v>6222.3408115075799</v>
      </c>
      <c r="AB99" s="18">
        <v>1.5862166097770899E-2</v>
      </c>
      <c r="AC99" s="17">
        <v>3654.6143159499002</v>
      </c>
      <c r="AD99" s="18">
        <v>1.9018573635109601E-2</v>
      </c>
      <c r="AE99" s="17">
        <v>6076.6691163523501</v>
      </c>
      <c r="AF99" s="18">
        <v>2.9589756494964502E-2</v>
      </c>
      <c r="AG99" s="17">
        <v>10254.4259758238</v>
      </c>
      <c r="AH99" s="18">
        <v>-7.5484022943730897E-2</v>
      </c>
      <c r="AI99" s="17">
        <v>5633.3007682056596</v>
      </c>
      <c r="AJ99" s="18">
        <v>-0.108578394474881</v>
      </c>
      <c r="AK99" s="17">
        <v>3236.2793640454902</v>
      </c>
      <c r="AL99" s="18">
        <v>-8.9671215491166096E-3</v>
      </c>
      <c r="AM99" s="17">
        <v>25463.700686900102</v>
      </c>
      <c r="AN99" s="18">
        <v>2.0624614716104401E-2</v>
      </c>
      <c r="AO99" s="17">
        <v>9432.7605856977298</v>
      </c>
      <c r="AP99" s="18">
        <v>1.1377573107089299E-2</v>
      </c>
      <c r="AQ99" s="17">
        <v>6667.8166004567902</v>
      </c>
      <c r="AR99" s="18">
        <v>2.5950318730799199E-2</v>
      </c>
      <c r="AS99" s="17">
        <v>7820.3087259266204</v>
      </c>
      <c r="AT99" s="18">
        <v>5.4176426984173798E-2</v>
      </c>
      <c r="AU99" s="17">
        <v>829.13190805895397</v>
      </c>
      <c r="AV99" s="18">
        <v>-0.14372674128228999</v>
      </c>
      <c r="AW99" s="17">
        <v>2036.09899031849</v>
      </c>
      <c r="AX99" s="18">
        <v>3.8680366633785997E-2</v>
      </c>
      <c r="AY99" s="17">
        <v>451.73478512244498</v>
      </c>
      <c r="AZ99" s="18">
        <v>1.55229309625353E-2</v>
      </c>
      <c r="BA99" s="17">
        <v>4040.77886400138</v>
      </c>
      <c r="BB99" s="18">
        <v>-5.66136913487163E-2</v>
      </c>
      <c r="BC99" s="17">
        <v>6804.5584813535497</v>
      </c>
      <c r="BD99" s="18">
        <v>-1.6516662888865899E-2</v>
      </c>
      <c r="BE99" s="17">
        <v>-2750.26965681713</v>
      </c>
      <c r="BF99" s="18">
        <v>8.0499560881706497E-2</v>
      </c>
      <c r="BG99" s="17"/>
      <c r="BH99" s="18"/>
    </row>
    <row r="100" spans="1:60" x14ac:dyDescent="0.2">
      <c r="A100" s="16">
        <v>2002</v>
      </c>
      <c r="B100" s="16">
        <v>1</v>
      </c>
      <c r="C100" s="17">
        <v>128472.32066939501</v>
      </c>
      <c r="D100" s="18">
        <v>2.0711201988823399E-3</v>
      </c>
      <c r="E100" s="17">
        <v>124723.372071797</v>
      </c>
      <c r="F100" s="18">
        <v>4.2632356585978696E-3</v>
      </c>
      <c r="G100" s="17">
        <v>1221.6470104662001</v>
      </c>
      <c r="H100" s="18">
        <v>1.7603120118755901E-2</v>
      </c>
      <c r="I100" s="17">
        <v>180.02255086193699</v>
      </c>
      <c r="J100" s="18">
        <v>7.2284577219037197E-3</v>
      </c>
      <c r="K100" s="17">
        <v>20880.398799573701</v>
      </c>
      <c r="L100" s="18">
        <v>4.1917186399704799E-3</v>
      </c>
      <c r="M100" s="17">
        <v>3087.5390328819799</v>
      </c>
      <c r="N100" s="18">
        <v>0.12864839071516099</v>
      </c>
      <c r="O100" s="17">
        <v>19590.4584642724</v>
      </c>
      <c r="P100" s="18">
        <v>-2.9073412589953E-2</v>
      </c>
      <c r="Q100" s="17">
        <v>3592.9082330391102</v>
      </c>
      <c r="R100" s="18">
        <v>-0.16390939463809501</v>
      </c>
      <c r="S100" s="17">
        <v>410.25281486435301</v>
      </c>
      <c r="T100" s="18">
        <v>3.4258910586718601E-2</v>
      </c>
      <c r="U100" s="17">
        <v>6630.5135243820996</v>
      </c>
      <c r="V100" s="18">
        <v>3.2067845236413803E-2</v>
      </c>
      <c r="W100" s="17">
        <v>16084.580840181199</v>
      </c>
      <c r="X100" s="18">
        <v>2.7456540793071402E-2</v>
      </c>
      <c r="Y100" s="17">
        <v>4632.3848578207799</v>
      </c>
      <c r="Z100" s="18">
        <v>2.50430883298212E-2</v>
      </c>
      <c r="AA100" s="17">
        <v>5926.1896550211404</v>
      </c>
      <c r="AB100" s="18">
        <v>-1.91789973790002E-3</v>
      </c>
      <c r="AC100" s="17">
        <v>3982.8842686694002</v>
      </c>
      <c r="AD100" s="18">
        <v>-2.7881344825730601E-2</v>
      </c>
      <c r="AE100" s="17">
        <v>5887.2913211390696</v>
      </c>
      <c r="AF100" s="18">
        <v>3.3276243710654199E-2</v>
      </c>
      <c r="AG100" s="17">
        <v>10114.4343005392</v>
      </c>
      <c r="AH100" s="18">
        <v>-2.6104389235321799E-2</v>
      </c>
      <c r="AI100" s="17">
        <v>5535.8795815990898</v>
      </c>
      <c r="AJ100" s="18">
        <v>-1.9662500674700999E-2</v>
      </c>
      <c r="AK100" s="17">
        <v>3162.3861094543799</v>
      </c>
      <c r="AL100" s="18">
        <v>-4.04187425091872E-2</v>
      </c>
      <c r="AM100" s="17">
        <v>25082.4028764305</v>
      </c>
      <c r="AN100" s="18">
        <v>-1.27186784070754E-2</v>
      </c>
      <c r="AO100" s="17">
        <v>9484.5165128815697</v>
      </c>
      <c r="AP100" s="18">
        <v>3.4659835185091299E-3</v>
      </c>
      <c r="AQ100" s="17">
        <v>6794.9761328794402</v>
      </c>
      <c r="AR100" s="18">
        <v>4.6490872898650198E-2</v>
      </c>
      <c r="AS100" s="17">
        <v>7849.8395285855704</v>
      </c>
      <c r="AT100" s="18">
        <v>2.7831677031548801E-2</v>
      </c>
      <c r="AU100" s="17">
        <v>1118.7294217091901</v>
      </c>
      <c r="AV100" s="18">
        <v>0.39491439166979803</v>
      </c>
      <c r="AW100" s="17">
        <v>2047.17040649451</v>
      </c>
      <c r="AX100" s="18">
        <v>3.7839037489678901E-2</v>
      </c>
      <c r="AY100" s="17">
        <v>451.10334555295702</v>
      </c>
      <c r="AZ100" s="18">
        <v>7.8011492320992897E-3</v>
      </c>
      <c r="BA100" s="17">
        <v>3805.6851491306302</v>
      </c>
      <c r="BB100" s="18">
        <v>-4.8318882289595903E-2</v>
      </c>
      <c r="BC100" s="17">
        <v>6579.9927574002904</v>
      </c>
      <c r="BD100" s="18">
        <v>-1.0212119125297099E-2</v>
      </c>
      <c r="BE100" s="17">
        <v>-2802.42728518796</v>
      </c>
      <c r="BF100" s="18">
        <v>7.2393606313199396E-2</v>
      </c>
      <c r="BG100" s="17"/>
      <c r="BH100" s="18"/>
    </row>
    <row r="101" spans="1:60" x14ac:dyDescent="0.2">
      <c r="A101" s="16">
        <v>2002</v>
      </c>
      <c r="B101" s="16">
        <v>2</v>
      </c>
      <c r="C101" s="17">
        <v>130721.012521767</v>
      </c>
      <c r="D101" s="18">
        <v>6.5366698323785499E-3</v>
      </c>
      <c r="E101" s="17">
        <v>126921.411360646</v>
      </c>
      <c r="F101" s="18">
        <v>8.2082470200968097E-3</v>
      </c>
      <c r="G101" s="17">
        <v>1233.63937038326</v>
      </c>
      <c r="H101" s="18">
        <v>5.1393444387029003E-2</v>
      </c>
      <c r="I101" s="17">
        <v>211.449826833119</v>
      </c>
      <c r="J101" s="18">
        <v>1.41955044804369E-2</v>
      </c>
      <c r="K101" s="17">
        <v>22070.2131052656</v>
      </c>
      <c r="L101" s="18">
        <v>3.06030665487174E-2</v>
      </c>
      <c r="M101" s="17">
        <v>3327.9865479452401</v>
      </c>
      <c r="N101" s="18">
        <v>0.16354330004571899</v>
      </c>
      <c r="O101" s="17">
        <v>20579.633275137199</v>
      </c>
      <c r="P101" s="18">
        <v>-5.5298290954638504E-3</v>
      </c>
      <c r="Q101" s="17">
        <v>3743.6755653652899</v>
      </c>
      <c r="R101" s="18">
        <v>-0.16327991560435101</v>
      </c>
      <c r="S101" s="17">
        <v>409.52833071788302</v>
      </c>
      <c r="T101" s="18">
        <v>2.0240877792329699E-2</v>
      </c>
      <c r="U101" s="17">
        <v>7346.3420878972202</v>
      </c>
      <c r="V101" s="18">
        <v>4.3092657590878498E-2</v>
      </c>
      <c r="W101" s="17">
        <v>16873.165245763401</v>
      </c>
      <c r="X101" s="18">
        <v>2.9307365864540601E-2</v>
      </c>
      <c r="Y101" s="17">
        <v>4605.5462103500204</v>
      </c>
      <c r="Z101" s="18">
        <v>-1.24503694228044E-2</v>
      </c>
      <c r="AA101" s="17">
        <v>5938.4241997162198</v>
      </c>
      <c r="AB101" s="18">
        <v>2.8407230190921999E-2</v>
      </c>
      <c r="AC101" s="17">
        <v>3743.0010514625701</v>
      </c>
      <c r="AD101" s="18">
        <v>-3.9573568738713101E-2</v>
      </c>
      <c r="AE101" s="17">
        <v>5524.3895148298297</v>
      </c>
      <c r="AF101" s="18">
        <v>2.0541474664644E-2</v>
      </c>
      <c r="AG101" s="17">
        <v>9788.0490470454697</v>
      </c>
      <c r="AH101" s="18">
        <v>-4.3941354229106597E-2</v>
      </c>
      <c r="AI101" s="17">
        <v>5225.1733100353804</v>
      </c>
      <c r="AJ101" s="18">
        <v>-5.2329476445804497E-2</v>
      </c>
      <c r="AK101" s="17">
        <v>3144.6365479147198</v>
      </c>
      <c r="AL101" s="18">
        <v>-4.7439464223709302E-2</v>
      </c>
      <c r="AM101" s="17">
        <v>24700.4675328542</v>
      </c>
      <c r="AN101" s="18">
        <v>-4.4161581944982799E-2</v>
      </c>
      <c r="AO101" s="17">
        <v>9457.2665224093107</v>
      </c>
      <c r="AP101" s="18">
        <v>1.0091023872016399E-2</v>
      </c>
      <c r="AQ101" s="17">
        <v>6871.4607587870796</v>
      </c>
      <c r="AR101" s="18">
        <v>4.6748791899389401E-2</v>
      </c>
      <c r="AS101" s="17">
        <v>7911.3975138039596</v>
      </c>
      <c r="AT101" s="18">
        <v>4.3056526337968699E-2</v>
      </c>
      <c r="AU101" s="17">
        <v>1537.63664603044</v>
      </c>
      <c r="AV101" s="18">
        <v>1.0125803575636001</v>
      </c>
      <c r="AW101" s="17">
        <v>2127.7918866211198</v>
      </c>
      <c r="AX101" s="18">
        <v>6.1973262761492801E-2</v>
      </c>
      <c r="AY101" s="17">
        <v>451.93279507149799</v>
      </c>
      <c r="AZ101" s="18">
        <v>4.4923000529588598E-3</v>
      </c>
      <c r="BA101" s="17">
        <v>3861.1189828556498</v>
      </c>
      <c r="BB101" s="18">
        <v>-3.2720460625998399E-2</v>
      </c>
      <c r="BC101" s="17">
        <v>6670.6461868691104</v>
      </c>
      <c r="BD101" s="18">
        <v>-1.6086136152989601E-3</v>
      </c>
      <c r="BE101" s="17">
        <v>-2836.8097584835</v>
      </c>
      <c r="BF101" s="18">
        <v>6.4153049802908105E-2</v>
      </c>
      <c r="BG101" s="17"/>
      <c r="BH101" s="18"/>
    </row>
    <row r="102" spans="1:60" x14ac:dyDescent="0.2">
      <c r="A102" s="16">
        <v>2002</v>
      </c>
      <c r="B102" s="16">
        <v>3</v>
      </c>
      <c r="C102" s="17">
        <v>130160.549023</v>
      </c>
      <c r="D102" s="18">
        <v>8.0925561792515293E-3</v>
      </c>
      <c r="E102" s="17">
        <v>126403.363783979</v>
      </c>
      <c r="F102" s="18">
        <v>9.1919290811095494E-3</v>
      </c>
      <c r="G102" s="17">
        <v>1219.2126459399799</v>
      </c>
      <c r="H102" s="18">
        <v>4.7477726423058801E-2</v>
      </c>
      <c r="I102" s="17">
        <v>204.73670851681001</v>
      </c>
      <c r="J102" s="18">
        <v>-1.80444752778895E-2</v>
      </c>
      <c r="K102" s="17">
        <v>21639.541082000898</v>
      </c>
      <c r="L102" s="18">
        <v>3.9853370752732202E-2</v>
      </c>
      <c r="M102" s="17">
        <v>3280.14117283212</v>
      </c>
      <c r="N102" s="18">
        <v>0.17264582327228101</v>
      </c>
      <c r="O102" s="17">
        <v>20144.356510812198</v>
      </c>
      <c r="P102" s="18">
        <v>3.5042596365184599E-3</v>
      </c>
      <c r="Q102" s="17">
        <v>3688.40300034856</v>
      </c>
      <c r="R102" s="18">
        <v>-0.158518200059972</v>
      </c>
      <c r="S102" s="17">
        <v>409.33171221523202</v>
      </c>
      <c r="T102" s="18">
        <v>1.4569085434331899E-2</v>
      </c>
      <c r="U102" s="17">
        <v>7515.2722840802498</v>
      </c>
      <c r="V102" s="18">
        <v>4.14851157358316E-2</v>
      </c>
      <c r="W102" s="17">
        <v>16514.529338381199</v>
      </c>
      <c r="X102" s="18">
        <v>4.2618300003338702E-2</v>
      </c>
      <c r="Y102" s="17">
        <v>4617.1698206615501</v>
      </c>
      <c r="Z102" s="18">
        <v>1.7094774010959499E-3</v>
      </c>
      <c r="AA102" s="17">
        <v>6203.8562201500599</v>
      </c>
      <c r="AB102" s="18">
        <v>3.7801532352656597E-2</v>
      </c>
      <c r="AC102" s="17">
        <v>4079.4841384384199</v>
      </c>
      <c r="AD102" s="18">
        <v>-5.4945434894963202E-2</v>
      </c>
      <c r="AE102" s="17">
        <v>5690.0968120809603</v>
      </c>
      <c r="AF102" s="18">
        <v>1.91193071136746E-2</v>
      </c>
      <c r="AG102" s="17">
        <v>9651.6321543773793</v>
      </c>
      <c r="AH102" s="18">
        <v>-4.0827096083389199E-2</v>
      </c>
      <c r="AI102" s="17">
        <v>5118.2528199809303</v>
      </c>
      <c r="AJ102" s="18">
        <v>-5.3846587830878999E-2</v>
      </c>
      <c r="AK102" s="17">
        <v>3181.7854131927902</v>
      </c>
      <c r="AL102" s="18">
        <v>-3.05065174271326E-2</v>
      </c>
      <c r="AM102" s="17">
        <v>24467.465432580299</v>
      </c>
      <c r="AN102" s="18">
        <v>-5.0736991741273899E-2</v>
      </c>
      <c r="AO102" s="17">
        <v>9512.0482411778503</v>
      </c>
      <c r="AP102" s="18">
        <v>9.6606822347444794E-3</v>
      </c>
      <c r="AQ102" s="17">
        <v>6902.8072345400697</v>
      </c>
      <c r="AR102" s="18">
        <v>4.2804043710893899E-2</v>
      </c>
      <c r="AS102" s="17">
        <v>8009.5086968252299</v>
      </c>
      <c r="AT102" s="18">
        <v>3.9474094319420498E-2</v>
      </c>
      <c r="AU102" s="17">
        <v>1280.45621774095</v>
      </c>
      <c r="AV102" s="18">
        <v>0.63616337807374101</v>
      </c>
      <c r="AW102" s="17">
        <v>2164.1321459837</v>
      </c>
      <c r="AX102" s="18">
        <v>6.9015298907823E-2</v>
      </c>
      <c r="AY102" s="17">
        <v>453.55194304190098</v>
      </c>
      <c r="AZ102" s="18">
        <v>4.25478555959047E-3</v>
      </c>
      <c r="BA102" s="17">
        <v>3825.0519060798902</v>
      </c>
      <c r="BB102" s="18">
        <v>-1.8607297238112899E-2</v>
      </c>
      <c r="BC102" s="17">
        <v>6667.0731125644397</v>
      </c>
      <c r="BD102" s="18">
        <v>6.4056485291306099E-3</v>
      </c>
      <c r="BE102" s="17">
        <v>-2883.1555923811202</v>
      </c>
      <c r="BF102" s="18">
        <v>5.6132001337738699E-2</v>
      </c>
      <c r="BG102" s="17"/>
      <c r="BH102" s="18"/>
    </row>
    <row r="103" spans="1:60" x14ac:dyDescent="0.2">
      <c r="A103" s="16">
        <v>2002</v>
      </c>
      <c r="B103" s="16">
        <v>4</v>
      </c>
      <c r="C103" s="17">
        <v>133443.13200529999</v>
      </c>
      <c r="D103" s="18">
        <v>-1.3328871553006699E-3</v>
      </c>
      <c r="E103" s="17">
        <v>129532.130340125</v>
      </c>
      <c r="F103" s="18">
        <v>-6.2341303675628201E-4</v>
      </c>
      <c r="G103" s="17">
        <v>1168.39387259011</v>
      </c>
      <c r="H103" s="18">
        <v>-7.4691152838120001E-3</v>
      </c>
      <c r="I103" s="17">
        <v>192.445761268865</v>
      </c>
      <c r="J103" s="18">
        <v>-4.4706726009396403E-2</v>
      </c>
      <c r="K103" s="17">
        <v>22386.226065376799</v>
      </c>
      <c r="L103" s="18">
        <v>2.57600146298325E-2</v>
      </c>
      <c r="M103" s="17">
        <v>3144.59761804154</v>
      </c>
      <c r="N103" s="18">
        <v>0.12647939526374199</v>
      </c>
      <c r="O103" s="17">
        <v>21329.620184969401</v>
      </c>
      <c r="P103" s="18">
        <v>-3.79990834202926E-4</v>
      </c>
      <c r="Q103" s="17">
        <v>3558.0071375586299</v>
      </c>
      <c r="R103" s="18">
        <v>-0.10349922297677901</v>
      </c>
      <c r="S103" s="17">
        <v>408.28234288014698</v>
      </c>
      <c r="T103" s="18">
        <v>-1.1052505405444401E-3</v>
      </c>
      <c r="U103" s="17">
        <v>7406.1908403891402</v>
      </c>
      <c r="V103" s="18">
        <v>6.4412256316977806E-2</v>
      </c>
      <c r="W103" s="17">
        <v>19113.988867580301</v>
      </c>
      <c r="X103" s="18">
        <v>2.13897684000437E-2</v>
      </c>
      <c r="Y103" s="17">
        <v>5226.07923533967</v>
      </c>
      <c r="Z103" s="18">
        <v>-1.03273004185238E-2</v>
      </c>
      <c r="AA103" s="17">
        <v>6338.8233415139503</v>
      </c>
      <c r="AB103" s="18">
        <v>1.8720049822882098E-2</v>
      </c>
      <c r="AC103" s="17">
        <v>3397.04706473842</v>
      </c>
      <c r="AD103" s="18">
        <v>-7.0477273097568793E-2</v>
      </c>
      <c r="AE103" s="17">
        <v>6089.7717441677696</v>
      </c>
      <c r="AF103" s="18">
        <v>2.1562187383479302E-3</v>
      </c>
      <c r="AG103" s="17">
        <v>9914.9119130734507</v>
      </c>
      <c r="AH103" s="18">
        <v>-3.3109026634041798E-2</v>
      </c>
      <c r="AI103" s="17">
        <v>5296.6452066821003</v>
      </c>
      <c r="AJ103" s="18">
        <v>-5.9761687752167697E-2</v>
      </c>
      <c r="AK103" s="17">
        <v>3274.04063270591</v>
      </c>
      <c r="AL103" s="18">
        <v>1.1668111560436199E-2</v>
      </c>
      <c r="AM103" s="17">
        <v>23847.091896662201</v>
      </c>
      <c r="AN103" s="18">
        <v>-6.3486796758867994E-2</v>
      </c>
      <c r="AO103" s="17">
        <v>9508.4272363278706</v>
      </c>
      <c r="AP103" s="18">
        <v>8.0216867525368905E-3</v>
      </c>
      <c r="AQ103" s="17">
        <v>6843.0966598198602</v>
      </c>
      <c r="AR103" s="18">
        <v>2.6287474576170498E-2</v>
      </c>
      <c r="AS103" s="17">
        <v>8017.7049263149402</v>
      </c>
      <c r="AT103" s="18">
        <v>2.52414843590376E-2</v>
      </c>
      <c r="AU103" s="17">
        <v>1053.2555615343299</v>
      </c>
      <c r="AV103" s="18">
        <v>0.27031121501530803</v>
      </c>
      <c r="AW103" s="17">
        <v>2104.37640922521</v>
      </c>
      <c r="AX103" s="18">
        <v>3.3533447652288197E-2</v>
      </c>
      <c r="AY103" s="17">
        <v>452.85235243462301</v>
      </c>
      <c r="AZ103" s="18">
        <v>2.4739456623312801E-3</v>
      </c>
      <c r="BA103" s="17">
        <v>3965.630571832</v>
      </c>
      <c r="BB103" s="18">
        <v>-1.85974770455422E-2</v>
      </c>
      <c r="BC103" s="17">
        <v>6828.9160504192496</v>
      </c>
      <c r="BD103" s="18">
        <v>3.5795958154303301E-3</v>
      </c>
      <c r="BE103" s="17">
        <v>-2885.9534907873199</v>
      </c>
      <c r="BF103" s="18">
        <v>4.9334738371516799E-2</v>
      </c>
      <c r="BG103" s="17"/>
      <c r="BH103" s="18"/>
    </row>
    <row r="104" spans="1:60" x14ac:dyDescent="0.2">
      <c r="A104" s="16">
        <v>2003</v>
      </c>
      <c r="B104" s="16">
        <v>1</v>
      </c>
      <c r="C104" s="17">
        <v>127895.345316078</v>
      </c>
      <c r="D104" s="18">
        <v>-4.4910479573461197E-3</v>
      </c>
      <c r="E104" s="17">
        <v>124211.467436046</v>
      </c>
      <c r="F104" s="18">
        <v>-4.1043200424083501E-3</v>
      </c>
      <c r="G104" s="17">
        <v>1042.8517185005401</v>
      </c>
      <c r="H104" s="18">
        <v>-0.146355936235156</v>
      </c>
      <c r="I104" s="17">
        <v>172.03109999358799</v>
      </c>
      <c r="J104" s="18">
        <v>-4.4391387801621301E-2</v>
      </c>
      <c r="K104" s="17">
        <v>21218.471238869799</v>
      </c>
      <c r="L104" s="18">
        <v>1.6190899538902001E-2</v>
      </c>
      <c r="M104" s="17">
        <v>3327.9392321621499</v>
      </c>
      <c r="N104" s="18">
        <v>7.7861428380317399E-2</v>
      </c>
      <c r="O104" s="17">
        <v>19542.323188325401</v>
      </c>
      <c r="P104" s="18">
        <v>-2.4570775632850599E-3</v>
      </c>
      <c r="Q104" s="17">
        <v>3516.9786845578201</v>
      </c>
      <c r="R104" s="18">
        <v>-2.1133172226074401E-2</v>
      </c>
      <c r="S104" s="17">
        <v>397.45610298947997</v>
      </c>
      <c r="T104" s="18">
        <v>-3.11922585567244E-2</v>
      </c>
      <c r="U104" s="17">
        <v>6863.7579006860196</v>
      </c>
      <c r="V104" s="18">
        <v>3.5177422600259203E-2</v>
      </c>
      <c r="W104" s="17">
        <v>16673.815861159001</v>
      </c>
      <c r="X104" s="18">
        <v>3.66335328742824E-2</v>
      </c>
      <c r="Y104" s="17">
        <v>4694.9956340181197</v>
      </c>
      <c r="Z104" s="18">
        <v>1.3515883960210801E-2</v>
      </c>
      <c r="AA104" s="17">
        <v>6196.6362483540797</v>
      </c>
      <c r="AB104" s="18">
        <v>4.5635831634884202E-2</v>
      </c>
      <c r="AC104" s="17">
        <v>3676.9894500454202</v>
      </c>
      <c r="AD104" s="18">
        <v>-7.6802336696107601E-2</v>
      </c>
      <c r="AE104" s="17">
        <v>5719.7239354269304</v>
      </c>
      <c r="AF104" s="18">
        <v>-2.8462560551482601E-2</v>
      </c>
      <c r="AG104" s="17">
        <v>9770.5890996295293</v>
      </c>
      <c r="AH104" s="18">
        <v>-3.3995495021539902E-2</v>
      </c>
      <c r="AI104" s="17">
        <v>5101.43173158847</v>
      </c>
      <c r="AJ104" s="18">
        <v>-7.8478558575351506E-2</v>
      </c>
      <c r="AK104" s="17">
        <v>3423.0688314835402</v>
      </c>
      <c r="AL104" s="18">
        <v>8.2432287837911594E-2</v>
      </c>
      <c r="AM104" s="17">
        <v>23808.642491084702</v>
      </c>
      <c r="AN104" s="18">
        <v>-5.0783028708257003E-2</v>
      </c>
      <c r="AO104" s="17">
        <v>9565.4464190059807</v>
      </c>
      <c r="AP104" s="18">
        <v>8.5328446647219298E-3</v>
      </c>
      <c r="AQ104" s="17">
        <v>6889.5510670253198</v>
      </c>
      <c r="AR104" s="18">
        <v>1.39183614918463E-2</v>
      </c>
      <c r="AS104" s="17">
        <v>7993.6338411287597</v>
      </c>
      <c r="AT104" s="18">
        <v>1.83181212838253E-2</v>
      </c>
      <c r="AU104" s="17">
        <v>953.09921392749698</v>
      </c>
      <c r="AV104" s="18">
        <v>-0.14805207100806</v>
      </c>
      <c r="AW104" s="17">
        <v>2077.7804234611599</v>
      </c>
      <c r="AX104" s="18">
        <v>1.49523541711754E-2</v>
      </c>
      <c r="AY104" s="17">
        <v>451.48787718828203</v>
      </c>
      <c r="AZ104" s="18">
        <v>8.5242470293178695E-4</v>
      </c>
      <c r="BA104" s="17">
        <v>3750.9047634373901</v>
      </c>
      <c r="BB104" s="18">
        <v>-1.43943556932853E-2</v>
      </c>
      <c r="BC104" s="17">
        <v>6614.8287198881899</v>
      </c>
      <c r="BD104" s="18">
        <v>5.29422505043242E-3</v>
      </c>
      <c r="BE104" s="17">
        <v>-2916.1467326340799</v>
      </c>
      <c r="BF104" s="18">
        <v>4.0578911020164199E-2</v>
      </c>
      <c r="BG104" s="17"/>
      <c r="BH104" s="18"/>
    </row>
    <row r="105" spans="1:60" x14ac:dyDescent="0.2">
      <c r="A105" s="16">
        <v>2003</v>
      </c>
      <c r="B105" s="16">
        <v>2</v>
      </c>
      <c r="C105" s="17">
        <v>128828.047764004</v>
      </c>
      <c r="D105" s="18">
        <v>-1.44809523828358E-2</v>
      </c>
      <c r="E105" s="17">
        <v>125089.74260929201</v>
      </c>
      <c r="F105" s="18">
        <v>-1.44315189353608E-2</v>
      </c>
      <c r="G105" s="17">
        <v>1006.47005601657</v>
      </c>
      <c r="H105" s="18">
        <v>-0.184145642414212</v>
      </c>
      <c r="I105" s="17">
        <v>197.25327878559301</v>
      </c>
      <c r="J105" s="18">
        <v>-6.71390857119505E-2</v>
      </c>
      <c r="K105" s="17">
        <v>21553.480814660801</v>
      </c>
      <c r="L105" s="18">
        <v>-2.34131083438185E-2</v>
      </c>
      <c r="M105" s="17">
        <v>3387.5143215774201</v>
      </c>
      <c r="N105" s="18">
        <v>1.7887023512439301E-2</v>
      </c>
      <c r="O105" s="17">
        <v>19837.368302892999</v>
      </c>
      <c r="P105" s="18">
        <v>-3.6067939711098597E-2</v>
      </c>
      <c r="Q105" s="17">
        <v>3525.9345923742499</v>
      </c>
      <c r="R105" s="18">
        <v>-5.8162351194499202E-2</v>
      </c>
      <c r="S105" s="17">
        <v>401.98582140097898</v>
      </c>
      <c r="T105" s="18">
        <v>-1.8417551976642601E-2</v>
      </c>
      <c r="U105" s="17">
        <v>7515.5031332249</v>
      </c>
      <c r="V105" s="18">
        <v>2.30265679577282E-2</v>
      </c>
      <c r="W105" s="17">
        <v>17112.487889911601</v>
      </c>
      <c r="X105" s="18">
        <v>1.4183624747487999E-2</v>
      </c>
      <c r="Y105" s="17">
        <v>4774.5641205276697</v>
      </c>
      <c r="Z105" s="18">
        <v>3.6698776314047797E-2</v>
      </c>
      <c r="AA105" s="17">
        <v>6052.2016685942399</v>
      </c>
      <c r="AB105" s="18">
        <v>1.9159538802137902E-2</v>
      </c>
      <c r="AC105" s="17">
        <v>3388.8639953772599</v>
      </c>
      <c r="AD105" s="18">
        <v>-9.4613132942328801E-2</v>
      </c>
      <c r="AE105" s="17">
        <v>5284.1294018375602</v>
      </c>
      <c r="AF105" s="18">
        <v>-4.3490798819907903E-2</v>
      </c>
      <c r="AG105" s="17">
        <v>10056.8194194967</v>
      </c>
      <c r="AH105" s="18">
        <v>2.74590340893675E-2</v>
      </c>
      <c r="AI105" s="17">
        <v>5259.9753312375897</v>
      </c>
      <c r="AJ105" s="18">
        <v>6.6604529911711303E-3</v>
      </c>
      <c r="AK105" s="17">
        <v>3522.6073784414598</v>
      </c>
      <c r="AL105" s="18">
        <v>0.120195394528942</v>
      </c>
      <c r="AM105" s="17">
        <v>23628.440706903901</v>
      </c>
      <c r="AN105" s="18">
        <v>-4.3401074272151799E-2</v>
      </c>
      <c r="AO105" s="17">
        <v>9571.2161473835604</v>
      </c>
      <c r="AP105" s="18">
        <v>1.20488964442582E-2</v>
      </c>
      <c r="AQ105" s="17">
        <v>6867.64579364783</v>
      </c>
      <c r="AR105" s="18">
        <v>-5.5518983127034204E-4</v>
      </c>
      <c r="AS105" s="17">
        <v>8030.5494573562</v>
      </c>
      <c r="AT105" s="18">
        <v>1.50607959395725E-2</v>
      </c>
      <c r="AU105" s="17">
        <v>935.93966180742598</v>
      </c>
      <c r="AV105" s="18">
        <v>-0.39131285390235399</v>
      </c>
      <c r="AW105" s="17">
        <v>2081.8106063435898</v>
      </c>
      <c r="AX105" s="18">
        <v>-2.16098578844355E-2</v>
      </c>
      <c r="AY105" s="17">
        <v>451.26146689364901</v>
      </c>
      <c r="AZ105" s="18">
        <v>-1.48546019490159E-3</v>
      </c>
      <c r="BA105" s="17">
        <v>3800.0294819606602</v>
      </c>
      <c r="BB105" s="18">
        <v>-1.5821708982875399E-2</v>
      </c>
      <c r="BC105" s="17">
        <v>6683.0050849307299</v>
      </c>
      <c r="BD105" s="18">
        <v>1.8527287635112799E-3</v>
      </c>
      <c r="BE105" s="17">
        <v>-2932.4289240561202</v>
      </c>
      <c r="BF105" s="18">
        <v>3.3706583702577002E-2</v>
      </c>
      <c r="BG105" s="17"/>
      <c r="BH105" s="18"/>
    </row>
    <row r="106" spans="1:60" x14ac:dyDescent="0.2">
      <c r="A106" s="16">
        <v>2003</v>
      </c>
      <c r="B106" s="16">
        <v>3</v>
      </c>
      <c r="C106" s="17">
        <v>129506.389828809</v>
      </c>
      <c r="D106" s="18">
        <v>-5.0257869923060498E-3</v>
      </c>
      <c r="E106" s="17">
        <v>125725.105424016</v>
      </c>
      <c r="F106" s="18">
        <v>-5.3658252411911099E-3</v>
      </c>
      <c r="G106" s="17">
        <v>1012.99534197765</v>
      </c>
      <c r="H106" s="18">
        <v>-0.16913973509792801</v>
      </c>
      <c r="I106" s="17">
        <v>193.14527040886301</v>
      </c>
      <c r="J106" s="18">
        <v>-5.66163156178505E-2</v>
      </c>
      <c r="K106" s="17">
        <v>21373.870739321599</v>
      </c>
      <c r="L106" s="18">
        <v>-1.2277078412730401E-2</v>
      </c>
      <c r="M106" s="17">
        <v>3336.2656648454299</v>
      </c>
      <c r="N106" s="18">
        <v>1.7110389174148401E-2</v>
      </c>
      <c r="O106" s="17">
        <v>19716.2558674703</v>
      </c>
      <c r="P106" s="18">
        <v>-2.1251641526104901E-2</v>
      </c>
      <c r="Q106" s="17">
        <v>3408.2634904666302</v>
      </c>
      <c r="R106" s="18">
        <v>-7.5951437479976305E-2</v>
      </c>
      <c r="S106" s="17">
        <v>413.08051183938397</v>
      </c>
      <c r="T106" s="18">
        <v>9.1583415412983503E-3</v>
      </c>
      <c r="U106" s="17">
        <v>7565.2406806888403</v>
      </c>
      <c r="V106" s="18">
        <v>6.6489136680307802E-3</v>
      </c>
      <c r="W106" s="17">
        <v>16966.113104456501</v>
      </c>
      <c r="X106" s="18">
        <v>2.7344634341217401E-2</v>
      </c>
      <c r="Y106" s="17">
        <v>4748.1039575156001</v>
      </c>
      <c r="Z106" s="18">
        <v>2.8358094230827E-2</v>
      </c>
      <c r="AA106" s="17">
        <v>6080.4307041146203</v>
      </c>
      <c r="AB106" s="18">
        <v>-1.9894967203552199E-2</v>
      </c>
      <c r="AC106" s="17">
        <v>3718.47954191384</v>
      </c>
      <c r="AD106" s="18">
        <v>-8.8492707478148899E-2</v>
      </c>
      <c r="AE106" s="17">
        <v>5289.3848837709502</v>
      </c>
      <c r="AF106" s="18">
        <v>-7.0422690780802905E-2</v>
      </c>
      <c r="AG106" s="17">
        <v>10412.2427891102</v>
      </c>
      <c r="AH106" s="18">
        <v>7.8806425956452306E-2</v>
      </c>
      <c r="AI106" s="17">
        <v>5510.6846203347404</v>
      </c>
      <c r="AJ106" s="18">
        <v>7.6673000368759694E-2</v>
      </c>
      <c r="AK106" s="17">
        <v>3574.5156925708998</v>
      </c>
      <c r="AL106" s="18">
        <v>0.123430787553967</v>
      </c>
      <c r="AM106" s="17">
        <v>23587.373491480899</v>
      </c>
      <c r="AN106" s="18">
        <v>-3.5969885950158799E-2</v>
      </c>
      <c r="AO106" s="17">
        <v>9656.6602929296205</v>
      </c>
      <c r="AP106" s="18">
        <v>1.52030401954584E-2</v>
      </c>
      <c r="AQ106" s="17">
        <v>6901.4435852215902</v>
      </c>
      <c r="AR106" s="18">
        <v>-1.9754996368059901E-4</v>
      </c>
      <c r="AS106" s="17">
        <v>8176.5590513652696</v>
      </c>
      <c r="AT106" s="18">
        <v>2.0856504545185402E-2</v>
      </c>
      <c r="AU106" s="17">
        <v>946.47414425917805</v>
      </c>
      <c r="AV106" s="18">
        <v>-0.26083052966153197</v>
      </c>
      <c r="AW106" s="17">
        <v>2107.7771936351401</v>
      </c>
      <c r="AX106" s="18">
        <v>-2.6040439560564201E-2</v>
      </c>
      <c r="AY106" s="17">
        <v>452.362015029654</v>
      </c>
      <c r="AZ106" s="18">
        <v>-2.6235760434984998E-3</v>
      </c>
      <c r="BA106" s="17">
        <v>3838.4388842386202</v>
      </c>
      <c r="BB106" s="18">
        <v>3.4998160776464901E-3</v>
      </c>
      <c r="BC106" s="17">
        <v>6748.7569639756703</v>
      </c>
      <c r="BD106" s="18">
        <v>1.22518307557329E-2</v>
      </c>
      <c r="BE106" s="17">
        <v>-2959.9348974264599</v>
      </c>
      <c r="BF106" s="18">
        <v>2.66303023146695E-2</v>
      </c>
      <c r="BG106" s="17"/>
      <c r="BH106" s="18"/>
    </row>
    <row r="107" spans="1:60" x14ac:dyDescent="0.2">
      <c r="A107" s="16">
        <v>2003</v>
      </c>
      <c r="B107" s="16">
        <v>4</v>
      </c>
      <c r="C107" s="17">
        <v>135081.324804248</v>
      </c>
      <c r="D107" s="18">
        <v>1.2276336551233301E-2</v>
      </c>
      <c r="E107" s="17">
        <v>131013.24008992</v>
      </c>
      <c r="F107" s="18">
        <v>1.1434303951500401E-2</v>
      </c>
      <c r="G107" s="17">
        <v>1057.99055085349</v>
      </c>
      <c r="H107" s="18">
        <v>-9.4491527494809796E-2</v>
      </c>
      <c r="I107" s="17">
        <v>185.60295492727801</v>
      </c>
      <c r="J107" s="18">
        <v>-3.5557064476092103E-2</v>
      </c>
      <c r="K107" s="17">
        <v>22559.7256092141</v>
      </c>
      <c r="L107" s="18">
        <v>7.7502810581242497E-3</v>
      </c>
      <c r="M107" s="17">
        <v>3382.25151850969</v>
      </c>
      <c r="N107" s="18">
        <v>7.5575297489465496E-2</v>
      </c>
      <c r="O107" s="17">
        <v>21077.239007830402</v>
      </c>
      <c r="P107" s="18">
        <v>-1.18324271576496E-2</v>
      </c>
      <c r="Q107" s="17">
        <v>3077.3433233415099</v>
      </c>
      <c r="R107" s="18">
        <v>-0.13509354974114601</v>
      </c>
      <c r="S107" s="17">
        <v>419.59859620585001</v>
      </c>
      <c r="T107" s="18">
        <v>2.77167345662679E-2</v>
      </c>
      <c r="U107" s="17">
        <v>7484.84085418005</v>
      </c>
      <c r="V107" s="18">
        <v>1.0619495971127E-2</v>
      </c>
      <c r="W107" s="17">
        <v>19690.100064874201</v>
      </c>
      <c r="X107" s="18">
        <v>3.0140814734438599E-2</v>
      </c>
      <c r="Y107" s="17">
        <v>5285.4972240115803</v>
      </c>
      <c r="Z107" s="18">
        <v>1.1369515462015501E-2</v>
      </c>
      <c r="AA107" s="17">
        <v>6367.3396988213799</v>
      </c>
      <c r="AB107" s="18">
        <v>4.4986830790298997E-3</v>
      </c>
      <c r="AC107" s="17">
        <v>3120.2365970916799</v>
      </c>
      <c r="AD107" s="18">
        <v>-8.1485614526820002E-2</v>
      </c>
      <c r="AE107" s="17">
        <v>5791.4464252405396</v>
      </c>
      <c r="AF107" s="18">
        <v>-4.8987931150775099E-2</v>
      </c>
      <c r="AG107" s="17">
        <v>10960.151701271399</v>
      </c>
      <c r="AH107" s="18">
        <v>0.10542098582032899</v>
      </c>
      <c r="AI107" s="17">
        <v>5972.7047653047002</v>
      </c>
      <c r="AJ107" s="18">
        <v>0.127639200331882</v>
      </c>
      <c r="AK107" s="17">
        <v>3579.3923925823001</v>
      </c>
      <c r="AL107" s="18">
        <v>9.3264499171478998E-2</v>
      </c>
      <c r="AM107" s="17">
        <v>23731.026989557999</v>
      </c>
      <c r="AN107" s="18">
        <v>-4.8670465819121702E-3</v>
      </c>
      <c r="AO107" s="17">
        <v>9700.8710841830398</v>
      </c>
      <c r="AP107" s="18">
        <v>2.0239293320762498E-2</v>
      </c>
      <c r="AQ107" s="17">
        <v>6866.2047405313897</v>
      </c>
      <c r="AR107" s="18">
        <v>3.3768455803364602E-3</v>
      </c>
      <c r="AS107" s="17">
        <v>8194.8962986980605</v>
      </c>
      <c r="AT107" s="18">
        <v>2.2100011663133402E-2</v>
      </c>
      <c r="AU107" s="17">
        <v>960.99560197955805</v>
      </c>
      <c r="AV107" s="18">
        <v>-8.75950366883161E-2</v>
      </c>
      <c r="AW107" s="17">
        <v>2085.2272999003799</v>
      </c>
      <c r="AX107" s="18">
        <v>-9.0996597571080303E-3</v>
      </c>
      <c r="AY107" s="17">
        <v>452.851438071465</v>
      </c>
      <c r="AZ107" s="18">
        <v>-2.0191198151220399E-6</v>
      </c>
      <c r="BA107" s="17">
        <v>4101.6390804011799</v>
      </c>
      <c r="BB107" s="18">
        <v>3.4296817644903901E-2</v>
      </c>
      <c r="BC107" s="17">
        <v>7030.7755826446</v>
      </c>
      <c r="BD107" s="18">
        <v>2.9559527564108502E-2</v>
      </c>
      <c r="BE107" s="17">
        <v>-2948.3369942962399</v>
      </c>
      <c r="BF107" s="18">
        <v>2.1616253937586399E-2</v>
      </c>
      <c r="BG107" s="17"/>
      <c r="BH107" s="18"/>
    </row>
    <row r="108" spans="1:60" x14ac:dyDescent="0.2">
      <c r="A108" s="16">
        <v>2004</v>
      </c>
      <c r="B108" s="16">
        <v>1</v>
      </c>
      <c r="C108" s="17">
        <v>131311.35872297001</v>
      </c>
      <c r="D108" s="18">
        <v>2.6709442774876899E-2</v>
      </c>
      <c r="E108" s="17">
        <v>127337.936607732</v>
      </c>
      <c r="F108" s="18">
        <v>2.5170535669713799E-2</v>
      </c>
      <c r="G108" s="17">
        <v>1169.38299320748</v>
      </c>
      <c r="H108" s="18">
        <v>0.121331990408831</v>
      </c>
      <c r="I108" s="17">
        <v>171.37439304882</v>
      </c>
      <c r="J108" s="18">
        <v>-3.81737339813382E-3</v>
      </c>
      <c r="K108" s="17">
        <v>21615.679148558102</v>
      </c>
      <c r="L108" s="18">
        <v>1.8719911779537399E-2</v>
      </c>
      <c r="M108" s="17">
        <v>3604.5189446485301</v>
      </c>
      <c r="N108" s="18">
        <v>8.3108402284943095E-2</v>
      </c>
      <c r="O108" s="17">
        <v>19498.499260683198</v>
      </c>
      <c r="P108" s="18">
        <v>-2.2425137083146298E-3</v>
      </c>
      <c r="Q108" s="17">
        <v>3026.4878856785899</v>
      </c>
      <c r="R108" s="18">
        <v>-0.139463682573014</v>
      </c>
      <c r="S108" s="17">
        <v>424.33264341962501</v>
      </c>
      <c r="T108" s="18">
        <v>6.7621405805550899E-2</v>
      </c>
      <c r="U108" s="17">
        <v>6823.1895218795798</v>
      </c>
      <c r="V108" s="18">
        <v>-5.9105200669138398E-3</v>
      </c>
      <c r="W108" s="17">
        <v>17676.332149801801</v>
      </c>
      <c r="X108" s="18">
        <v>6.0125186519424598E-2</v>
      </c>
      <c r="Y108" s="17">
        <v>4785.1712703683097</v>
      </c>
      <c r="Z108" s="18">
        <v>1.9206756167526699E-2</v>
      </c>
      <c r="AA108" s="17">
        <v>6305.1076946203002</v>
      </c>
      <c r="AB108" s="18">
        <v>1.7504891673289402E-2</v>
      </c>
      <c r="AC108" s="17">
        <v>3423.8248424624899</v>
      </c>
      <c r="AD108" s="18">
        <v>-6.8851056284592205E-2</v>
      </c>
      <c r="AE108" s="17">
        <v>5640.5100846924197</v>
      </c>
      <c r="AF108" s="18">
        <v>-1.38492437098025E-2</v>
      </c>
      <c r="AG108" s="17">
        <v>10942.7431822531</v>
      </c>
      <c r="AH108" s="18">
        <v>0.119967595676298</v>
      </c>
      <c r="AI108" s="17">
        <v>5985.5856521267197</v>
      </c>
      <c r="AJ108" s="18">
        <v>0.17331485885883699</v>
      </c>
      <c r="AK108" s="17">
        <v>3536.59114269478</v>
      </c>
      <c r="AL108" s="18">
        <v>3.3163899646749997E-2</v>
      </c>
      <c r="AM108" s="17">
        <v>23777.245865767902</v>
      </c>
      <c r="AN108" s="18">
        <v>-1.318707075741E-3</v>
      </c>
      <c r="AO108" s="17">
        <v>9683.8406190464502</v>
      </c>
      <c r="AP108" s="18">
        <v>1.23772790996173E-2</v>
      </c>
      <c r="AQ108" s="17">
        <v>6875.8510339819904</v>
      </c>
      <c r="AR108" s="18">
        <v>-1.9885233319335599E-3</v>
      </c>
      <c r="AS108" s="17">
        <v>8153.1453335477099</v>
      </c>
      <c r="AT108" s="18">
        <v>1.9954815993475299E-2</v>
      </c>
      <c r="AU108" s="17">
        <v>1064.41211651955</v>
      </c>
      <c r="AV108" s="18">
        <v>0.11679046731489801</v>
      </c>
      <c r="AW108" s="17">
        <v>2122.0952364498198</v>
      </c>
      <c r="AX108" s="18">
        <v>2.1327957703462599E-2</v>
      </c>
      <c r="AY108" s="17">
        <v>453.801373634171</v>
      </c>
      <c r="AZ108" s="18">
        <v>5.1241607200993603E-3</v>
      </c>
      <c r="BA108" s="17">
        <v>4003.7439381210802</v>
      </c>
      <c r="BB108" s="18">
        <v>6.7407516487296704E-2</v>
      </c>
      <c r="BC108" s="17">
        <v>6920.2224429272201</v>
      </c>
      <c r="BD108" s="18">
        <v>4.6168046970109802E-2</v>
      </c>
      <c r="BE108" s="17">
        <v>-2946.8287469354</v>
      </c>
      <c r="BF108" s="18">
        <v>1.05214233419588E-2</v>
      </c>
      <c r="BG108" s="17"/>
      <c r="BH108" s="18"/>
    </row>
    <row r="109" spans="1:60" x14ac:dyDescent="0.2">
      <c r="A109" s="16">
        <v>2004</v>
      </c>
      <c r="B109" s="16">
        <v>2</v>
      </c>
      <c r="C109" s="17">
        <v>133300.94437581499</v>
      </c>
      <c r="D109" s="18">
        <v>3.4719897486955802E-2</v>
      </c>
      <c r="E109" s="17">
        <v>129214.65104579501</v>
      </c>
      <c r="F109" s="18">
        <v>3.2975592965981203E-2</v>
      </c>
      <c r="G109" s="17">
        <v>1217.6914146322499</v>
      </c>
      <c r="H109" s="18">
        <v>0.20986352982189199</v>
      </c>
      <c r="I109" s="17">
        <v>206.93120784456801</v>
      </c>
      <c r="J109" s="18">
        <v>4.9063463576158699E-2</v>
      </c>
      <c r="K109" s="17">
        <v>22225.656310813501</v>
      </c>
      <c r="L109" s="18">
        <v>3.1186401024166501E-2</v>
      </c>
      <c r="M109" s="17">
        <v>3685.45345388546</v>
      </c>
      <c r="N109" s="18">
        <v>8.7952139540862007E-2</v>
      </c>
      <c r="O109" s="17">
        <v>20088.489245356501</v>
      </c>
      <c r="P109" s="18">
        <v>1.2658984731703101E-2</v>
      </c>
      <c r="Q109" s="17">
        <v>3049.3558361472801</v>
      </c>
      <c r="R109" s="18">
        <v>-0.13516381082555901</v>
      </c>
      <c r="S109" s="17">
        <v>435.72785129460101</v>
      </c>
      <c r="T109" s="18">
        <v>8.3938358263547605E-2</v>
      </c>
      <c r="U109" s="17">
        <v>7271.8926945008798</v>
      </c>
      <c r="V109" s="18">
        <v>-3.2414388551986799E-2</v>
      </c>
      <c r="W109" s="17">
        <v>18430.678452599899</v>
      </c>
      <c r="X109" s="18">
        <v>7.7030912814577898E-2</v>
      </c>
      <c r="Y109" s="17">
        <v>4742.9799263942796</v>
      </c>
      <c r="Z109" s="18">
        <v>-6.6150947680424501E-3</v>
      </c>
      <c r="AA109" s="17">
        <v>6231.4506706521597</v>
      </c>
      <c r="AB109" s="18">
        <v>2.96171561810421E-2</v>
      </c>
      <c r="AC109" s="17">
        <v>3278.1943547194201</v>
      </c>
      <c r="AD109" s="18">
        <v>-3.2656855161141501E-2</v>
      </c>
      <c r="AE109" s="17">
        <v>5343.7611806090799</v>
      </c>
      <c r="AF109" s="18">
        <v>1.12850716242452E-2</v>
      </c>
      <c r="AG109" s="17">
        <v>10771.6768171117</v>
      </c>
      <c r="AH109" s="18">
        <v>7.1081856777618802E-2</v>
      </c>
      <c r="AI109" s="17">
        <v>5838.3397685187501</v>
      </c>
      <c r="AJ109" s="18">
        <v>0.10995573189220099</v>
      </c>
      <c r="AK109" s="17">
        <v>3515.3833733372499</v>
      </c>
      <c r="AL109" s="18">
        <v>-2.05075511634467E-3</v>
      </c>
      <c r="AM109" s="17">
        <v>23896.287850128399</v>
      </c>
      <c r="AN109" s="18">
        <v>1.13357942890477E-2</v>
      </c>
      <c r="AO109" s="17">
        <v>9758.6853928274504</v>
      </c>
      <c r="AP109" s="18">
        <v>1.9586773776405698E-2</v>
      </c>
      <c r="AQ109" s="17">
        <v>7052.0937251041996</v>
      </c>
      <c r="AR109" s="18">
        <v>2.6857519592373001E-2</v>
      </c>
      <c r="AS109" s="17">
        <v>8258.9141639667996</v>
      </c>
      <c r="AT109" s="18">
        <v>2.84369964749311E-2</v>
      </c>
      <c r="AU109" s="17">
        <v>1284.9814050478401</v>
      </c>
      <c r="AV109" s="18">
        <v>0.37293188597902499</v>
      </c>
      <c r="AW109" s="17">
        <v>2121.85586487603</v>
      </c>
      <c r="AX109" s="18">
        <v>1.9235783702139499E-2</v>
      </c>
      <c r="AY109" s="17">
        <v>456.00634625334101</v>
      </c>
      <c r="AZ109" s="18">
        <v>1.05147009168651E-2</v>
      </c>
      <c r="BA109" s="17">
        <v>4106.7019093388299</v>
      </c>
      <c r="BB109" s="18">
        <v>8.0702644238419996E-2</v>
      </c>
      <c r="BC109" s="17">
        <v>7031.7321654530397</v>
      </c>
      <c r="BD109" s="18">
        <v>5.2181178390637399E-2</v>
      </c>
      <c r="BE109" s="17">
        <v>-2944.4900770958002</v>
      </c>
      <c r="BF109" s="18">
        <v>4.11302485142562E-3</v>
      </c>
      <c r="BG109" s="17"/>
      <c r="BH109" s="18"/>
    </row>
    <row r="110" spans="1:60" x14ac:dyDescent="0.2">
      <c r="A110" s="16">
        <v>2004</v>
      </c>
      <c r="B110" s="16">
        <v>3</v>
      </c>
      <c r="C110" s="17">
        <v>132832.99456544701</v>
      </c>
      <c r="D110" s="18">
        <v>2.5686800018402501E-2</v>
      </c>
      <c r="E110" s="17">
        <v>128769.732146518</v>
      </c>
      <c r="F110" s="18">
        <v>2.4216537438833698E-2</v>
      </c>
      <c r="G110" s="17">
        <v>1235.8301052122899</v>
      </c>
      <c r="H110" s="18">
        <v>0.21997609860633999</v>
      </c>
      <c r="I110" s="17">
        <v>206.825185003851</v>
      </c>
      <c r="J110" s="18">
        <v>7.0827075216645996E-2</v>
      </c>
      <c r="K110" s="17">
        <v>21652.822779579699</v>
      </c>
      <c r="L110" s="18">
        <v>1.30510773486086E-2</v>
      </c>
      <c r="M110" s="17">
        <v>3578.3170368221599</v>
      </c>
      <c r="N110" s="18">
        <v>7.2551588000696401E-2</v>
      </c>
      <c r="O110" s="17">
        <v>19593.980641335798</v>
      </c>
      <c r="P110" s="18">
        <v>-6.20174676959273E-3</v>
      </c>
      <c r="Q110" s="17">
        <v>3109.1127794031499</v>
      </c>
      <c r="R110" s="18">
        <v>-8.7772178383579105E-2</v>
      </c>
      <c r="S110" s="17">
        <v>435.73127226013401</v>
      </c>
      <c r="T110" s="18">
        <v>5.4833766715087801E-2</v>
      </c>
      <c r="U110" s="17">
        <v>7465.8772580628702</v>
      </c>
      <c r="V110" s="18">
        <v>-1.3134205086113E-2</v>
      </c>
      <c r="W110" s="17">
        <v>17838.061592605402</v>
      </c>
      <c r="X110" s="18">
        <v>5.13935326718922E-2</v>
      </c>
      <c r="Y110" s="17">
        <v>4714.4063331565003</v>
      </c>
      <c r="Z110" s="18">
        <v>-7.0970696220253896E-3</v>
      </c>
      <c r="AA110" s="17">
        <v>6319.0007803994704</v>
      </c>
      <c r="AB110" s="18">
        <v>3.9235719950464903E-2</v>
      </c>
      <c r="AC110" s="17">
        <v>3595.7353216497199</v>
      </c>
      <c r="AD110" s="18">
        <v>-3.3009249850798103E-2</v>
      </c>
      <c r="AE110" s="17">
        <v>5554.0183900420298</v>
      </c>
      <c r="AF110" s="18">
        <v>5.0031055044422998E-2</v>
      </c>
      <c r="AG110" s="17">
        <v>10581.818797927899</v>
      </c>
      <c r="AH110" s="18">
        <v>1.6286213475062102E-2</v>
      </c>
      <c r="AI110" s="17">
        <v>5683.4808383252503</v>
      </c>
      <c r="AJ110" s="18">
        <v>3.1356579063313197E-2</v>
      </c>
      <c r="AK110" s="17">
        <v>3514.4322774808202</v>
      </c>
      <c r="AL110" s="18">
        <v>-1.6808826777554998E-2</v>
      </c>
      <c r="AM110" s="17">
        <v>24024.6925729205</v>
      </c>
      <c r="AN110" s="18">
        <v>1.8540389060168101E-2</v>
      </c>
      <c r="AO110" s="17">
        <v>9740.2263036734403</v>
      </c>
      <c r="AP110" s="18">
        <v>8.6537175595795494E-3</v>
      </c>
      <c r="AQ110" s="17">
        <v>7031.2107978608601</v>
      </c>
      <c r="AR110" s="18">
        <v>1.8802908556283301E-2</v>
      </c>
      <c r="AS110" s="17">
        <v>8347.0224672939803</v>
      </c>
      <c r="AT110" s="18">
        <v>2.0847818117359699E-2</v>
      </c>
      <c r="AU110" s="17">
        <v>1508.41182359656</v>
      </c>
      <c r="AV110" s="18">
        <v>0.59371688359983299</v>
      </c>
      <c r="AW110" s="17">
        <v>2135.1895980305198</v>
      </c>
      <c r="AX110" s="18">
        <v>1.30053615145662E-2</v>
      </c>
      <c r="AY110" s="17">
        <v>458.48995344701598</v>
      </c>
      <c r="AZ110" s="18">
        <v>1.3546536211621199E-2</v>
      </c>
      <c r="BA110" s="17">
        <v>4085.3100527517099</v>
      </c>
      <c r="BB110" s="18">
        <v>6.4315513665408802E-2</v>
      </c>
      <c r="BC110" s="17">
        <v>7018.7932417415204</v>
      </c>
      <c r="BD110" s="18">
        <v>4.0012742969895501E-2</v>
      </c>
      <c r="BE110" s="17">
        <v>-2957.0025249594</v>
      </c>
      <c r="BF110" s="18">
        <v>-9.9068816331271403E-4</v>
      </c>
      <c r="BG110" s="17"/>
      <c r="BH110" s="18"/>
    </row>
    <row r="111" spans="1:60" x14ac:dyDescent="0.2">
      <c r="A111" s="16">
        <v>2004</v>
      </c>
      <c r="B111" s="16">
        <v>4</v>
      </c>
      <c r="C111" s="17">
        <v>137351.75801146199</v>
      </c>
      <c r="D111" s="18">
        <v>1.6807898578905099E-2</v>
      </c>
      <c r="E111" s="17">
        <v>133100.11071224199</v>
      </c>
      <c r="F111" s="18">
        <v>1.5928700190073E-2</v>
      </c>
      <c r="G111" s="17">
        <v>1230.90729770234</v>
      </c>
      <c r="H111" s="18">
        <v>0.16343883856935201</v>
      </c>
      <c r="I111" s="17">
        <v>192.32062858049201</v>
      </c>
      <c r="J111" s="18">
        <v>3.6193786116425201E-2</v>
      </c>
      <c r="K111" s="17">
        <v>22742.974151123599</v>
      </c>
      <c r="L111" s="18">
        <v>8.1228178517638305E-3</v>
      </c>
      <c r="M111" s="17">
        <v>3562.4416784362802</v>
      </c>
      <c r="N111" s="18">
        <v>5.3275210001528399E-2</v>
      </c>
      <c r="O111" s="17">
        <v>20955.501983505099</v>
      </c>
      <c r="P111" s="18">
        <v>-5.7757576445408602E-3</v>
      </c>
      <c r="Q111" s="17">
        <v>3100.80335372937</v>
      </c>
      <c r="R111" s="18">
        <v>7.6234686620519901E-3</v>
      </c>
      <c r="S111" s="17">
        <v>427.02740238577798</v>
      </c>
      <c r="T111" s="18">
        <v>1.7704554417248101E-2</v>
      </c>
      <c r="U111" s="17">
        <v>7403.5587466378201</v>
      </c>
      <c r="V111" s="18">
        <v>-1.08595639006585E-2</v>
      </c>
      <c r="W111" s="17">
        <v>20291.8073894763</v>
      </c>
      <c r="X111" s="18">
        <v>3.0558875913256501E-2</v>
      </c>
      <c r="Y111" s="17">
        <v>5242.9476100096699</v>
      </c>
      <c r="Z111" s="18">
        <v>-8.0502575630185796E-3</v>
      </c>
      <c r="AA111" s="17">
        <v>6580.7024707619903</v>
      </c>
      <c r="AB111" s="18">
        <v>3.3508934976423703E-2</v>
      </c>
      <c r="AC111" s="17">
        <v>3017.70686265316</v>
      </c>
      <c r="AD111" s="18">
        <v>-3.2859602548755501E-2</v>
      </c>
      <c r="AE111" s="17">
        <v>5973.9621428110004</v>
      </c>
      <c r="AF111" s="18">
        <v>3.15147036110019E-2</v>
      </c>
      <c r="AG111" s="17">
        <v>10931.237549195001</v>
      </c>
      <c r="AH111" s="18">
        <v>-2.6381160466025801E-3</v>
      </c>
      <c r="AI111" s="17">
        <v>6009.4814342793898</v>
      </c>
      <c r="AJ111" s="18">
        <v>6.1574563652169196E-3</v>
      </c>
      <c r="AK111" s="17">
        <v>3532.93725415985</v>
      </c>
      <c r="AL111" s="18">
        <v>-1.29784983950685E-2</v>
      </c>
      <c r="AM111" s="17">
        <v>24106.864745708899</v>
      </c>
      <c r="AN111" s="18">
        <v>1.5837399549385001E-2</v>
      </c>
      <c r="AO111" s="17">
        <v>9772.8893338704602</v>
      </c>
      <c r="AP111" s="18">
        <v>7.4238951391536502E-3</v>
      </c>
      <c r="AQ111" s="17">
        <v>7045.7678963427097</v>
      </c>
      <c r="AR111" s="18">
        <v>2.61517333952122E-2</v>
      </c>
      <c r="AS111" s="17">
        <v>8287.9089709641103</v>
      </c>
      <c r="AT111" s="18">
        <v>1.1350073127932601E-2</v>
      </c>
      <c r="AU111" s="17">
        <v>1208.1689659506601</v>
      </c>
      <c r="AV111" s="18">
        <v>0.25720551005846898</v>
      </c>
      <c r="AW111" s="17">
        <v>2109.4552391628699</v>
      </c>
      <c r="AX111" s="18">
        <v>1.1618848105264101E-2</v>
      </c>
      <c r="AY111" s="17">
        <v>460.86696229084203</v>
      </c>
      <c r="AZ111" s="18">
        <v>1.7700118726600999E-2</v>
      </c>
      <c r="BA111" s="17">
        <v>4264.56622899179</v>
      </c>
      <c r="BB111" s="18">
        <v>3.97224488544414E-2</v>
      </c>
      <c r="BC111" s="17">
        <v>7215.1563483869204</v>
      </c>
      <c r="BD111" s="18">
        <v>2.62248116975119E-2</v>
      </c>
      <c r="BE111" s="17">
        <v>-2955.5381019988099</v>
      </c>
      <c r="BF111" s="18">
        <v>2.4424303315719901E-3</v>
      </c>
      <c r="BG111" s="17"/>
      <c r="BH111" s="18"/>
    </row>
    <row r="112" spans="1:60" x14ac:dyDescent="0.2">
      <c r="A112" s="16">
        <v>2005</v>
      </c>
      <c r="B112" s="16">
        <v>1</v>
      </c>
      <c r="C112" s="17">
        <v>133527.82277894401</v>
      </c>
      <c r="D112" s="18">
        <v>1.6879454127419799E-2</v>
      </c>
      <c r="E112" s="17">
        <v>129457.312317997</v>
      </c>
      <c r="F112" s="18">
        <v>1.6643710167797199E-2</v>
      </c>
      <c r="G112" s="17">
        <v>1190.5582631275099</v>
      </c>
      <c r="H112" s="18">
        <v>1.8108070703124E-2</v>
      </c>
      <c r="I112" s="17">
        <v>176.435066261678</v>
      </c>
      <c r="J112" s="18">
        <v>2.9529926395803499E-2</v>
      </c>
      <c r="K112" s="17">
        <v>21838.828470380398</v>
      </c>
      <c r="L112" s="18">
        <v>1.03234934368068E-2</v>
      </c>
      <c r="M112" s="17">
        <v>3803.6534864918199</v>
      </c>
      <c r="N112" s="18">
        <v>5.5245802533216502E-2</v>
      </c>
      <c r="O112" s="17">
        <v>19394.7649215397</v>
      </c>
      <c r="P112" s="18">
        <v>-5.3201191413095898E-3</v>
      </c>
      <c r="Q112" s="17">
        <v>3280.0707829497001</v>
      </c>
      <c r="R112" s="18">
        <v>8.3787844805547795E-2</v>
      </c>
      <c r="S112" s="17">
        <v>449.78464346657103</v>
      </c>
      <c r="T112" s="18">
        <v>5.9981244529840702E-2</v>
      </c>
      <c r="U112" s="17">
        <v>6721.1454039869895</v>
      </c>
      <c r="V112" s="18">
        <v>-1.4955486369735101E-2</v>
      </c>
      <c r="W112" s="17">
        <v>18072.656863825301</v>
      </c>
      <c r="X112" s="18">
        <v>2.24212076727663E-2</v>
      </c>
      <c r="Y112" s="17">
        <v>4765.8763363031103</v>
      </c>
      <c r="Z112" s="18">
        <v>-4.0322347884782497E-3</v>
      </c>
      <c r="AA112" s="17">
        <v>6374.3853746319</v>
      </c>
      <c r="AB112" s="18">
        <v>1.0987549042296599E-2</v>
      </c>
      <c r="AC112" s="17">
        <v>3469.9181778768202</v>
      </c>
      <c r="AD112" s="18">
        <v>1.3462527300660301E-2</v>
      </c>
      <c r="AE112" s="17">
        <v>5793.4894508608604</v>
      </c>
      <c r="AF112" s="18">
        <v>2.7121548206005899E-2</v>
      </c>
      <c r="AG112" s="17">
        <v>11057.526222188801</v>
      </c>
      <c r="AH112" s="18">
        <v>1.0489420981915999E-2</v>
      </c>
      <c r="AI112" s="17">
        <v>6103.4758003563402</v>
      </c>
      <c r="AJ112" s="18">
        <v>1.96956747561923E-2</v>
      </c>
      <c r="AK112" s="17">
        <v>3570.6127160934702</v>
      </c>
      <c r="AL112" s="18">
        <v>9.6198774543012604E-3</v>
      </c>
      <c r="AM112" s="17">
        <v>24262.924667986601</v>
      </c>
      <c r="AN112" s="18">
        <v>2.0426200955338401E-2</v>
      </c>
      <c r="AO112" s="17">
        <v>9809.4808695248394</v>
      </c>
      <c r="AP112" s="18">
        <v>1.2974217092263301E-2</v>
      </c>
      <c r="AQ112" s="17">
        <v>7122.3729549876498</v>
      </c>
      <c r="AR112" s="18">
        <v>3.58532958010995E-2</v>
      </c>
      <c r="AS112" s="17">
        <v>8328.2343137660901</v>
      </c>
      <c r="AT112" s="18">
        <v>2.1475022590109499E-2</v>
      </c>
      <c r="AU112" s="17">
        <v>1075.68051591535</v>
      </c>
      <c r="AV112" s="18">
        <v>1.0586500492542301E-2</v>
      </c>
      <c r="AW112" s="17">
        <v>2109.2862484424199</v>
      </c>
      <c r="AX112" s="18">
        <v>-6.0360099713696602E-3</v>
      </c>
      <c r="AY112" s="17">
        <v>463.34407150151401</v>
      </c>
      <c r="AZ112" s="18">
        <v>2.10283582681168E-2</v>
      </c>
      <c r="BA112" s="17">
        <v>4095.2798098078802</v>
      </c>
      <c r="BB112" s="18">
        <v>2.28625689108766E-2</v>
      </c>
      <c r="BC112" s="17">
        <v>7030.0710801295199</v>
      </c>
      <c r="BD112" s="18">
        <v>1.5873570265732901E-2</v>
      </c>
      <c r="BE112" s="17">
        <v>-2957.1927640267299</v>
      </c>
      <c r="BF112" s="18">
        <v>3.5170069187477901E-3</v>
      </c>
      <c r="BG112" s="17"/>
      <c r="BH112" s="18"/>
    </row>
    <row r="113" spans="1:60" x14ac:dyDescent="0.2">
      <c r="A113" s="16">
        <v>2005</v>
      </c>
      <c r="B113" s="16">
        <v>2</v>
      </c>
      <c r="C113" s="17">
        <v>136974.064409938</v>
      </c>
      <c r="D113" s="18">
        <v>2.75550938616618E-2</v>
      </c>
      <c r="E113" s="17">
        <v>132775.34401184801</v>
      </c>
      <c r="F113" s="18">
        <v>2.7556418233026798E-2</v>
      </c>
      <c r="G113" s="17">
        <v>1173.03345133934</v>
      </c>
      <c r="H113" s="18">
        <v>-3.6674286076319597E-2</v>
      </c>
      <c r="I113" s="17">
        <v>221.244258942664</v>
      </c>
      <c r="J113" s="18">
        <v>6.91681609902286E-2</v>
      </c>
      <c r="K113" s="17">
        <v>23499.8388936872</v>
      </c>
      <c r="L113" s="18">
        <v>5.7329356895246E-2</v>
      </c>
      <c r="M113" s="17">
        <v>3966.5837567914</v>
      </c>
      <c r="N113" s="18">
        <v>7.6281061862158606E-2</v>
      </c>
      <c r="O113" s="17">
        <v>21109.050991949702</v>
      </c>
      <c r="P113" s="18">
        <v>5.0803310001478197E-2</v>
      </c>
      <c r="Q113" s="17">
        <v>3126.53289477626</v>
      </c>
      <c r="R113" s="18">
        <v>2.5309299004765001E-2</v>
      </c>
      <c r="S113" s="17">
        <v>488.07326244211401</v>
      </c>
      <c r="T113" s="18">
        <v>0.120133268947552</v>
      </c>
      <c r="U113" s="17">
        <v>7566.7821013441899</v>
      </c>
      <c r="V113" s="18">
        <v>4.0551946959601397E-2</v>
      </c>
      <c r="W113" s="17">
        <v>18943.8153607721</v>
      </c>
      <c r="X113" s="18">
        <v>2.7841455185270401E-2</v>
      </c>
      <c r="Y113" s="17">
        <v>4866.7660019519699</v>
      </c>
      <c r="Z113" s="18">
        <v>2.6098798113992201E-2</v>
      </c>
      <c r="AA113" s="17">
        <v>6212.2249010969299</v>
      </c>
      <c r="AB113" s="18">
        <v>-3.0852799085415699E-3</v>
      </c>
      <c r="AC113" s="17">
        <v>3234.05185311998</v>
      </c>
      <c r="AD113" s="18">
        <v>-1.34654925312435E-2</v>
      </c>
      <c r="AE113" s="17">
        <v>5555.4905684611904</v>
      </c>
      <c r="AF113" s="18">
        <v>3.96217908503129E-2</v>
      </c>
      <c r="AG113" s="17">
        <v>11125.135958301</v>
      </c>
      <c r="AH113" s="18">
        <v>3.2813752880868297E-2</v>
      </c>
      <c r="AI113" s="17">
        <v>6126.7582504122001</v>
      </c>
      <c r="AJ113" s="18">
        <v>4.9400770309507597E-2</v>
      </c>
      <c r="AK113" s="17">
        <v>3605.9425178504598</v>
      </c>
      <c r="AL113" s="18">
        <v>2.5760816074875199E-2</v>
      </c>
      <c r="AM113" s="17">
        <v>24577.646608155301</v>
      </c>
      <c r="AN113" s="18">
        <v>2.8513163312237501E-2</v>
      </c>
      <c r="AO113" s="17">
        <v>9789.8469640877302</v>
      </c>
      <c r="AP113" s="18">
        <v>3.1932140453252399E-3</v>
      </c>
      <c r="AQ113" s="17">
        <v>7141.93876346447</v>
      </c>
      <c r="AR113" s="18">
        <v>1.27401934606224E-2</v>
      </c>
      <c r="AS113" s="17">
        <v>8288.8649301384503</v>
      </c>
      <c r="AT113" s="18">
        <v>3.6264774735543801E-3</v>
      </c>
      <c r="AU113" s="17">
        <v>1063.46513652159</v>
      </c>
      <c r="AV113" s="18">
        <v>-0.172388695786619</v>
      </c>
      <c r="AW113" s="17">
        <v>2122.5607464518098</v>
      </c>
      <c r="AX113" s="18">
        <v>3.3220049836679699E-4</v>
      </c>
      <c r="AY113" s="17">
        <v>465.72629645978901</v>
      </c>
      <c r="AZ113" s="18">
        <v>2.1315383626367101E-2</v>
      </c>
      <c r="BA113" s="17">
        <v>4219.7657932184902</v>
      </c>
      <c r="BB113" s="18">
        <v>2.7531553634936499E-2</v>
      </c>
      <c r="BC113" s="17">
        <v>7167.5156511754303</v>
      </c>
      <c r="BD113" s="18">
        <v>1.9310104896982601E-2</v>
      </c>
      <c r="BE113" s="17">
        <v>-2958.0823331421102</v>
      </c>
      <c r="BF113" s="18">
        <v>4.6161663617219099E-3</v>
      </c>
      <c r="BG113" s="17"/>
      <c r="BH113" s="18"/>
    </row>
    <row r="114" spans="1:60" x14ac:dyDescent="0.2">
      <c r="A114" s="16">
        <v>2005</v>
      </c>
      <c r="B114" s="16">
        <v>3</v>
      </c>
      <c r="C114" s="17">
        <v>137404.13843522701</v>
      </c>
      <c r="D114" s="18">
        <v>3.4412714135778601E-2</v>
      </c>
      <c r="E114" s="17">
        <v>133200.623402572</v>
      </c>
      <c r="F114" s="18">
        <v>3.4409415801318601E-2</v>
      </c>
      <c r="G114" s="17">
        <v>1163.4189128755499</v>
      </c>
      <c r="H114" s="18">
        <v>-5.85931610108337E-2</v>
      </c>
      <c r="I114" s="17">
        <v>209.98802165463201</v>
      </c>
      <c r="J114" s="18">
        <v>1.52923187315028E-2</v>
      </c>
      <c r="K114" s="17">
        <v>22996.480334703701</v>
      </c>
      <c r="L114" s="18">
        <v>6.20546137934119E-2</v>
      </c>
      <c r="M114" s="17">
        <v>3862.49693898442</v>
      </c>
      <c r="N114" s="18">
        <v>7.9417195077448294E-2</v>
      </c>
      <c r="O114" s="17">
        <v>20693.096831668601</v>
      </c>
      <c r="P114" s="18">
        <v>5.6094583864911202E-2</v>
      </c>
      <c r="Q114" s="17">
        <v>3252.05509543784</v>
      </c>
      <c r="R114" s="18">
        <v>4.5975275320223198E-2</v>
      </c>
      <c r="S114" s="17">
        <v>472.54020607955101</v>
      </c>
      <c r="T114" s="18">
        <v>8.4476226892070697E-2</v>
      </c>
      <c r="U114" s="17">
        <v>7741.5579720485903</v>
      </c>
      <c r="V114" s="18">
        <v>3.6925428112013901E-2</v>
      </c>
      <c r="W114" s="17">
        <v>18583.338151107801</v>
      </c>
      <c r="X114" s="18">
        <v>4.1780131469628903E-2</v>
      </c>
      <c r="Y114" s="17">
        <v>4884.7508140099699</v>
      </c>
      <c r="Z114" s="18">
        <v>3.6132753270635497E-2</v>
      </c>
      <c r="AA114" s="17">
        <v>6285.5051502206898</v>
      </c>
      <c r="AB114" s="18">
        <v>-5.3007795603824404E-3</v>
      </c>
      <c r="AC114" s="17">
        <v>3679.7660661947998</v>
      </c>
      <c r="AD114" s="18">
        <v>2.33695578312265E-2</v>
      </c>
      <c r="AE114" s="17">
        <v>5823.3382192296804</v>
      </c>
      <c r="AF114" s="18">
        <v>4.8490986214687198E-2</v>
      </c>
      <c r="AG114" s="17">
        <v>11341.963414636</v>
      </c>
      <c r="AH114" s="18">
        <v>7.1834968186844594E-2</v>
      </c>
      <c r="AI114" s="17">
        <v>6260.6373116608602</v>
      </c>
      <c r="AJ114" s="18">
        <v>0.101549823031634</v>
      </c>
      <c r="AK114" s="17">
        <v>3639.0864351667401</v>
      </c>
      <c r="AL114" s="18">
        <v>3.5469216033741098E-2</v>
      </c>
      <c r="AM114" s="17">
        <v>24735.5268229879</v>
      </c>
      <c r="AN114" s="18">
        <v>2.9587652283577601E-2</v>
      </c>
      <c r="AO114" s="17">
        <v>9744.9219059631505</v>
      </c>
      <c r="AP114" s="18">
        <v>4.82083489984797E-4</v>
      </c>
      <c r="AQ114" s="17">
        <v>7078.8072798887697</v>
      </c>
      <c r="AR114" s="18">
        <v>6.7693151857120002E-3</v>
      </c>
      <c r="AS114" s="17">
        <v>8405.2527303559109</v>
      </c>
      <c r="AT114" s="18">
        <v>6.9761718373337897E-3</v>
      </c>
      <c r="AU114" s="17">
        <v>1081.1493720795399</v>
      </c>
      <c r="AV114" s="18">
        <v>-0.283253183801143</v>
      </c>
      <c r="AW114" s="17">
        <v>2157.3039034114599</v>
      </c>
      <c r="AX114" s="18">
        <v>1.0357068712465001E-2</v>
      </c>
      <c r="AY114" s="17">
        <v>467.60016993577199</v>
      </c>
      <c r="AZ114" s="18">
        <v>1.98700460506578E-2</v>
      </c>
      <c r="BA114" s="17">
        <v>4226.2073229769403</v>
      </c>
      <c r="BB114" s="18">
        <v>3.4488758112821698E-2</v>
      </c>
      <c r="BC114" s="17">
        <v>7192.08226559778</v>
      </c>
      <c r="BD114" s="18">
        <v>2.46892902936207E-2</v>
      </c>
      <c r="BE114" s="17">
        <v>-2978.5014684672401</v>
      </c>
      <c r="BF114" s="18">
        <v>7.27051915795474E-3</v>
      </c>
      <c r="BG114" s="17"/>
      <c r="BH114" s="18"/>
    </row>
    <row r="115" spans="1:60" x14ac:dyDescent="0.2">
      <c r="A115" s="16">
        <v>2005</v>
      </c>
      <c r="B115" s="16">
        <v>4</v>
      </c>
      <c r="C115" s="17">
        <v>142678.69314618499</v>
      </c>
      <c r="D115" s="18">
        <v>3.8783159472035603E-2</v>
      </c>
      <c r="E115" s="17">
        <v>138207.781911103</v>
      </c>
      <c r="F115" s="18">
        <v>3.83746577784903E-2</v>
      </c>
      <c r="G115" s="17">
        <v>1150.1598505970001</v>
      </c>
      <c r="H115" s="18">
        <v>-6.5599941812084103E-2</v>
      </c>
      <c r="I115" s="17">
        <v>196.00354276196299</v>
      </c>
      <c r="J115" s="18">
        <v>1.91498655586484E-2</v>
      </c>
      <c r="K115" s="17">
        <v>24286.244386235001</v>
      </c>
      <c r="L115" s="18">
        <v>6.7857010470866494E-2</v>
      </c>
      <c r="M115" s="17">
        <v>3899.0359362437998</v>
      </c>
      <c r="N115" s="18">
        <v>9.4484145479473994E-2</v>
      </c>
      <c r="O115" s="17">
        <v>22194.519023381701</v>
      </c>
      <c r="P115" s="18">
        <v>5.9126096852837297E-2</v>
      </c>
      <c r="Q115" s="17">
        <v>3285.8467354392101</v>
      </c>
      <c r="R115" s="18">
        <v>5.9675948649654503E-2</v>
      </c>
      <c r="S115" s="17">
        <v>481.49985545748899</v>
      </c>
      <c r="T115" s="18">
        <v>0.12756196152138299</v>
      </c>
      <c r="U115" s="17">
        <v>7661.8875579630703</v>
      </c>
      <c r="V115" s="18">
        <v>3.4892518607022603E-2</v>
      </c>
      <c r="W115" s="17">
        <v>20989.560872859001</v>
      </c>
      <c r="X115" s="18">
        <v>3.4385970159789302E-2</v>
      </c>
      <c r="Y115" s="17">
        <v>5420.28443768541</v>
      </c>
      <c r="Z115" s="18">
        <v>3.38238794027204E-2</v>
      </c>
      <c r="AA115" s="17">
        <v>6660.47460438697</v>
      </c>
      <c r="AB115" s="18">
        <v>1.2122130422915101E-2</v>
      </c>
      <c r="AC115" s="17">
        <v>3092.1926177794999</v>
      </c>
      <c r="AD115" s="18">
        <v>2.4682899471834201E-2</v>
      </c>
      <c r="AE115" s="17">
        <v>6309.1469943296797</v>
      </c>
      <c r="AF115" s="18">
        <v>5.61076289915967E-2</v>
      </c>
      <c r="AG115" s="17">
        <v>11897.2551197087</v>
      </c>
      <c r="AH115" s="18">
        <v>8.8372205449397404E-2</v>
      </c>
      <c r="AI115" s="17">
        <v>6695.3005374815602</v>
      </c>
      <c r="AJ115" s="18">
        <v>0.114122842495212</v>
      </c>
      <c r="AK115" s="17">
        <v>3670.14638213123</v>
      </c>
      <c r="AL115" s="18">
        <v>3.8837125626790502E-2</v>
      </c>
      <c r="AM115" s="17">
        <v>24653.8923693658</v>
      </c>
      <c r="AN115" s="18">
        <v>2.26917780236955E-2</v>
      </c>
      <c r="AO115" s="17">
        <v>9769.1949753839799</v>
      </c>
      <c r="AP115" s="18">
        <v>-3.7802111128792899E-4</v>
      </c>
      <c r="AQ115" s="17">
        <v>6990.5017044312899</v>
      </c>
      <c r="AR115" s="18">
        <v>-7.8438848290908192E-3</v>
      </c>
      <c r="AS115" s="17">
        <v>8376.0205991574603</v>
      </c>
      <c r="AT115" s="18">
        <v>1.06313460369845E-2</v>
      </c>
      <c r="AU115" s="17">
        <v>1050.17255492343</v>
      </c>
      <c r="AV115" s="18">
        <v>-0.130773439378079</v>
      </c>
      <c r="AW115" s="17">
        <v>2160.1170202233502</v>
      </c>
      <c r="AX115" s="18">
        <v>2.4016523375288298E-2</v>
      </c>
      <c r="AY115" s="17">
        <v>468.61221190534502</v>
      </c>
      <c r="AZ115" s="18">
        <v>1.6805825212559598E-2</v>
      </c>
      <c r="BA115" s="17">
        <v>4474.4924668808799</v>
      </c>
      <c r="BB115" s="18">
        <v>4.92256953267491E-2</v>
      </c>
      <c r="BC115" s="17">
        <v>7439.1987177563797</v>
      </c>
      <c r="BD115" s="18">
        <v>3.1051630560930101E-2</v>
      </c>
      <c r="BE115" s="17">
        <v>-2948.7442729336199</v>
      </c>
      <c r="BF115" s="18">
        <v>-2.2986775438936799E-3</v>
      </c>
      <c r="BG115" s="17"/>
      <c r="BH115" s="18"/>
    </row>
    <row r="116" spans="1:60" x14ac:dyDescent="0.2">
      <c r="A116" s="16">
        <v>2006</v>
      </c>
      <c r="B116" s="16">
        <v>1</v>
      </c>
      <c r="C116" s="17">
        <v>139844.345529457</v>
      </c>
      <c r="D116" s="18">
        <v>4.7304918323798399E-2</v>
      </c>
      <c r="E116" s="17">
        <v>135458.74228738801</v>
      </c>
      <c r="F116" s="18">
        <v>4.6358369889910801E-2</v>
      </c>
      <c r="G116" s="17">
        <v>1121.6324832417099</v>
      </c>
      <c r="H116" s="18">
        <v>-5.7893663855420899E-2</v>
      </c>
      <c r="I116" s="17">
        <v>168.53762362981701</v>
      </c>
      <c r="J116" s="18">
        <v>-4.4761184945784599E-2</v>
      </c>
      <c r="K116" s="17">
        <v>23781.2980580568</v>
      </c>
      <c r="L116" s="18">
        <v>8.89456863636717E-2</v>
      </c>
      <c r="M116" s="17">
        <v>4174.7659831352703</v>
      </c>
      <c r="N116" s="18">
        <v>9.7567377775449604E-2</v>
      </c>
      <c r="O116" s="17">
        <v>21063.637868519902</v>
      </c>
      <c r="P116" s="18">
        <v>8.6047598603620198E-2</v>
      </c>
      <c r="Q116" s="17">
        <v>3267.59126577595</v>
      </c>
      <c r="R116" s="18">
        <v>-3.80464874069553E-3</v>
      </c>
      <c r="S116" s="17">
        <v>493.88648729864201</v>
      </c>
      <c r="T116" s="18">
        <v>9.8051021689336201E-2</v>
      </c>
      <c r="U116" s="17">
        <v>6844.5725679377401</v>
      </c>
      <c r="V116" s="18">
        <v>1.8364007402300798E-2</v>
      </c>
      <c r="W116" s="17">
        <v>18873.600900547201</v>
      </c>
      <c r="X116" s="18">
        <v>4.43180016506124E-2</v>
      </c>
      <c r="Y116" s="17">
        <v>4821.5021058251596</v>
      </c>
      <c r="Z116" s="18">
        <v>1.1671677063530801E-2</v>
      </c>
      <c r="AA116" s="17">
        <v>6606.8545747034996</v>
      </c>
      <c r="AB116" s="18">
        <v>3.6469272943043397E-2</v>
      </c>
      <c r="AC116" s="17">
        <v>3534.1060420162398</v>
      </c>
      <c r="AD116" s="18">
        <v>1.8498379745282501E-2</v>
      </c>
      <c r="AE116" s="17">
        <v>6125.9342398471299</v>
      </c>
      <c r="AF116" s="18">
        <v>5.7382479385867498E-2</v>
      </c>
      <c r="AG116" s="17">
        <v>12117.2005204664</v>
      </c>
      <c r="AH116" s="18">
        <v>9.5832854201259907E-2</v>
      </c>
      <c r="AI116" s="17">
        <v>6798.8360453755804</v>
      </c>
      <c r="AJ116" s="18">
        <v>0.113928565912991</v>
      </c>
      <c r="AK116" s="17">
        <v>3699.1691089117799</v>
      </c>
      <c r="AL116" s="18">
        <v>3.6004014728027799E-2</v>
      </c>
      <c r="AM116" s="17">
        <v>24880.079037476</v>
      </c>
      <c r="AN116" s="18">
        <v>2.5436107886189101E-2</v>
      </c>
      <c r="AO116" s="17">
        <v>9864.8407296908208</v>
      </c>
      <c r="AP116" s="18">
        <v>5.6435055944672498E-3</v>
      </c>
      <c r="AQ116" s="17">
        <v>7059.04035517793</v>
      </c>
      <c r="AR116" s="18">
        <v>-8.8920645141675695E-3</v>
      </c>
      <c r="AS116" s="17">
        <v>8353.0542763939393</v>
      </c>
      <c r="AT116" s="18">
        <v>2.9802190587775398E-3</v>
      </c>
      <c r="AU116" s="17">
        <v>1387.8256949668801</v>
      </c>
      <c r="AV116" s="18">
        <v>0.29018391095975798</v>
      </c>
      <c r="AW116" s="17">
        <v>2159.3540985299701</v>
      </c>
      <c r="AX116" s="18">
        <v>2.3736868395424701E-2</v>
      </c>
      <c r="AY116" s="17">
        <v>468.85975715565399</v>
      </c>
      <c r="AZ116" s="18">
        <v>1.19040816390847E-2</v>
      </c>
      <c r="BA116" s="17">
        <v>4390.3910363946998</v>
      </c>
      <c r="BB116" s="18">
        <v>7.2061309676582794E-2</v>
      </c>
      <c r="BC116" s="17">
        <v>7345.1443020684101</v>
      </c>
      <c r="BD116" s="18">
        <v>4.4817928346335197E-2</v>
      </c>
      <c r="BE116" s="17">
        <v>-2949.5162946422502</v>
      </c>
      <c r="BF116" s="18">
        <v>-2.5958637116465502E-3</v>
      </c>
      <c r="BG116" s="17"/>
      <c r="BH116" s="18"/>
    </row>
    <row r="117" spans="1:60" x14ac:dyDescent="0.2">
      <c r="A117" s="16">
        <v>2006</v>
      </c>
      <c r="B117" s="16">
        <v>2</v>
      </c>
      <c r="C117" s="17">
        <v>142138.05541687901</v>
      </c>
      <c r="D117" s="18">
        <v>3.7700502129263597E-2</v>
      </c>
      <c r="E117" s="17">
        <v>137629.84650906501</v>
      </c>
      <c r="F117" s="18">
        <v>3.6561776837002603E-2</v>
      </c>
      <c r="G117" s="17">
        <v>1111.3500491100599</v>
      </c>
      <c r="H117" s="18">
        <v>-5.2584521062765302E-2</v>
      </c>
      <c r="I117" s="17">
        <v>203.934193864956</v>
      </c>
      <c r="J117" s="18">
        <v>-7.8239612455632698E-2</v>
      </c>
      <c r="K117" s="17">
        <v>24541.6082234239</v>
      </c>
      <c r="L117" s="18">
        <v>4.4330913690498401E-2</v>
      </c>
      <c r="M117" s="17">
        <v>4315.5505719709299</v>
      </c>
      <c r="N117" s="18">
        <v>8.7976666213599397E-2</v>
      </c>
      <c r="O117" s="17">
        <v>21723.449589481301</v>
      </c>
      <c r="P117" s="18">
        <v>2.9105931752494402E-2</v>
      </c>
      <c r="Q117" s="17">
        <v>3445.2628101852902</v>
      </c>
      <c r="R117" s="18">
        <v>0.101943566927301</v>
      </c>
      <c r="S117" s="17">
        <v>489.74857315155998</v>
      </c>
      <c r="T117" s="18">
        <v>3.4324984348936801E-3</v>
      </c>
      <c r="U117" s="17">
        <v>7450.4657902788404</v>
      </c>
      <c r="V117" s="18">
        <v>-1.53719651904197E-2</v>
      </c>
      <c r="W117" s="17">
        <v>19890.3309303102</v>
      </c>
      <c r="X117" s="18">
        <v>4.99643578398732E-2</v>
      </c>
      <c r="Y117" s="17">
        <v>4921.7182260444197</v>
      </c>
      <c r="Z117" s="18">
        <v>1.12913224244626E-2</v>
      </c>
      <c r="AA117" s="17">
        <v>6352.1878791503204</v>
      </c>
      <c r="AB117" s="18">
        <v>2.2530249674102901E-2</v>
      </c>
      <c r="AC117" s="17">
        <v>3367.09664092505</v>
      </c>
      <c r="AD117" s="18">
        <v>4.1138730560771102E-2</v>
      </c>
      <c r="AE117" s="17">
        <v>5842.2245386587401</v>
      </c>
      <c r="AF117" s="18">
        <v>5.1612718384466599E-2</v>
      </c>
      <c r="AG117" s="17">
        <v>12085.1079270712</v>
      </c>
      <c r="AH117" s="18">
        <v>8.6288560640367801E-2</v>
      </c>
      <c r="AI117" s="17">
        <v>6712.3679645050897</v>
      </c>
      <c r="AJ117" s="18">
        <v>9.5582311257912597E-2</v>
      </c>
      <c r="AK117" s="17">
        <v>3718.3605146585901</v>
      </c>
      <c r="AL117" s="18">
        <v>3.1175759527951399E-2</v>
      </c>
      <c r="AM117" s="17">
        <v>24864.691731924901</v>
      </c>
      <c r="AN117" s="18">
        <v>1.16791134784382E-2</v>
      </c>
      <c r="AO117" s="17">
        <v>9789.7907471398994</v>
      </c>
      <c r="AP117" s="18">
        <v>-5.7423724842964302E-6</v>
      </c>
      <c r="AQ117" s="17">
        <v>7009.0111061845901</v>
      </c>
      <c r="AR117" s="18">
        <v>-1.86122650560775E-2</v>
      </c>
      <c r="AS117" s="17">
        <v>8367.3786057642101</v>
      </c>
      <c r="AT117" s="18">
        <v>9.4721866368325802E-3</v>
      </c>
      <c r="AU117" s="17">
        <v>1708.31720483251</v>
      </c>
      <c r="AV117" s="18">
        <v>0.60636879025496004</v>
      </c>
      <c r="AW117" s="17">
        <v>2176.4564841714</v>
      </c>
      <c r="AX117" s="18">
        <v>2.5391846998816799E-2</v>
      </c>
      <c r="AY117" s="17">
        <v>470.35633467796401</v>
      </c>
      <c r="AZ117" s="18">
        <v>9.9415434631238107E-3</v>
      </c>
      <c r="BA117" s="17">
        <v>4504.7233468783197</v>
      </c>
      <c r="BB117" s="18">
        <v>6.7529234470258007E-2</v>
      </c>
      <c r="BC117" s="17">
        <v>7460.0769917139196</v>
      </c>
      <c r="BD117" s="18">
        <v>4.08176772506261E-2</v>
      </c>
      <c r="BE117" s="17">
        <v>-2939.48353823651</v>
      </c>
      <c r="BF117" s="18">
        <v>-6.2874500473556498E-3</v>
      </c>
      <c r="BG117" s="17"/>
      <c r="BH117" s="18"/>
    </row>
    <row r="118" spans="1:60" x14ac:dyDescent="0.2">
      <c r="A118" s="16">
        <v>2006</v>
      </c>
      <c r="B118" s="16">
        <v>3</v>
      </c>
      <c r="C118" s="17">
        <v>142820.55743972299</v>
      </c>
      <c r="D118" s="18">
        <v>3.9419620589153E-2</v>
      </c>
      <c r="E118" s="17">
        <v>138262.311450104</v>
      </c>
      <c r="F118" s="18">
        <v>3.8000483167666799E-2</v>
      </c>
      <c r="G118" s="17">
        <v>1114.27342607227</v>
      </c>
      <c r="H118" s="18">
        <v>-4.2242296613360202E-2</v>
      </c>
      <c r="I118" s="17">
        <v>200.86201997385501</v>
      </c>
      <c r="J118" s="18">
        <v>-4.34596297868175E-2</v>
      </c>
      <c r="K118" s="17">
        <v>24456.192377032501</v>
      </c>
      <c r="L118" s="18">
        <v>6.3475454551450594E-2</v>
      </c>
      <c r="M118" s="17">
        <v>4381.9896219203501</v>
      </c>
      <c r="N118" s="18">
        <v>0.13449659407950701</v>
      </c>
      <c r="O118" s="17">
        <v>21496.224500219501</v>
      </c>
      <c r="P118" s="18">
        <v>3.8811381161749398E-2</v>
      </c>
      <c r="Q118" s="17">
        <v>3509.8853170417201</v>
      </c>
      <c r="R118" s="18">
        <v>7.9282242777982001E-2</v>
      </c>
      <c r="S118" s="17">
        <v>491.49503155712898</v>
      </c>
      <c r="T118" s="18">
        <v>4.0112619484459697E-2</v>
      </c>
      <c r="U118" s="17">
        <v>7447.7966912279599</v>
      </c>
      <c r="V118" s="18">
        <v>-3.7946015760817402E-2</v>
      </c>
      <c r="W118" s="17">
        <v>19940.938192162201</v>
      </c>
      <c r="X118" s="18">
        <v>7.3054691789777401E-2</v>
      </c>
      <c r="Y118" s="17">
        <v>4976.3487731888499</v>
      </c>
      <c r="Z118" s="18">
        <v>1.8751818192274599E-2</v>
      </c>
      <c r="AA118" s="17">
        <v>6453.1523346455497</v>
      </c>
      <c r="AB118" s="18">
        <v>2.6672030396629E-2</v>
      </c>
      <c r="AC118" s="17">
        <v>3748.1722928149502</v>
      </c>
      <c r="AD118" s="18">
        <v>1.8589830274425199E-2</v>
      </c>
      <c r="AE118" s="17">
        <v>5964.8291022192097</v>
      </c>
      <c r="AF118" s="18">
        <v>2.4297211953499199E-2</v>
      </c>
      <c r="AG118" s="17">
        <v>11888.776333136801</v>
      </c>
      <c r="AH118" s="18">
        <v>4.8211486716247101E-2</v>
      </c>
      <c r="AI118" s="17">
        <v>6468.7963298602599</v>
      </c>
      <c r="AJ118" s="18">
        <v>3.3248854363707503E-2</v>
      </c>
      <c r="AK118" s="17">
        <v>3727.45318227198</v>
      </c>
      <c r="AL118" s="18">
        <v>2.4282673324627298E-2</v>
      </c>
      <c r="AM118" s="17">
        <v>25199.380519046099</v>
      </c>
      <c r="AN118" s="18">
        <v>1.8752529484315598E-2</v>
      </c>
      <c r="AO118" s="17">
        <v>9892.8527956875296</v>
      </c>
      <c r="AP118" s="18">
        <v>1.51803053068957E-2</v>
      </c>
      <c r="AQ118" s="17">
        <v>7049.3920314192101</v>
      </c>
      <c r="AR118" s="18">
        <v>-4.1553961432346798E-3</v>
      </c>
      <c r="AS118" s="17">
        <v>8471.4489386957703</v>
      </c>
      <c r="AT118" s="18">
        <v>7.8755761978208695E-3</v>
      </c>
      <c r="AU118" s="17">
        <v>1483.34326793998</v>
      </c>
      <c r="AV118" s="18">
        <v>0.37200585436851802</v>
      </c>
      <c r="AW118" s="17">
        <v>2203.19758343486</v>
      </c>
      <c r="AX118" s="18">
        <v>2.1273627675185501E-2</v>
      </c>
      <c r="AY118" s="17">
        <v>472.70206641963398</v>
      </c>
      <c r="AZ118" s="18">
        <v>1.09108097299513E-2</v>
      </c>
      <c r="BA118" s="17">
        <v>4550.0645097664001</v>
      </c>
      <c r="BB118" s="18">
        <v>7.6630690839211604E-2</v>
      </c>
      <c r="BC118" s="17">
        <v>7514.9866253903101</v>
      </c>
      <c r="BD118" s="18">
        <v>4.4897200541919903E-2</v>
      </c>
      <c r="BE118" s="17">
        <v>-2946.1180197151598</v>
      </c>
      <c r="BF118" s="18">
        <v>-1.08723964365668E-2</v>
      </c>
      <c r="BG118" s="17"/>
      <c r="BH118" s="18"/>
    </row>
    <row r="119" spans="1:60" x14ac:dyDescent="0.2">
      <c r="A119" s="16">
        <v>2006</v>
      </c>
      <c r="B119" s="16">
        <v>4</v>
      </c>
      <c r="C119" s="17">
        <v>148544.70880796199</v>
      </c>
      <c r="D119" s="18">
        <v>4.1113466435857698E-2</v>
      </c>
      <c r="E119" s="17">
        <v>143681.98082929599</v>
      </c>
      <c r="F119" s="18">
        <v>3.9608470973896602E-2</v>
      </c>
      <c r="G119" s="17">
        <v>1127.55065528296</v>
      </c>
      <c r="H119" s="18">
        <v>-1.9657437444282701E-2</v>
      </c>
      <c r="I119" s="17">
        <v>196.46409946160401</v>
      </c>
      <c r="J119" s="18">
        <v>2.3497366075662099E-3</v>
      </c>
      <c r="K119" s="17">
        <v>26050.446809560901</v>
      </c>
      <c r="L119" s="18">
        <v>7.26420435893258E-2</v>
      </c>
      <c r="M119" s="17">
        <v>4455.6266472808602</v>
      </c>
      <c r="N119" s="18">
        <v>0.14275085434920801</v>
      </c>
      <c r="O119" s="17">
        <v>23292.1454657547</v>
      </c>
      <c r="P119" s="18">
        <v>4.9454842486864603E-2</v>
      </c>
      <c r="Q119" s="17">
        <v>3385.8048837137399</v>
      </c>
      <c r="R119" s="18">
        <v>3.04208188399193E-2</v>
      </c>
      <c r="S119" s="17">
        <v>496.07288392225797</v>
      </c>
      <c r="T119" s="18">
        <v>3.0265904131836299E-2</v>
      </c>
      <c r="U119" s="17">
        <v>7295.8258890937204</v>
      </c>
      <c r="V119" s="18">
        <v>-4.7776956539762203E-2</v>
      </c>
      <c r="W119" s="17">
        <v>22430.989036470099</v>
      </c>
      <c r="X119" s="18">
        <v>6.86735740848647E-2</v>
      </c>
      <c r="Y119" s="17">
        <v>5453.0903922581701</v>
      </c>
      <c r="Z119" s="18">
        <v>6.0524415185045904E-3</v>
      </c>
      <c r="AA119" s="17">
        <v>6806.0244728963098</v>
      </c>
      <c r="AB119" s="18">
        <v>2.1852777340142699E-2</v>
      </c>
      <c r="AC119" s="17">
        <v>3165.25144751896</v>
      </c>
      <c r="AD119" s="18">
        <v>2.3626868947098201E-2</v>
      </c>
      <c r="AE119" s="17">
        <v>6437.5552666656104</v>
      </c>
      <c r="AF119" s="18">
        <v>2.0352715264256398E-2</v>
      </c>
      <c r="AG119" s="17">
        <v>12527.430410401899</v>
      </c>
      <c r="AH119" s="18">
        <v>5.2968124525572903E-2</v>
      </c>
      <c r="AI119" s="17">
        <v>6978.9913215890501</v>
      </c>
      <c r="AJ119" s="18">
        <v>4.2371628057521503E-2</v>
      </c>
      <c r="AK119" s="17">
        <v>3725.9123751134598</v>
      </c>
      <c r="AL119" s="18">
        <v>1.51944874062067E-2</v>
      </c>
      <c r="AM119" s="17">
        <v>25171.923202638001</v>
      </c>
      <c r="AN119" s="18">
        <v>2.1012131695518702E-2</v>
      </c>
      <c r="AO119" s="17">
        <v>9974.8331230242493</v>
      </c>
      <c r="AP119" s="18">
        <v>2.1049651292499801E-2</v>
      </c>
      <c r="AQ119" s="17">
        <v>6978.8230661713596</v>
      </c>
      <c r="AR119" s="18">
        <v>-1.67064378977688E-3</v>
      </c>
      <c r="AS119" s="17">
        <v>8528.7560693426803</v>
      </c>
      <c r="AT119" s="18">
        <v>1.8234848921048E-2</v>
      </c>
      <c r="AU119" s="17">
        <v>1218.5372622130999</v>
      </c>
      <c r="AV119" s="18">
        <v>0.160320993440875</v>
      </c>
      <c r="AW119" s="17">
        <v>2203.88487884305</v>
      </c>
      <c r="AX119" s="18">
        <v>2.0261799805261899E-2</v>
      </c>
      <c r="AY119" s="17">
        <v>476.05385704569801</v>
      </c>
      <c r="AZ119" s="18">
        <v>1.5880177578164501E-2</v>
      </c>
      <c r="BA119" s="17">
        <v>4834.1453767377998</v>
      </c>
      <c r="BB119" s="18">
        <v>8.0378481474487201E-2</v>
      </c>
      <c r="BC119" s="17">
        <v>7773.7951915521498</v>
      </c>
      <c r="BD119" s="18">
        <v>4.4977488368087098E-2</v>
      </c>
      <c r="BE119" s="17">
        <v>-2890.7458434567702</v>
      </c>
      <c r="BF119" s="18">
        <v>-1.9668857014566301E-2</v>
      </c>
      <c r="BG119" s="17"/>
      <c r="BH119" s="18"/>
    </row>
    <row r="120" spans="1:60" x14ac:dyDescent="0.2">
      <c r="A120" s="16">
        <v>2007</v>
      </c>
      <c r="B120" s="16">
        <v>1</v>
      </c>
      <c r="C120" s="17">
        <v>144833.18055163501</v>
      </c>
      <c r="D120" s="18">
        <v>3.5674199076770198E-2</v>
      </c>
      <c r="E120" s="17">
        <v>140101.12651685401</v>
      </c>
      <c r="F120" s="18">
        <v>3.4271573403636298E-2</v>
      </c>
      <c r="G120" s="17">
        <v>1179.68319607073</v>
      </c>
      <c r="H120" s="18">
        <v>5.17555560278029E-2</v>
      </c>
      <c r="I120" s="17">
        <v>174.19018928934699</v>
      </c>
      <c r="J120" s="18">
        <v>3.3538894982556099E-2</v>
      </c>
      <c r="K120" s="17">
        <v>24933.849646669201</v>
      </c>
      <c r="L120" s="18">
        <v>4.8464620635875602E-2</v>
      </c>
      <c r="M120" s="17">
        <v>4576.1020257842101</v>
      </c>
      <c r="N120" s="18">
        <v>9.6133781934173906E-2</v>
      </c>
      <c r="O120" s="17">
        <v>21724.113407917299</v>
      </c>
      <c r="P120" s="18">
        <v>3.1356195141608097E-2</v>
      </c>
      <c r="Q120" s="17">
        <v>3320.4590920150499</v>
      </c>
      <c r="R120" s="18">
        <v>1.6179449000499599E-2</v>
      </c>
      <c r="S120" s="17">
        <v>482.74583542082098</v>
      </c>
      <c r="T120" s="18">
        <v>-2.25571101140194E-2</v>
      </c>
      <c r="U120" s="17">
        <v>6614.5072055129303</v>
      </c>
      <c r="V120" s="18">
        <v>-3.36128165990262E-2</v>
      </c>
      <c r="W120" s="17">
        <v>20599.578990320599</v>
      </c>
      <c r="X120" s="18">
        <v>9.1449326435813799E-2</v>
      </c>
      <c r="Y120" s="17">
        <v>5030.0208856011204</v>
      </c>
      <c r="Z120" s="18">
        <v>4.3247679913701799E-2</v>
      </c>
      <c r="AA120" s="17">
        <v>6729.3611824749796</v>
      </c>
      <c r="AB120" s="18">
        <v>1.8542349674312699E-2</v>
      </c>
      <c r="AC120" s="17">
        <v>3510.69042317104</v>
      </c>
      <c r="AD120" s="18">
        <v>-6.6256129744882699E-3</v>
      </c>
      <c r="AE120" s="17">
        <v>6144.5136754018704</v>
      </c>
      <c r="AF120" s="18">
        <v>3.0329146261292E-3</v>
      </c>
      <c r="AG120" s="17">
        <v>12691.396595578901</v>
      </c>
      <c r="AH120" s="18">
        <v>4.7386859212459803E-2</v>
      </c>
      <c r="AI120" s="17">
        <v>7085.1394697715295</v>
      </c>
      <c r="AJ120" s="18">
        <v>4.2110652836037099E-2</v>
      </c>
      <c r="AK120" s="17">
        <v>3712.9218822123298</v>
      </c>
      <c r="AL120" s="18">
        <v>3.71780064539751E-3</v>
      </c>
      <c r="AM120" s="17">
        <v>25355.254181944299</v>
      </c>
      <c r="AN120" s="18">
        <v>1.9098618768556501E-2</v>
      </c>
      <c r="AO120" s="17">
        <v>10054.8207091076</v>
      </c>
      <c r="AP120" s="18">
        <v>1.9258291605762E-2</v>
      </c>
      <c r="AQ120" s="17">
        <v>7017.2874221778702</v>
      </c>
      <c r="AR120" s="18">
        <v>-5.91481715633424E-3</v>
      </c>
      <c r="AS120" s="17">
        <v>8574.9060659109</v>
      </c>
      <c r="AT120" s="18">
        <v>2.6559361662946E-2</v>
      </c>
      <c r="AU120" s="17">
        <v>1169.6340144594601</v>
      </c>
      <c r="AV120" s="18">
        <v>-0.15721836056121799</v>
      </c>
      <c r="AW120" s="17">
        <v>2222.14998130002</v>
      </c>
      <c r="AX120" s="18">
        <v>2.9080863955010899E-2</v>
      </c>
      <c r="AY120" s="17">
        <v>480.29501355307599</v>
      </c>
      <c r="AZ120" s="18">
        <v>2.43895028799113E-2</v>
      </c>
      <c r="BA120" s="17">
        <v>4707.4014328190096</v>
      </c>
      <c r="BB120" s="18">
        <v>7.2205503745887301E-2</v>
      </c>
      <c r="BC120" s="17">
        <v>7613.7414753837902</v>
      </c>
      <c r="BD120" s="18">
        <v>3.6567991351747597E-2</v>
      </c>
      <c r="BE120" s="17">
        <v>-2865.58885998097</v>
      </c>
      <c r="BF120" s="18">
        <v>-2.8454643499930099E-2</v>
      </c>
      <c r="BG120" s="17"/>
      <c r="BH120" s="18"/>
    </row>
    <row r="121" spans="1:60" x14ac:dyDescent="0.2">
      <c r="A121" s="16">
        <v>2007</v>
      </c>
      <c r="B121" s="16">
        <v>2</v>
      </c>
      <c r="C121" s="17">
        <v>148390.896743961</v>
      </c>
      <c r="D121" s="18">
        <v>4.3991324552339298E-2</v>
      </c>
      <c r="E121" s="17">
        <v>143504.17556030399</v>
      </c>
      <c r="F121" s="18">
        <v>4.2682086772884799E-2</v>
      </c>
      <c r="G121" s="17">
        <v>1196.78633417432</v>
      </c>
      <c r="H121" s="18">
        <v>7.6876124793149495E-2</v>
      </c>
      <c r="I121" s="17">
        <v>202.68707000290601</v>
      </c>
      <c r="J121" s="18">
        <v>-6.1153249409263699E-3</v>
      </c>
      <c r="K121" s="17">
        <v>25954.0893676368</v>
      </c>
      <c r="L121" s="18">
        <v>5.7554547010685297E-2</v>
      </c>
      <c r="M121" s="17">
        <v>4703.7481703130898</v>
      </c>
      <c r="N121" s="18">
        <v>8.99532033904233E-2</v>
      </c>
      <c r="O121" s="17">
        <v>22721.0182618281</v>
      </c>
      <c r="P121" s="18">
        <v>4.5921282816415901E-2</v>
      </c>
      <c r="Q121" s="17">
        <v>3588.9531284874101</v>
      </c>
      <c r="R121" s="18">
        <v>4.1706634941558199E-2</v>
      </c>
      <c r="S121" s="17">
        <v>472.83344188097999</v>
      </c>
      <c r="T121" s="18">
        <v>-3.4538398267768798E-2</v>
      </c>
      <c r="U121" s="17">
        <v>7105.9748733976103</v>
      </c>
      <c r="V121" s="18">
        <v>-4.62375006581075E-2</v>
      </c>
      <c r="W121" s="17">
        <v>21375.863881030698</v>
      </c>
      <c r="X121" s="18">
        <v>7.4686185761579899E-2</v>
      </c>
      <c r="Y121" s="17">
        <v>5062.2390975712196</v>
      </c>
      <c r="Z121" s="18">
        <v>2.8551181736329499E-2</v>
      </c>
      <c r="AA121" s="17">
        <v>6599.8822203980699</v>
      </c>
      <c r="AB121" s="18">
        <v>3.8993547728767501E-2</v>
      </c>
      <c r="AC121" s="17">
        <v>3501.9971428369699</v>
      </c>
      <c r="AD121" s="18">
        <v>4.0064339191304699E-2</v>
      </c>
      <c r="AE121" s="17">
        <v>5874.09340773026</v>
      </c>
      <c r="AF121" s="18">
        <v>5.4549202723459499E-3</v>
      </c>
      <c r="AG121" s="17">
        <v>13230.154323291699</v>
      </c>
      <c r="AH121" s="18">
        <v>9.4748545327887804E-2</v>
      </c>
      <c r="AI121" s="17">
        <v>7528.43174247144</v>
      </c>
      <c r="AJ121" s="18">
        <v>0.121576138596943</v>
      </c>
      <c r="AK121" s="17">
        <v>3735.40024008101</v>
      </c>
      <c r="AL121" s="18">
        <v>4.5825909981693797E-3</v>
      </c>
      <c r="AM121" s="17">
        <v>25586.560466107301</v>
      </c>
      <c r="AN121" s="18">
        <v>2.90318795006623E-2</v>
      </c>
      <c r="AO121" s="17">
        <v>10089.488304615101</v>
      </c>
      <c r="AP121" s="18">
        <v>3.0613275116502199E-2</v>
      </c>
      <c r="AQ121" s="17">
        <v>7067.5541059193201</v>
      </c>
      <c r="AR121" s="18">
        <v>8.3525334526961502E-3</v>
      </c>
      <c r="AS121" s="17">
        <v>8687.4031440799099</v>
      </c>
      <c r="AT121" s="18">
        <v>3.8246690318904701E-2</v>
      </c>
      <c r="AU121" s="17">
        <v>1180.57601588796</v>
      </c>
      <c r="AV121" s="18">
        <v>-0.30892458815708401</v>
      </c>
      <c r="AW121" s="17">
        <v>2214.40748876421</v>
      </c>
      <c r="AX121" s="18">
        <v>1.7437061052592701E-2</v>
      </c>
      <c r="AY121" s="17">
        <v>486.30791227244703</v>
      </c>
      <c r="AZ121" s="18">
        <v>3.3913814736658901E-2</v>
      </c>
      <c r="BA121" s="17">
        <v>4855.7496574601801</v>
      </c>
      <c r="BB121" s="18">
        <v>7.7924055164255698E-2</v>
      </c>
      <c r="BC121" s="17">
        <v>7762.67448371304</v>
      </c>
      <c r="BD121" s="18">
        <v>4.0562247860876699E-2</v>
      </c>
      <c r="BE121" s="17">
        <v>-2852.9473038702999</v>
      </c>
      <c r="BF121" s="18">
        <v>-2.9439264837021899E-2</v>
      </c>
      <c r="BG121" s="17"/>
      <c r="BH121" s="18"/>
    </row>
    <row r="122" spans="1:60" x14ac:dyDescent="0.2">
      <c r="A122" s="16">
        <v>2007</v>
      </c>
      <c r="B122" s="16">
        <v>3</v>
      </c>
      <c r="C122" s="17">
        <v>149193.231058495</v>
      </c>
      <c r="D122" s="18">
        <v>4.4620142457161498E-2</v>
      </c>
      <c r="E122" s="17">
        <v>144288.537592768</v>
      </c>
      <c r="F122" s="18">
        <v>4.3585457811758502E-2</v>
      </c>
      <c r="G122" s="17">
        <v>1203.49188887793</v>
      </c>
      <c r="H122" s="18">
        <v>8.00687342245512E-2</v>
      </c>
      <c r="I122" s="17">
        <v>197.95733867609999</v>
      </c>
      <c r="J122" s="18">
        <v>-1.4461077799242999E-2</v>
      </c>
      <c r="K122" s="17">
        <v>25933.562711965002</v>
      </c>
      <c r="L122" s="18">
        <v>6.0408845013824902E-2</v>
      </c>
      <c r="M122" s="17">
        <v>4765.4290078628401</v>
      </c>
      <c r="N122" s="18">
        <v>8.7503490200977904E-2</v>
      </c>
      <c r="O122" s="17">
        <v>22584.532382420799</v>
      </c>
      <c r="P122" s="18">
        <v>5.0627861752662498E-2</v>
      </c>
      <c r="Q122" s="17">
        <v>3801.4006514163202</v>
      </c>
      <c r="R122" s="18">
        <v>8.3055515506217106E-2</v>
      </c>
      <c r="S122" s="17">
        <v>465.45226114430199</v>
      </c>
      <c r="T122" s="18">
        <v>-5.2986843692640097E-2</v>
      </c>
      <c r="U122" s="17">
        <v>7258.2393761958901</v>
      </c>
      <c r="V122" s="18">
        <v>-2.54514620753983E-2</v>
      </c>
      <c r="W122" s="17">
        <v>21001.327705295898</v>
      </c>
      <c r="X122" s="18">
        <v>5.3176510699506803E-2</v>
      </c>
      <c r="Y122" s="17">
        <v>5100.37391562835</v>
      </c>
      <c r="Z122" s="18">
        <v>2.4922920014712701E-2</v>
      </c>
      <c r="AA122" s="17">
        <v>6728.2921965285004</v>
      </c>
      <c r="AB122" s="18">
        <v>4.2636505015663198E-2</v>
      </c>
      <c r="AC122" s="17">
        <v>3950.8339144009701</v>
      </c>
      <c r="AD122" s="18">
        <v>5.4069451923143698E-2</v>
      </c>
      <c r="AE122" s="17">
        <v>6055.1504889338103</v>
      </c>
      <c r="AF122" s="18">
        <v>1.5142325985666699E-2</v>
      </c>
      <c r="AG122" s="17">
        <v>13115.908940400301</v>
      </c>
      <c r="AH122" s="18">
        <v>0.103217738552547</v>
      </c>
      <c r="AI122" s="17">
        <v>7375.3623381822899</v>
      </c>
      <c r="AJ122" s="18">
        <v>0.140144466156289</v>
      </c>
      <c r="AK122" s="17">
        <v>3793.1670391759999</v>
      </c>
      <c r="AL122" s="18">
        <v>1.7629693436945999E-2</v>
      </c>
      <c r="AM122" s="17">
        <v>25980.377803998901</v>
      </c>
      <c r="AN122" s="18">
        <v>3.09927176329821E-2</v>
      </c>
      <c r="AO122" s="17">
        <v>10099.0312590172</v>
      </c>
      <c r="AP122" s="18">
        <v>2.0841153465821299E-2</v>
      </c>
      <c r="AQ122" s="17">
        <v>7089.7147504602499</v>
      </c>
      <c r="AR122" s="18">
        <v>5.7200278919540297E-3</v>
      </c>
      <c r="AS122" s="17">
        <v>8778.1807362295094</v>
      </c>
      <c r="AT122" s="18">
        <v>3.6207713668987798E-2</v>
      </c>
      <c r="AU122" s="17">
        <v>1185.8077230766901</v>
      </c>
      <c r="AV122" s="18">
        <v>-0.20058441717034201</v>
      </c>
      <c r="AW122" s="17">
        <v>2223.1096160964998</v>
      </c>
      <c r="AX122" s="18">
        <v>9.0377879911236504E-3</v>
      </c>
      <c r="AY122" s="17">
        <v>494.33660709381797</v>
      </c>
      <c r="AZ122" s="18">
        <v>4.5767814890358902E-2</v>
      </c>
      <c r="BA122" s="17">
        <v>4874.8107609147801</v>
      </c>
      <c r="BB122" s="18">
        <v>7.1371790543043101E-2</v>
      </c>
      <c r="BC122" s="17">
        <v>7795.3666443433904</v>
      </c>
      <c r="BD122" s="18">
        <v>3.7309450160001298E-2</v>
      </c>
      <c r="BE122" s="17">
        <v>-2866.6577937387101</v>
      </c>
      <c r="BF122" s="18">
        <v>-2.6971161862735599E-2</v>
      </c>
      <c r="BG122" s="17"/>
      <c r="BH122" s="18"/>
    </row>
    <row r="123" spans="1:60" x14ac:dyDescent="0.2">
      <c r="A123" s="16">
        <v>2007</v>
      </c>
      <c r="B123" s="16">
        <v>4</v>
      </c>
      <c r="C123" s="17">
        <v>153767.907208285</v>
      </c>
      <c r="D123" s="18">
        <v>3.51624668575388E-2</v>
      </c>
      <c r="E123" s="17">
        <v>148702.88839759401</v>
      </c>
      <c r="F123" s="18">
        <v>3.4944587618565899E-2</v>
      </c>
      <c r="G123" s="17">
        <v>1201.98654646871</v>
      </c>
      <c r="H123" s="18">
        <v>6.6015562881356293E-2</v>
      </c>
      <c r="I123" s="17">
        <v>197.35039121336001</v>
      </c>
      <c r="J123" s="18">
        <v>4.5112147928554301E-3</v>
      </c>
      <c r="K123" s="17">
        <v>27252.9285698764</v>
      </c>
      <c r="L123" s="18">
        <v>4.6159736495349699E-2</v>
      </c>
      <c r="M123" s="17">
        <v>4598.5828365153002</v>
      </c>
      <c r="N123" s="18">
        <v>3.2084418321197197E-2</v>
      </c>
      <c r="O123" s="17">
        <v>24475.204762449001</v>
      </c>
      <c r="P123" s="18">
        <v>5.0792199389004797E-2</v>
      </c>
      <c r="Q123" s="17">
        <v>3542.1723262209098</v>
      </c>
      <c r="R123" s="18">
        <v>4.6183240877028901E-2</v>
      </c>
      <c r="S123" s="17">
        <v>453.209749596883</v>
      </c>
      <c r="T123" s="18">
        <v>-8.64049128960096E-2</v>
      </c>
      <c r="U123" s="17">
        <v>7339.1318545292997</v>
      </c>
      <c r="V123" s="18">
        <v>5.9357180521959502E-3</v>
      </c>
      <c r="W123" s="17">
        <v>22882.184483097299</v>
      </c>
      <c r="X123" s="18">
        <v>2.01148262296236E-2</v>
      </c>
      <c r="Y123" s="17">
        <v>5612.1065128425998</v>
      </c>
      <c r="Z123" s="18">
        <v>2.9160734399376501E-2</v>
      </c>
      <c r="AA123" s="17">
        <v>6855.4097543899697</v>
      </c>
      <c r="AB123" s="18">
        <v>7.2561128292045803E-3</v>
      </c>
      <c r="AC123" s="17">
        <v>3422.0438030404198</v>
      </c>
      <c r="AD123" s="18">
        <v>8.1128580076234205E-2</v>
      </c>
      <c r="AE123" s="17">
        <v>6595.5141444281498</v>
      </c>
      <c r="AF123" s="18">
        <v>2.4537090746307201E-2</v>
      </c>
      <c r="AG123" s="17">
        <v>13384.3306404019</v>
      </c>
      <c r="AH123" s="18">
        <v>6.8401914991960994E-2</v>
      </c>
      <c r="AI123" s="17">
        <v>7553.9683719936802</v>
      </c>
      <c r="AJ123" s="18">
        <v>8.2386841294095098E-2</v>
      </c>
      <c r="AK123" s="17">
        <v>3886.9759757509701</v>
      </c>
      <c r="AL123" s="18">
        <v>4.3227962555777003E-2</v>
      </c>
      <c r="AM123" s="17">
        <v>26262.955930215499</v>
      </c>
      <c r="AN123" s="18">
        <v>4.3343240752582703E-2</v>
      </c>
      <c r="AO123" s="17">
        <v>10111.374255241601</v>
      </c>
      <c r="AP123" s="18">
        <v>1.3688563059983399E-2</v>
      </c>
      <c r="AQ123" s="17">
        <v>7103.4843439229398</v>
      </c>
      <c r="AR123" s="18">
        <v>1.7862793850706798E-2</v>
      </c>
      <c r="AS123" s="17">
        <v>8864.6001140998706</v>
      </c>
      <c r="AT123" s="18">
        <v>3.9377846197807799E-2</v>
      </c>
      <c r="AU123" s="17">
        <v>1155.0145490333</v>
      </c>
      <c r="AV123" s="18">
        <v>-5.2130300114442002E-2</v>
      </c>
      <c r="AW123" s="17">
        <v>2236.5304246761898</v>
      </c>
      <c r="AX123" s="18">
        <v>1.4812727355468101E-2</v>
      </c>
      <c r="AY123" s="17">
        <v>504.84545938235999</v>
      </c>
      <c r="AZ123" s="18">
        <v>6.0479716550006599E-2</v>
      </c>
      <c r="BA123" s="17">
        <v>5032.7428726786402</v>
      </c>
      <c r="BB123" s="18">
        <v>4.1082234906815597E-2</v>
      </c>
      <c r="BC123" s="17">
        <v>7990.9997001707798</v>
      </c>
      <c r="BD123" s="18">
        <v>2.7940600860525199E-2</v>
      </c>
      <c r="BE123" s="17">
        <v>-2895.1435215737201</v>
      </c>
      <c r="BF123" s="18">
        <v>1.5212953179204499E-3</v>
      </c>
      <c r="BG123" s="17"/>
      <c r="BH123" s="18"/>
    </row>
    <row r="124" spans="1:60" x14ac:dyDescent="0.2">
      <c r="A124" s="16">
        <v>2008</v>
      </c>
      <c r="B124" s="16">
        <v>1</v>
      </c>
      <c r="C124" s="17">
        <v>149448.00267501199</v>
      </c>
      <c r="D124" s="18">
        <v>3.1863017202277799E-2</v>
      </c>
      <c r="E124" s="17">
        <v>144593.16477745501</v>
      </c>
      <c r="F124" s="18">
        <v>3.2062827560923199E-2</v>
      </c>
      <c r="G124" s="17">
        <v>1181.88579734369</v>
      </c>
      <c r="H124" s="18">
        <v>1.8671125267295499E-3</v>
      </c>
      <c r="I124" s="17">
        <v>173.367922469902</v>
      </c>
      <c r="J124" s="18">
        <v>-4.72051165912191E-3</v>
      </c>
      <c r="K124" s="17">
        <v>26442.598227709099</v>
      </c>
      <c r="L124" s="18">
        <v>6.0510053698886103E-2</v>
      </c>
      <c r="M124" s="17">
        <v>4831.9737705661701</v>
      </c>
      <c r="N124" s="18">
        <v>5.5914781475641599E-2</v>
      </c>
      <c r="O124" s="17">
        <v>23079.299233923699</v>
      </c>
      <c r="P124" s="18">
        <v>6.2381640187555397E-2</v>
      </c>
      <c r="Q124" s="17">
        <v>3516.6449229189898</v>
      </c>
      <c r="R124" s="18">
        <v>5.90839475709002E-2</v>
      </c>
      <c r="S124" s="17">
        <v>417.19741624637498</v>
      </c>
      <c r="T124" s="18">
        <v>-0.13578246432163599</v>
      </c>
      <c r="U124" s="17">
        <v>6773.6431298769103</v>
      </c>
      <c r="V124" s="18">
        <v>2.4058621363561E-2</v>
      </c>
      <c r="W124" s="17">
        <v>20708.305274015001</v>
      </c>
      <c r="X124" s="18">
        <v>5.2780828067127096E-3</v>
      </c>
      <c r="Y124" s="17">
        <v>5165.4946865164302</v>
      </c>
      <c r="Z124" s="18">
        <v>2.69330493841702E-2</v>
      </c>
      <c r="AA124" s="17">
        <v>6747.7051650727099</v>
      </c>
      <c r="AB124" s="18">
        <v>2.72596195988051E-3</v>
      </c>
      <c r="AC124" s="17">
        <v>3817.1463144098002</v>
      </c>
      <c r="AD124" s="18">
        <v>8.7292200194043101E-2</v>
      </c>
      <c r="AE124" s="17">
        <v>6455.8734475352203</v>
      </c>
      <c r="AF124" s="18">
        <v>5.06728096935989E-2</v>
      </c>
      <c r="AG124" s="17">
        <v>12812.0342325039</v>
      </c>
      <c r="AH124" s="18">
        <v>9.5054658497606397E-3</v>
      </c>
      <c r="AI124" s="17">
        <v>6919.2465737004304</v>
      </c>
      <c r="AJ124" s="18">
        <v>-2.3414203316515302E-2</v>
      </c>
      <c r="AK124" s="17">
        <v>4018.5348026399201</v>
      </c>
      <c r="AL124" s="18">
        <v>8.2310624926343404E-2</v>
      </c>
      <c r="AM124" s="17">
        <v>26648.513263848799</v>
      </c>
      <c r="AN124" s="18">
        <v>5.1005565656111501E-2</v>
      </c>
      <c r="AO124" s="17">
        <v>10202.1132508091</v>
      </c>
      <c r="AP124" s="18">
        <v>1.46489476006335E-2</v>
      </c>
      <c r="AQ124" s="17">
        <v>7084.6748682379202</v>
      </c>
      <c r="AR124" s="18">
        <v>9.6030619819098603E-3</v>
      </c>
      <c r="AS124" s="17">
        <v>8995.73271075312</v>
      </c>
      <c r="AT124" s="18">
        <v>4.9076531172182601E-2</v>
      </c>
      <c r="AU124" s="17">
        <v>1255.5834304298401</v>
      </c>
      <c r="AV124" s="18">
        <v>7.3484025693379307E-2</v>
      </c>
      <c r="AW124" s="17">
        <v>2265.4866788036202</v>
      </c>
      <c r="AX124" s="18">
        <v>1.9502147860536799E-2</v>
      </c>
      <c r="AY124" s="17">
        <v>517.27159069336301</v>
      </c>
      <c r="AZ124" s="18">
        <v>7.6987218473799898E-2</v>
      </c>
      <c r="BA124" s="17">
        <v>4832.7134668513099</v>
      </c>
      <c r="BB124" s="18">
        <v>2.6620214107650801E-2</v>
      </c>
      <c r="BC124" s="17">
        <v>7802.8308532007904</v>
      </c>
      <c r="BD124" s="18">
        <v>2.4835276904050099E-2</v>
      </c>
      <c r="BE124" s="17">
        <v>-2926.7849689284799</v>
      </c>
      <c r="BF124" s="18">
        <v>2.13555090899928E-2</v>
      </c>
      <c r="BG124" s="17"/>
      <c r="BH124" s="18"/>
    </row>
    <row r="125" spans="1:60" x14ac:dyDescent="0.2">
      <c r="A125" s="16">
        <v>2008</v>
      </c>
      <c r="B125" s="16">
        <v>2</v>
      </c>
      <c r="C125" s="17">
        <v>153678.10358188199</v>
      </c>
      <c r="D125" s="18">
        <v>3.5630264079095302E-2</v>
      </c>
      <c r="E125" s="17">
        <v>148655.38030866301</v>
      </c>
      <c r="F125" s="18">
        <v>3.5895852704260101E-2</v>
      </c>
      <c r="G125" s="17">
        <v>1183.52028343553</v>
      </c>
      <c r="H125" s="18">
        <v>-1.10847277914047E-2</v>
      </c>
      <c r="I125" s="17">
        <v>209.13539026608001</v>
      </c>
      <c r="J125" s="18">
        <v>3.1814166848834501E-2</v>
      </c>
      <c r="K125" s="17">
        <v>28253.857245650401</v>
      </c>
      <c r="L125" s="18">
        <v>8.8609076027970093E-2</v>
      </c>
      <c r="M125" s="17">
        <v>5313.5706772104404</v>
      </c>
      <c r="N125" s="18">
        <v>0.12964607900272901</v>
      </c>
      <c r="O125" s="17">
        <v>24391.282221309299</v>
      </c>
      <c r="P125" s="18">
        <v>7.3511844417962796E-2</v>
      </c>
      <c r="Q125" s="17">
        <v>3803.1289763750001</v>
      </c>
      <c r="R125" s="18">
        <v>5.9676412652914797E-2</v>
      </c>
      <c r="S125" s="17">
        <v>379.16051338997102</v>
      </c>
      <c r="T125" s="18">
        <v>-0.198109778611193</v>
      </c>
      <c r="U125" s="17">
        <v>7273.6806582652498</v>
      </c>
      <c r="V125" s="18">
        <v>2.36006723715654E-2</v>
      </c>
      <c r="W125" s="17">
        <v>22061.462601801901</v>
      </c>
      <c r="X125" s="18">
        <v>3.2073497688187597E-2</v>
      </c>
      <c r="Y125" s="17">
        <v>5303.55461996136</v>
      </c>
      <c r="Z125" s="18">
        <v>4.7669720402168297E-2</v>
      </c>
      <c r="AA125" s="17">
        <v>6458.0782463547703</v>
      </c>
      <c r="AB125" s="18">
        <v>-2.14858340357994E-2</v>
      </c>
      <c r="AC125" s="17">
        <v>3641.1758804891701</v>
      </c>
      <c r="AD125" s="18">
        <v>3.9742675957597597E-2</v>
      </c>
      <c r="AE125" s="17">
        <v>6211.0336201413502</v>
      </c>
      <c r="AF125" s="18">
        <v>5.7360377001781898E-2</v>
      </c>
      <c r="AG125" s="17">
        <v>12666.2948787025</v>
      </c>
      <c r="AH125" s="18">
        <v>-4.2619264357075401E-2</v>
      </c>
      <c r="AI125" s="17">
        <v>6670.9041831637696</v>
      </c>
      <c r="AJ125" s="18">
        <v>-0.113905204781222</v>
      </c>
      <c r="AK125" s="17">
        <v>4131.8760787523597</v>
      </c>
      <c r="AL125" s="18">
        <v>0.106140122393619</v>
      </c>
      <c r="AM125" s="17">
        <v>27052.6261964839</v>
      </c>
      <c r="AN125" s="18">
        <v>5.7298273142990998E-2</v>
      </c>
      <c r="AO125" s="17">
        <v>10204.5617509972</v>
      </c>
      <c r="AP125" s="18">
        <v>1.1405280714724899E-2</v>
      </c>
      <c r="AQ125" s="17">
        <v>7066.00179327981</v>
      </c>
      <c r="AR125" s="18">
        <v>-2.1963930042145899E-4</v>
      </c>
      <c r="AS125" s="17">
        <v>9147.2724568803897</v>
      </c>
      <c r="AT125" s="18">
        <v>5.2935187325094502E-2</v>
      </c>
      <c r="AU125" s="17">
        <v>1511.55380013525</v>
      </c>
      <c r="AV125" s="18">
        <v>0.28035279371514499</v>
      </c>
      <c r="AW125" s="17">
        <v>2288.1800285116701</v>
      </c>
      <c r="AX125" s="18">
        <v>3.3314798708810697E-2</v>
      </c>
      <c r="AY125" s="17">
        <v>526.25330104799605</v>
      </c>
      <c r="AZ125" s="18">
        <v>8.2140116924872303E-2</v>
      </c>
      <c r="BA125" s="17">
        <v>4995.9083137624702</v>
      </c>
      <c r="BB125" s="18">
        <v>2.8864473292389899E-2</v>
      </c>
      <c r="BC125" s="17">
        <v>7985.3288148337797</v>
      </c>
      <c r="BD125" s="18">
        <v>2.8682682957773799E-2</v>
      </c>
      <c r="BE125" s="17">
        <v>-2933.6550922951401</v>
      </c>
      <c r="BF125" s="18">
        <v>2.8289267143261299E-2</v>
      </c>
      <c r="BG125" s="17"/>
      <c r="BH125" s="18"/>
    </row>
    <row r="126" spans="1:60" x14ac:dyDescent="0.2">
      <c r="A126" s="16">
        <v>2008</v>
      </c>
      <c r="B126" s="16">
        <v>3</v>
      </c>
      <c r="C126" s="17">
        <v>154054.632773666</v>
      </c>
      <c r="D126" s="18">
        <v>3.2584599721319697E-2</v>
      </c>
      <c r="E126" s="17">
        <v>149046.77672250901</v>
      </c>
      <c r="F126" s="18">
        <v>3.2977249677100098E-2</v>
      </c>
      <c r="G126" s="17">
        <v>1197.69212934143</v>
      </c>
      <c r="H126" s="18">
        <v>-4.8191097838703499E-3</v>
      </c>
      <c r="I126" s="17">
        <v>199.29881444449501</v>
      </c>
      <c r="J126" s="18">
        <v>6.7765902358893904E-3</v>
      </c>
      <c r="K126" s="17">
        <v>27050.253703977301</v>
      </c>
      <c r="L126" s="18">
        <v>4.3059683099274E-2</v>
      </c>
      <c r="M126" s="17">
        <v>4907.54335542429</v>
      </c>
      <c r="N126" s="18">
        <v>2.9821942017594201E-2</v>
      </c>
      <c r="O126" s="17">
        <v>23672.9901613599</v>
      </c>
      <c r="P126" s="18">
        <v>4.8194833548395703E-2</v>
      </c>
      <c r="Q126" s="17">
        <v>4024.3848941793699</v>
      </c>
      <c r="R126" s="18">
        <v>5.8658442824218102E-2</v>
      </c>
      <c r="S126" s="17">
        <v>396.47285259112402</v>
      </c>
      <c r="T126" s="18">
        <v>-0.148198675377781</v>
      </c>
      <c r="U126" s="17">
        <v>7353.5728912858103</v>
      </c>
      <c r="V126" s="18">
        <v>1.3134523422108999E-2</v>
      </c>
      <c r="W126" s="17">
        <v>22495.065079439199</v>
      </c>
      <c r="X126" s="18">
        <v>7.1125854284279894E-2</v>
      </c>
      <c r="Y126" s="17">
        <v>5411.6899592559903</v>
      </c>
      <c r="Z126" s="18">
        <v>6.1037886393724899E-2</v>
      </c>
      <c r="AA126" s="17">
        <v>6461.2770750388199</v>
      </c>
      <c r="AB126" s="18">
        <v>-3.9685422940973103E-2</v>
      </c>
      <c r="AC126" s="17">
        <v>4067.08694003961</v>
      </c>
      <c r="AD126" s="18">
        <v>2.9424933610824499E-2</v>
      </c>
      <c r="AE126" s="17">
        <v>6389.20964376334</v>
      </c>
      <c r="AF126" s="18">
        <v>5.5169422368617202E-2</v>
      </c>
      <c r="AG126" s="17">
        <v>12586.8114253276</v>
      </c>
      <c r="AH126" s="18">
        <v>-4.0340133305053698E-2</v>
      </c>
      <c r="AI126" s="17">
        <v>6526.0395975027704</v>
      </c>
      <c r="AJ126" s="18">
        <v>-0.11515674779564</v>
      </c>
      <c r="AK126" s="17">
        <v>4229.22458943948</v>
      </c>
      <c r="AL126" s="18">
        <v>0.11495869961956801</v>
      </c>
      <c r="AM126" s="17">
        <v>27279.194249256299</v>
      </c>
      <c r="AN126" s="18">
        <v>4.9992207775263003E-2</v>
      </c>
      <c r="AO126" s="17">
        <v>10210.3565724897</v>
      </c>
      <c r="AP126" s="18">
        <v>1.1023365570142199E-2</v>
      </c>
      <c r="AQ126" s="17">
        <v>7022.8258037136802</v>
      </c>
      <c r="AR126" s="18">
        <v>-9.4346456946284903E-3</v>
      </c>
      <c r="AS126" s="17">
        <v>9311.6349855127592</v>
      </c>
      <c r="AT126" s="18">
        <v>6.0770479136020197E-2</v>
      </c>
      <c r="AU126" s="17">
        <v>1801.1108902096901</v>
      </c>
      <c r="AV126" s="18">
        <v>0.51888949208100499</v>
      </c>
      <c r="AW126" s="17">
        <v>2307.3218012735601</v>
      </c>
      <c r="AX126" s="18">
        <v>3.7880356671265103E-2</v>
      </c>
      <c r="AY126" s="17">
        <v>532.41315452621802</v>
      </c>
      <c r="AZ126" s="18">
        <v>7.7025546734746306E-2</v>
      </c>
      <c r="BA126" s="17">
        <v>4984.5999798161502</v>
      </c>
      <c r="BB126" s="18">
        <v>2.2521739670725301E-2</v>
      </c>
      <c r="BC126" s="17">
        <v>8015.5483934232598</v>
      </c>
      <c r="BD126" s="18">
        <v>2.82452075861808E-2</v>
      </c>
      <c r="BE126" s="17">
        <v>-2981.8501595458902</v>
      </c>
      <c r="BF126" s="18">
        <v>4.01835077974022E-2</v>
      </c>
      <c r="BG126" s="17"/>
      <c r="BH126" s="18"/>
    </row>
    <row r="127" spans="1:60" x14ac:dyDescent="0.2">
      <c r="A127" s="16">
        <v>2008</v>
      </c>
      <c r="B127" s="16">
        <v>4</v>
      </c>
      <c r="C127" s="17">
        <v>154097.479327979</v>
      </c>
      <c r="D127" s="18">
        <v>2.14330887164316E-3</v>
      </c>
      <c r="E127" s="17">
        <v>149082.88104732701</v>
      </c>
      <c r="F127" s="18">
        <v>2.5553817671439801E-3</v>
      </c>
      <c r="G127" s="17">
        <v>1218.81571874255</v>
      </c>
      <c r="H127" s="18">
        <v>1.40011319787945E-2</v>
      </c>
      <c r="I127" s="17">
        <v>180.45734004987301</v>
      </c>
      <c r="J127" s="18">
        <v>-8.5599278823942901E-2</v>
      </c>
      <c r="K127" s="17">
        <v>25793.600949706601</v>
      </c>
      <c r="L127" s="18">
        <v>-5.35475523824199E-2</v>
      </c>
      <c r="M127" s="17">
        <v>4396.5184064409104</v>
      </c>
      <c r="N127" s="18">
        <v>-4.3940587189140602E-2</v>
      </c>
      <c r="O127" s="17">
        <v>23078.5421639571</v>
      </c>
      <c r="P127" s="18">
        <v>-5.7064388716976298E-2</v>
      </c>
      <c r="Q127" s="17">
        <v>3544.24341300574</v>
      </c>
      <c r="R127" s="18">
        <v>5.8469396576121802E-4</v>
      </c>
      <c r="S127" s="17">
        <v>475.062409479834</v>
      </c>
      <c r="T127" s="18">
        <v>4.8217541441658102E-2</v>
      </c>
      <c r="U127" s="17">
        <v>7258.0516985374497</v>
      </c>
      <c r="V127" s="18">
        <v>-1.10476494494105E-2</v>
      </c>
      <c r="W127" s="17">
        <v>24749.007208215</v>
      </c>
      <c r="X127" s="18">
        <v>8.1584113024555802E-2</v>
      </c>
      <c r="Y127" s="17">
        <v>5806.0276973590499</v>
      </c>
      <c r="Z127" s="18">
        <v>3.4554081265686397E-2</v>
      </c>
      <c r="AA127" s="17">
        <v>6588.5867031824801</v>
      </c>
      <c r="AB127" s="18">
        <v>-3.89215321573773E-2</v>
      </c>
      <c r="AC127" s="17">
        <v>3419.3554778244202</v>
      </c>
      <c r="AD127" s="18">
        <v>-7.8559053323956597E-4</v>
      </c>
      <c r="AE127" s="17">
        <v>6802.4304703604303</v>
      </c>
      <c r="AF127" s="18">
        <v>3.1372281432689303E-2</v>
      </c>
      <c r="AG127" s="17">
        <v>12319.773991292501</v>
      </c>
      <c r="AH127" s="18">
        <v>-7.95375336810588E-2</v>
      </c>
      <c r="AI127" s="17">
        <v>6246.3146071584597</v>
      </c>
      <c r="AJ127" s="18">
        <v>-0.17310818637834599</v>
      </c>
      <c r="AK127" s="17">
        <v>4312.3817821441398</v>
      </c>
      <c r="AL127" s="18">
        <v>0.10944389907400601</v>
      </c>
      <c r="AM127" s="17">
        <v>26987.519208429901</v>
      </c>
      <c r="AN127" s="18">
        <v>2.7588793894324001E-2</v>
      </c>
      <c r="AO127" s="17">
        <v>10263.3040976721</v>
      </c>
      <c r="AP127" s="18">
        <v>1.5025637326375499E-2</v>
      </c>
      <c r="AQ127" s="17">
        <v>6957.4824381121298</v>
      </c>
      <c r="AR127" s="18">
        <v>-2.0553561990421E-2</v>
      </c>
      <c r="AS127" s="17">
        <v>9371.3397285061201</v>
      </c>
      <c r="AT127" s="18">
        <v>5.7164407630778499E-2</v>
      </c>
      <c r="AU127" s="17">
        <v>1427.2074058886501</v>
      </c>
      <c r="AV127" s="18">
        <v>0.23566184260030601</v>
      </c>
      <c r="AW127" s="17">
        <v>2291.8192273508898</v>
      </c>
      <c r="AX127" s="18">
        <v>2.4720791662245601E-2</v>
      </c>
      <c r="AY127" s="17">
        <v>534.78671962834198</v>
      </c>
      <c r="AZ127" s="18">
        <v>5.9307773675162601E-2</v>
      </c>
      <c r="BA127" s="17">
        <v>4990.6221987905101</v>
      </c>
      <c r="BB127" s="18">
        <v>-8.3693276119461996E-3</v>
      </c>
      <c r="BC127" s="17">
        <v>8064.83810466458</v>
      </c>
      <c r="BD127" s="18">
        <v>9.2401961286796598E-3</v>
      </c>
      <c r="BE127" s="17">
        <v>-3030.4224495122899</v>
      </c>
      <c r="BF127" s="18">
        <v>4.67261560370043E-2</v>
      </c>
      <c r="BG127" s="17"/>
      <c r="BH127" s="18"/>
    </row>
    <row r="128" spans="1:60" x14ac:dyDescent="0.2">
      <c r="A128" s="16">
        <v>2009</v>
      </c>
      <c r="B128" s="16">
        <v>1</v>
      </c>
      <c r="C128" s="17">
        <v>146342.41919662099</v>
      </c>
      <c r="D128" s="18">
        <v>-2.0780361214628701E-2</v>
      </c>
      <c r="E128" s="17">
        <v>141644.66060775399</v>
      </c>
      <c r="F128" s="18">
        <v>-2.03917258069495E-2</v>
      </c>
      <c r="G128" s="17">
        <v>1250.23733552623</v>
      </c>
      <c r="H128" s="18">
        <v>5.7832608138759199E-2</v>
      </c>
      <c r="I128" s="17">
        <v>153.937635573638</v>
      </c>
      <c r="J128" s="18">
        <v>-0.112075444058209</v>
      </c>
      <c r="K128" s="17">
        <v>23093.506684410699</v>
      </c>
      <c r="L128" s="18">
        <v>-0.12665516128399601</v>
      </c>
      <c r="M128" s="17">
        <v>4520.7839630955496</v>
      </c>
      <c r="N128" s="18">
        <v>-6.4402213721901594E-2</v>
      </c>
      <c r="O128" s="17">
        <v>19644.125286829101</v>
      </c>
      <c r="P128" s="18">
        <v>-0.14884221190066901</v>
      </c>
      <c r="Q128" s="17">
        <v>3384.5427505696898</v>
      </c>
      <c r="R128" s="18">
        <v>-3.7564831037774297E-2</v>
      </c>
      <c r="S128" s="17">
        <v>543.202693696594</v>
      </c>
      <c r="T128" s="18">
        <v>0.30202794299140101</v>
      </c>
      <c r="U128" s="17">
        <v>6668.6673372574196</v>
      </c>
      <c r="V128" s="18">
        <v>-1.54976857514771E-2</v>
      </c>
      <c r="W128" s="17">
        <v>22364.583120880099</v>
      </c>
      <c r="X128" s="18">
        <v>7.9981332366366301E-2</v>
      </c>
      <c r="Y128" s="17">
        <v>5235.8349871089504</v>
      </c>
      <c r="Z128" s="18">
        <v>1.3617340615243801E-2</v>
      </c>
      <c r="AA128" s="17">
        <v>6278.3414267109802</v>
      </c>
      <c r="AB128" s="18">
        <v>-6.9559017010884197E-2</v>
      </c>
      <c r="AC128" s="17">
        <v>3579.831272122</v>
      </c>
      <c r="AD128" s="18">
        <v>-6.2170800577365098E-2</v>
      </c>
      <c r="AE128" s="17">
        <v>6582.6410945420503</v>
      </c>
      <c r="AF128" s="18">
        <v>1.9636017966744999E-2</v>
      </c>
      <c r="AG128" s="17">
        <v>11836.393857655001</v>
      </c>
      <c r="AH128" s="18">
        <v>-7.6150309712236797E-2</v>
      </c>
      <c r="AI128" s="17">
        <v>5845.4014397193096</v>
      </c>
      <c r="AJ128" s="18">
        <v>-0.15519682996451301</v>
      </c>
      <c r="AK128" s="17">
        <v>4382.7734517743802</v>
      </c>
      <c r="AL128" s="18">
        <v>9.06396652071257E-2</v>
      </c>
      <c r="AM128" s="17">
        <v>26731.276230898398</v>
      </c>
      <c r="AN128" s="18">
        <v>3.1057254950841401E-3</v>
      </c>
      <c r="AO128" s="17">
        <v>10349.724463667601</v>
      </c>
      <c r="AP128" s="18">
        <v>1.44686898909741E-2</v>
      </c>
      <c r="AQ128" s="17">
        <v>6960.1168239381996</v>
      </c>
      <c r="AR128" s="18">
        <v>-1.7581335292906401E-2</v>
      </c>
      <c r="AS128" s="17">
        <v>9414.0752848682405</v>
      </c>
      <c r="AT128" s="18">
        <v>4.6504558057294497E-2</v>
      </c>
      <c r="AU128" s="17">
        <v>1178.19080707593</v>
      </c>
      <c r="AV128" s="18">
        <v>-6.1638774037838399E-2</v>
      </c>
      <c r="AW128" s="17">
        <v>2286.18510544017</v>
      </c>
      <c r="AX128" s="18">
        <v>9.1364150715203003E-3</v>
      </c>
      <c r="AY128" s="17">
        <v>527.61473361887795</v>
      </c>
      <c r="AZ128" s="18">
        <v>1.99955750743048E-2</v>
      </c>
      <c r="BA128" s="17">
        <v>4682.6335833325002</v>
      </c>
      <c r="BB128" s="18">
        <v>-3.1054993131342402E-2</v>
      </c>
      <c r="BC128" s="17">
        <v>7789.3460578222603</v>
      </c>
      <c r="BD128" s="18">
        <v>-1.7281927075224501E-3</v>
      </c>
      <c r="BE128" s="17">
        <v>-3092.21750999085</v>
      </c>
      <c r="BF128" s="18">
        <v>5.65236403830989E-2</v>
      </c>
      <c r="BG128" s="17"/>
      <c r="BH128" s="18"/>
    </row>
    <row r="129" spans="1:60" x14ac:dyDescent="0.2">
      <c r="A129" s="16">
        <v>2009</v>
      </c>
      <c r="B129" s="16">
        <v>2</v>
      </c>
      <c r="C129" s="17">
        <v>148585.048899446</v>
      </c>
      <c r="D129" s="18">
        <v>-3.3141056297082999E-2</v>
      </c>
      <c r="E129" s="17">
        <v>143796.54759159399</v>
      </c>
      <c r="F129" s="18">
        <v>-3.2685212650764302E-2</v>
      </c>
      <c r="G129" s="17">
        <v>1266.4346406951499</v>
      </c>
      <c r="H129" s="18">
        <v>7.0057402834656099E-2</v>
      </c>
      <c r="I129" s="17">
        <v>183.37398286776499</v>
      </c>
      <c r="J129" s="18">
        <v>-0.123180526096223</v>
      </c>
      <c r="K129" s="17">
        <v>23430.684183465499</v>
      </c>
      <c r="L129" s="18">
        <v>-0.17070848133231201</v>
      </c>
      <c r="M129" s="17">
        <v>4697.9548776045604</v>
      </c>
      <c r="N129" s="18">
        <v>-0.115857271315919</v>
      </c>
      <c r="O129" s="17">
        <v>19740.541651201002</v>
      </c>
      <c r="P129" s="18">
        <v>-0.190672246252196</v>
      </c>
      <c r="Q129" s="17">
        <v>3620.51355222555</v>
      </c>
      <c r="R129" s="18">
        <v>-4.8017152529892103E-2</v>
      </c>
      <c r="S129" s="17">
        <v>606.74189185943203</v>
      </c>
      <c r="T129" s="18">
        <v>0.60022436522917</v>
      </c>
      <c r="U129" s="17">
        <v>7274.5749213588197</v>
      </c>
      <c r="V129" s="18">
        <v>1.22945058435464E-4</v>
      </c>
      <c r="W129" s="17">
        <v>23410.858884748301</v>
      </c>
      <c r="X129" s="18">
        <v>6.11653138009145E-2</v>
      </c>
      <c r="Y129" s="17">
        <v>5397.1006382732703</v>
      </c>
      <c r="Z129" s="18">
        <v>1.7638362384319001E-2</v>
      </c>
      <c r="AA129" s="17">
        <v>6010.9271740403801</v>
      </c>
      <c r="AB129" s="18">
        <v>-6.92390298254415E-2</v>
      </c>
      <c r="AC129" s="17">
        <v>3355.2333197349299</v>
      </c>
      <c r="AD129" s="18">
        <v>-7.8530279816044393E-2</v>
      </c>
      <c r="AE129" s="17">
        <v>6302.4085667919398</v>
      </c>
      <c r="AF129" s="18">
        <v>1.4711713418242201E-2</v>
      </c>
      <c r="AG129" s="17">
        <v>12095.346714551801</v>
      </c>
      <c r="AH129" s="18">
        <v>-4.5076178126143202E-2</v>
      </c>
      <c r="AI129" s="17">
        <v>6056.4168062284198</v>
      </c>
      <c r="AJ129" s="18">
        <v>-9.2114555997703601E-2</v>
      </c>
      <c r="AK129" s="17">
        <v>4411.9969015151901</v>
      </c>
      <c r="AL129" s="18">
        <v>6.7795068734833194E-2</v>
      </c>
      <c r="AM129" s="17">
        <v>26624.069983473899</v>
      </c>
      <c r="AN129" s="18">
        <v>-1.58415752281281E-2</v>
      </c>
      <c r="AO129" s="17">
        <v>10367.360934811601</v>
      </c>
      <c r="AP129" s="18">
        <v>1.5953569372884301E-2</v>
      </c>
      <c r="AQ129" s="17">
        <v>6966.4773913865902</v>
      </c>
      <c r="AR129" s="18">
        <v>-1.40849669735249E-2</v>
      </c>
      <c r="AS129" s="17">
        <v>9449.6480487281096</v>
      </c>
      <c r="AT129" s="18">
        <v>3.3056366613445999E-2</v>
      </c>
      <c r="AU129" s="17">
        <v>1248.53695710742</v>
      </c>
      <c r="AV129" s="18">
        <v>-0.17400428817306801</v>
      </c>
      <c r="AW129" s="17">
        <v>2295.3348101762799</v>
      </c>
      <c r="AX129" s="18">
        <v>3.1268438564493501E-3</v>
      </c>
      <c r="AY129" s="17">
        <v>520.88459564150298</v>
      </c>
      <c r="AZ129" s="18">
        <v>-1.02017515059786E-2</v>
      </c>
      <c r="BA129" s="17">
        <v>4770.9132919427402</v>
      </c>
      <c r="BB129" s="18">
        <v>-4.5035858884743298E-2</v>
      </c>
      <c r="BC129" s="17">
        <v>7926.0327685188204</v>
      </c>
      <c r="BD129" s="18">
        <v>-7.4256236267704603E-3</v>
      </c>
      <c r="BE129" s="17">
        <v>-3139.1149151903001</v>
      </c>
      <c r="BF129" s="18">
        <v>7.0035439215324805E-2</v>
      </c>
      <c r="BG129" s="17"/>
      <c r="BH129" s="18"/>
    </row>
    <row r="130" spans="1:60" x14ac:dyDescent="0.2">
      <c r="A130" s="16">
        <v>2009</v>
      </c>
      <c r="B130" s="16">
        <v>3</v>
      </c>
      <c r="C130" s="17">
        <v>150111.47070693801</v>
      </c>
      <c r="D130" s="18">
        <v>-2.5595868139331901E-2</v>
      </c>
      <c r="E130" s="17">
        <v>145244.442791198</v>
      </c>
      <c r="F130" s="18">
        <v>-2.5511010804281399E-2</v>
      </c>
      <c r="G130" s="17">
        <v>1266.4557810880201</v>
      </c>
      <c r="H130" s="18">
        <v>5.74134621594313E-2</v>
      </c>
      <c r="I130" s="17">
        <v>182.846704427199</v>
      </c>
      <c r="J130" s="18">
        <v>-8.2549964299353407E-2</v>
      </c>
      <c r="K130" s="17">
        <v>23565.376155740199</v>
      </c>
      <c r="L130" s="18">
        <v>-0.12882975466232599</v>
      </c>
      <c r="M130" s="17">
        <v>4811.3396719252796</v>
      </c>
      <c r="N130" s="18">
        <v>-1.9603226407092899E-2</v>
      </c>
      <c r="O130" s="17">
        <v>19706.075729346299</v>
      </c>
      <c r="P130" s="18">
        <v>-0.16757132939161301</v>
      </c>
      <c r="Q130" s="17">
        <v>3558.2693806924699</v>
      </c>
      <c r="R130" s="18">
        <v>-0.115822796711383</v>
      </c>
      <c r="S130" s="17">
        <v>591.41328767197001</v>
      </c>
      <c r="T130" s="18">
        <v>0.49168671652252</v>
      </c>
      <c r="U130" s="17">
        <v>7610.54435957445</v>
      </c>
      <c r="V130" s="18">
        <v>3.4945117439872497E-2</v>
      </c>
      <c r="W130" s="17">
        <v>23270.9924480888</v>
      </c>
      <c r="X130" s="18">
        <v>3.4493226221371499E-2</v>
      </c>
      <c r="Y130" s="17">
        <v>5464.0956414705697</v>
      </c>
      <c r="Z130" s="18">
        <v>9.6837924214312494E-3</v>
      </c>
      <c r="AA130" s="17">
        <v>6044.8737913473296</v>
      </c>
      <c r="AB130" s="18">
        <v>-6.4445972345023403E-2</v>
      </c>
      <c r="AC130" s="17">
        <v>3819.3651080986301</v>
      </c>
      <c r="AD130" s="18">
        <v>-6.0908909888846299E-2</v>
      </c>
      <c r="AE130" s="17">
        <v>6470.6128479897297</v>
      </c>
      <c r="AF130" s="18">
        <v>1.27407314464711E-2</v>
      </c>
      <c r="AG130" s="17">
        <v>12443.103923259299</v>
      </c>
      <c r="AH130" s="18">
        <v>-1.1417307943385999E-2</v>
      </c>
      <c r="AI130" s="17">
        <v>6371.3546968335604</v>
      </c>
      <c r="AJ130" s="18">
        <v>-2.37027217438887E-2</v>
      </c>
      <c r="AK130" s="17">
        <v>4400.0502683726199</v>
      </c>
      <c r="AL130" s="18">
        <v>4.0391725556428601E-2</v>
      </c>
      <c r="AM130" s="17">
        <v>26641.962431195101</v>
      </c>
      <c r="AN130" s="18">
        <v>-2.33596275695916E-2</v>
      </c>
      <c r="AO130" s="17">
        <v>10449.449511500799</v>
      </c>
      <c r="AP130" s="18">
        <v>2.3416708056537901E-2</v>
      </c>
      <c r="AQ130" s="17">
        <v>7003.7807492863303</v>
      </c>
      <c r="AR130" s="18">
        <v>-2.7118790868019302E-3</v>
      </c>
      <c r="AS130" s="17">
        <v>9549.6454503352907</v>
      </c>
      <c r="AT130" s="18">
        <v>2.5560544973340302E-2</v>
      </c>
      <c r="AU130" s="17">
        <v>1240.3993020580299</v>
      </c>
      <c r="AV130" s="18">
        <v>-0.31131430674231197</v>
      </c>
      <c r="AW130" s="17">
        <v>2290.6991980790599</v>
      </c>
      <c r="AX130" s="18">
        <v>-7.2042847188985596E-3</v>
      </c>
      <c r="AY130" s="17">
        <v>522.25496602041505</v>
      </c>
      <c r="AZ130" s="18">
        <v>-1.9079522020530398E-2</v>
      </c>
      <c r="BA130" s="17">
        <v>4845.7688224117301</v>
      </c>
      <c r="BB130" s="18">
        <v>-2.78520158019862E-2</v>
      </c>
      <c r="BC130" s="17">
        <v>8030.1421445958003</v>
      </c>
      <c r="BD130" s="18">
        <v>1.8206803148390601E-3</v>
      </c>
      <c r="BE130" s="17">
        <v>-3165.6541333801702</v>
      </c>
      <c r="BF130" s="18">
        <v>6.1640915538920101E-2</v>
      </c>
      <c r="BG130" s="17"/>
      <c r="BH130" s="18"/>
    </row>
    <row r="131" spans="1:60" x14ac:dyDescent="0.2">
      <c r="A131" s="16">
        <v>2009</v>
      </c>
      <c r="B131" s="16">
        <v>4</v>
      </c>
      <c r="C131" s="17">
        <v>154411.599268341</v>
      </c>
      <c r="D131" s="18">
        <v>2.0384495692715699E-3</v>
      </c>
      <c r="E131" s="17">
        <v>149319.83006833299</v>
      </c>
      <c r="F131" s="18">
        <v>1.5893777967037599E-3</v>
      </c>
      <c r="G131" s="17">
        <v>1249.4335008585199</v>
      </c>
      <c r="H131" s="18">
        <v>2.51209281642342E-2</v>
      </c>
      <c r="I131" s="17">
        <v>177.35717302648601</v>
      </c>
      <c r="J131" s="18">
        <v>-1.71795008312223E-2</v>
      </c>
      <c r="K131" s="17">
        <v>24834.139386130599</v>
      </c>
      <c r="L131" s="18">
        <v>-3.71976586536618E-2</v>
      </c>
      <c r="M131" s="17">
        <v>4818.6288840052803</v>
      </c>
      <c r="N131" s="18">
        <v>9.6010169534596901E-2</v>
      </c>
      <c r="O131" s="17">
        <v>21198.246185838201</v>
      </c>
      <c r="P131" s="18">
        <v>-8.1473776149319804E-2</v>
      </c>
      <c r="Q131" s="17">
        <v>3125.2768713108899</v>
      </c>
      <c r="R131" s="18">
        <v>-0.118210431077458</v>
      </c>
      <c r="S131" s="17">
        <v>571.83055176361097</v>
      </c>
      <c r="T131" s="18">
        <v>0.20369564156787801</v>
      </c>
      <c r="U131" s="17">
        <v>7573.3074697399697</v>
      </c>
      <c r="V131" s="18">
        <v>4.3435316293771703E-2</v>
      </c>
      <c r="W131" s="17">
        <v>25569.3087163526</v>
      </c>
      <c r="X131" s="18">
        <v>3.3144824809994401E-2</v>
      </c>
      <c r="Y131" s="17">
        <v>6054.9132840988896</v>
      </c>
      <c r="Z131" s="18">
        <v>4.2866758429872497E-2</v>
      </c>
      <c r="AA131" s="17">
        <v>6281.9517878168799</v>
      </c>
      <c r="AB131" s="18">
        <v>-4.6540317245501103E-2</v>
      </c>
      <c r="AC131" s="17">
        <v>3245.58182020204</v>
      </c>
      <c r="AD131" s="18">
        <v>-5.0820588484981E-2</v>
      </c>
      <c r="AE131" s="17">
        <v>7024.0340911922704</v>
      </c>
      <c r="AF131" s="18">
        <v>3.2577123984935098E-2</v>
      </c>
      <c r="AG131" s="17">
        <v>12492.3024394605</v>
      </c>
      <c r="AH131" s="18">
        <v>1.4004189386095401E-2</v>
      </c>
      <c r="AI131" s="17">
        <v>6452.21813853195</v>
      </c>
      <c r="AJ131" s="18">
        <v>3.2964002667672097E-2</v>
      </c>
      <c r="AK131" s="17">
        <v>4345.8418930411099</v>
      </c>
      <c r="AL131" s="18">
        <v>7.7590789933095197E-3</v>
      </c>
      <c r="AM131" s="17">
        <v>26637.927748832499</v>
      </c>
      <c r="AN131" s="18">
        <v>-1.2953819760069801E-2</v>
      </c>
      <c r="AO131" s="17">
        <v>10502.312478256399</v>
      </c>
      <c r="AP131" s="18">
        <v>2.3287664314506101E-2</v>
      </c>
      <c r="AQ131" s="17">
        <v>7008.7836124380401</v>
      </c>
      <c r="AR131" s="18">
        <v>7.3735255219462602E-3</v>
      </c>
      <c r="AS131" s="17">
        <v>9609.7010625551593</v>
      </c>
      <c r="AT131" s="18">
        <v>2.5435139580308099E-2</v>
      </c>
      <c r="AU131" s="17">
        <v>1198.9767391092601</v>
      </c>
      <c r="AV131" s="18">
        <v>-0.159914155320179</v>
      </c>
      <c r="AW131" s="17">
        <v>2242.4373729991798</v>
      </c>
      <c r="AX131" s="18">
        <v>-2.15470111090699E-2</v>
      </c>
      <c r="AY131" s="17">
        <v>520.03046581875401</v>
      </c>
      <c r="AZ131" s="18">
        <v>-2.7592782819744598E-2</v>
      </c>
      <c r="BA131" s="17">
        <v>5059.7491744433</v>
      </c>
      <c r="BB131" s="18">
        <v>1.38513742173358E-2</v>
      </c>
      <c r="BC131" s="17">
        <v>8248.4256697229193</v>
      </c>
      <c r="BD131" s="18">
        <v>2.2763949217052801E-2</v>
      </c>
      <c r="BE131" s="17">
        <v>-3152.5474594173702</v>
      </c>
      <c r="BF131" s="18">
        <v>4.0299665125810097E-2</v>
      </c>
      <c r="BG131" s="17"/>
      <c r="BH131" s="18"/>
    </row>
    <row r="132" spans="1:60" x14ac:dyDescent="0.2">
      <c r="A132" s="16">
        <v>2010</v>
      </c>
      <c r="B132" s="16">
        <v>1</v>
      </c>
      <c r="C132" s="17">
        <v>150934.706559963</v>
      </c>
      <c r="D132" s="18">
        <v>3.1380425365064898E-2</v>
      </c>
      <c r="E132" s="17">
        <v>145924.52723641999</v>
      </c>
      <c r="F132" s="18">
        <v>3.0215516845479198E-2</v>
      </c>
      <c r="G132" s="17">
        <v>1217.5890827903399</v>
      </c>
      <c r="H132" s="18">
        <v>-2.61136440323552E-2</v>
      </c>
      <c r="I132" s="17">
        <v>163.70565434454701</v>
      </c>
      <c r="J132" s="18">
        <v>6.3454390048989506E-2</v>
      </c>
      <c r="K132" s="17">
        <v>24289.885420631599</v>
      </c>
      <c r="L132" s="18">
        <v>5.1805849694902803E-2</v>
      </c>
      <c r="M132" s="17">
        <v>5056.4488836077198</v>
      </c>
      <c r="N132" s="18">
        <v>0.11848938699238</v>
      </c>
      <c r="O132" s="17">
        <v>20152.995826935901</v>
      </c>
      <c r="P132" s="18">
        <v>2.5904464193577899E-2</v>
      </c>
      <c r="Q132" s="17">
        <v>3252.6544259042498</v>
      </c>
      <c r="R132" s="18">
        <v>-3.8967841266960401E-2</v>
      </c>
      <c r="S132" s="17">
        <v>499.17643669040302</v>
      </c>
      <c r="T132" s="18">
        <v>-8.1049408475101697E-2</v>
      </c>
      <c r="U132" s="17">
        <v>7087.63739820709</v>
      </c>
      <c r="V132" s="18">
        <v>6.2826654826356104E-2</v>
      </c>
      <c r="W132" s="17">
        <v>23364.192573789001</v>
      </c>
      <c r="X132" s="18">
        <v>4.4696091472216301E-2</v>
      </c>
      <c r="Y132" s="17">
        <v>5499.8094277553801</v>
      </c>
      <c r="Z132" s="18">
        <v>5.0416875492896203E-2</v>
      </c>
      <c r="AA132" s="17">
        <v>6408.1476554323599</v>
      </c>
      <c r="AB132" s="18">
        <v>2.0675242058215901E-2</v>
      </c>
      <c r="AC132" s="17">
        <v>3557.4435545787001</v>
      </c>
      <c r="AD132" s="18">
        <v>-6.25384713454313E-3</v>
      </c>
      <c r="AE132" s="17">
        <v>6836.8521022874802</v>
      </c>
      <c r="AF132" s="18">
        <v>3.8618391021835001E-2</v>
      </c>
      <c r="AG132" s="17">
        <v>12290.6291758889</v>
      </c>
      <c r="AH132" s="18">
        <v>3.8376157780532799E-2</v>
      </c>
      <c r="AI132" s="17">
        <v>6338.7363647468301</v>
      </c>
      <c r="AJ132" s="18">
        <v>8.4397099175315099E-2</v>
      </c>
      <c r="AK132" s="17">
        <v>4247.1614230394898</v>
      </c>
      <c r="AL132" s="18">
        <v>-3.0942057632477E-2</v>
      </c>
      <c r="AM132" s="17">
        <v>26854.151019464502</v>
      </c>
      <c r="AN132" s="18">
        <v>4.5966674955828504E-3</v>
      </c>
      <c r="AO132" s="17">
        <v>10440.4930934737</v>
      </c>
      <c r="AP132" s="18">
        <v>8.7701494010488101E-3</v>
      </c>
      <c r="AQ132" s="17">
        <v>6966.8904142949204</v>
      </c>
      <c r="AR132" s="18">
        <v>9.7320067005490795E-4</v>
      </c>
      <c r="AS132" s="17">
        <v>9563.2843317139796</v>
      </c>
      <c r="AT132" s="18">
        <v>1.58495701734589E-2</v>
      </c>
      <c r="AU132" s="17">
        <v>1550.50768502095</v>
      </c>
      <c r="AV132" s="18">
        <v>0.316007284820919</v>
      </c>
      <c r="AW132" s="17">
        <v>2241.96637205361</v>
      </c>
      <c r="AX132" s="18">
        <v>-1.9341711780614199E-2</v>
      </c>
      <c r="AY132" s="17">
        <v>518.39885506533903</v>
      </c>
      <c r="AZ132" s="18">
        <v>-1.7467060653002998E-2</v>
      </c>
      <c r="BA132" s="17">
        <v>4980.2043463514001</v>
      </c>
      <c r="BB132" s="18">
        <v>6.3547736059912804E-2</v>
      </c>
      <c r="BC132" s="17">
        <v>8117.0577438516402</v>
      </c>
      <c r="BD132" s="18">
        <v>4.2071784151929102E-2</v>
      </c>
      <c r="BE132" s="17">
        <v>-3105.1046116775201</v>
      </c>
      <c r="BF132" s="18">
        <v>4.1675922360009396E-3</v>
      </c>
      <c r="BG132" s="17"/>
      <c r="BH132" s="18"/>
    </row>
    <row r="133" spans="1:60" x14ac:dyDescent="0.2">
      <c r="A133" s="16">
        <v>2010</v>
      </c>
      <c r="B133" s="16">
        <v>2</v>
      </c>
      <c r="C133" s="17">
        <v>154065.34177321001</v>
      </c>
      <c r="D133" s="18">
        <v>3.6883205371977E-2</v>
      </c>
      <c r="E133" s="17">
        <v>148930.704229992</v>
      </c>
      <c r="F133" s="18">
        <v>3.5704310878032601E-2</v>
      </c>
      <c r="G133" s="17">
        <v>1203.6740319732901</v>
      </c>
      <c r="H133" s="18">
        <v>-4.9556926749422997E-2</v>
      </c>
      <c r="I133" s="17">
        <v>205.28533711510801</v>
      </c>
      <c r="J133" s="18">
        <v>0.11948998382798599</v>
      </c>
      <c r="K133" s="17">
        <v>25377.697025699199</v>
      </c>
      <c r="L133" s="18">
        <v>8.3096713138560901E-2</v>
      </c>
      <c r="M133" s="17">
        <v>5206.5239064201396</v>
      </c>
      <c r="N133" s="18">
        <v>0.10825328085630501</v>
      </c>
      <c r="O133" s="17">
        <v>21183.889591947402</v>
      </c>
      <c r="P133" s="18">
        <v>7.3115923881380995E-2</v>
      </c>
      <c r="Q133" s="17">
        <v>3393.1428194032501</v>
      </c>
      <c r="R133" s="18">
        <v>-6.2800685466991801E-2</v>
      </c>
      <c r="S133" s="17">
        <v>447.67075795554598</v>
      </c>
      <c r="T133" s="18">
        <v>-0.26217265700311898</v>
      </c>
      <c r="U133" s="17">
        <v>7862.2668639475396</v>
      </c>
      <c r="V133" s="18">
        <v>8.0787118002346503E-2</v>
      </c>
      <c r="W133" s="17">
        <v>24176.139072594298</v>
      </c>
      <c r="X133" s="18">
        <v>3.2689111989163702E-2</v>
      </c>
      <c r="Y133" s="17">
        <v>5605.8885405354204</v>
      </c>
      <c r="Z133" s="18">
        <v>3.8685197155957897E-2</v>
      </c>
      <c r="AA133" s="17">
        <v>6312.6730358621699</v>
      </c>
      <c r="AB133" s="18">
        <v>5.0199553760183598E-2</v>
      </c>
      <c r="AC133" s="17">
        <v>3447.6287402232601</v>
      </c>
      <c r="AD133" s="18">
        <v>2.7537703546540698E-2</v>
      </c>
      <c r="AE133" s="17">
        <v>6488.6325844105704</v>
      </c>
      <c r="AF133" s="18">
        <v>2.9548071288151699E-2</v>
      </c>
      <c r="AG133" s="17">
        <v>12314.4487713947</v>
      </c>
      <c r="AH133" s="18">
        <v>1.8114574308090801E-2</v>
      </c>
      <c r="AI133" s="17">
        <v>6402.7289158747099</v>
      </c>
      <c r="AJ133" s="18">
        <v>5.7181023157148299E-2</v>
      </c>
      <c r="AK133" s="17">
        <v>4191.9264469459804</v>
      </c>
      <c r="AL133" s="18">
        <v>-4.98800111336518E-2</v>
      </c>
      <c r="AM133" s="17">
        <v>27089.0902446617</v>
      </c>
      <c r="AN133" s="18">
        <v>1.74661598123966E-2</v>
      </c>
      <c r="AO133" s="17">
        <v>10421.022643164501</v>
      </c>
      <c r="AP133" s="18">
        <v>5.1760239361109397E-3</v>
      </c>
      <c r="AQ133" s="17">
        <v>6984.8279751751097</v>
      </c>
      <c r="AR133" s="18">
        <v>2.6341266550584698E-3</v>
      </c>
      <c r="AS133" s="17">
        <v>9559.4187453181894</v>
      </c>
      <c r="AT133" s="18">
        <v>1.16163793639763E-2</v>
      </c>
      <c r="AU133" s="17">
        <v>2057.74296032757</v>
      </c>
      <c r="AV133" s="18">
        <v>0.64812338842968298</v>
      </c>
      <c r="AW133" s="17">
        <v>2237.42042445274</v>
      </c>
      <c r="AX133" s="18">
        <v>-2.5231345539121999E-2</v>
      </c>
      <c r="AY133" s="17">
        <v>517.7008481089</v>
      </c>
      <c r="AZ133" s="18">
        <v>-6.1121936782985199E-3</v>
      </c>
      <c r="BA133" s="17">
        <v>5102.5431208512</v>
      </c>
      <c r="BB133" s="18">
        <v>6.9510764211230702E-2</v>
      </c>
      <c r="BC133" s="17">
        <v>8246.10180160255</v>
      </c>
      <c r="BD133" s="18">
        <v>4.0381997202308298E-2</v>
      </c>
      <c r="BE133" s="17">
        <v>-3104.9614570133999</v>
      </c>
      <c r="BF133" s="18">
        <v>-1.08799642891783E-2</v>
      </c>
      <c r="BG133" s="17"/>
      <c r="BH133" s="18"/>
    </row>
    <row r="134" spans="1:60" x14ac:dyDescent="0.2">
      <c r="A134" s="16">
        <v>2010</v>
      </c>
      <c r="B134" s="16">
        <v>3</v>
      </c>
      <c r="C134" s="17">
        <v>154561.49358354701</v>
      </c>
      <c r="D134" s="18">
        <v>2.96447890068057E-2</v>
      </c>
      <c r="E134" s="17">
        <v>149427.01516815301</v>
      </c>
      <c r="F134" s="18">
        <v>2.8796780768874899E-2</v>
      </c>
      <c r="G134" s="17">
        <v>1208.77541110117</v>
      </c>
      <c r="H134" s="18">
        <v>-4.5544716876965E-2</v>
      </c>
      <c r="I134" s="17">
        <v>203.38754053021799</v>
      </c>
      <c r="J134" s="18">
        <v>0.11233911033489501</v>
      </c>
      <c r="K134" s="17">
        <v>25253.224852824202</v>
      </c>
      <c r="L134" s="18">
        <v>7.1624093158081395E-2</v>
      </c>
      <c r="M134" s="17">
        <v>5167.0635126423604</v>
      </c>
      <c r="N134" s="18">
        <v>7.3934468354577093E-2</v>
      </c>
      <c r="O134" s="17">
        <v>21103.385861994699</v>
      </c>
      <c r="P134" s="18">
        <v>7.0907579562761794E-2</v>
      </c>
      <c r="Q134" s="17">
        <v>3450.59736689491</v>
      </c>
      <c r="R134" s="18">
        <v>-3.0259657793702401E-2</v>
      </c>
      <c r="S134" s="17">
        <v>461.93974950039802</v>
      </c>
      <c r="T134" s="18">
        <v>-0.21892226784627999</v>
      </c>
      <c r="U134" s="17">
        <v>8093.3824036653295</v>
      </c>
      <c r="V134" s="18">
        <v>6.3443299359189798E-2</v>
      </c>
      <c r="W134" s="17">
        <v>24349.753896505801</v>
      </c>
      <c r="X134" s="18">
        <v>4.63564865496571E-2</v>
      </c>
      <c r="Y134" s="17">
        <v>5780.7515190150398</v>
      </c>
      <c r="Z134" s="18">
        <v>5.7952111076016201E-2</v>
      </c>
      <c r="AA134" s="17">
        <v>6382.9432569553101</v>
      </c>
      <c r="AB134" s="18">
        <v>5.59266375572465E-2</v>
      </c>
      <c r="AC134" s="17">
        <v>3860.93971306818</v>
      </c>
      <c r="AD134" s="18">
        <v>1.08852135873025E-2</v>
      </c>
      <c r="AE134" s="17">
        <v>6665.4294255712603</v>
      </c>
      <c r="AF134" s="18">
        <v>3.01079020114845E-2</v>
      </c>
      <c r="AG134" s="17">
        <v>11888.882972155299</v>
      </c>
      <c r="AH134" s="18">
        <v>-4.4540410055402997E-2</v>
      </c>
      <c r="AI134" s="17">
        <v>6026.8008193897003</v>
      </c>
      <c r="AJ134" s="18">
        <v>-5.4078589850773101E-2</v>
      </c>
      <c r="AK134" s="17">
        <v>4177.8994375533603</v>
      </c>
      <c r="AL134" s="18">
        <v>-5.0488248376631698E-2</v>
      </c>
      <c r="AM134" s="17">
        <v>27331.502911095002</v>
      </c>
      <c r="AN134" s="18">
        <v>2.5881745073423199E-2</v>
      </c>
      <c r="AO134" s="17">
        <v>10479.2060089771</v>
      </c>
      <c r="AP134" s="18">
        <v>2.8476617302728401E-3</v>
      </c>
      <c r="AQ134" s="17">
        <v>7015.3281948154599</v>
      </c>
      <c r="AR134" s="18">
        <v>1.64874457703434E-3</v>
      </c>
      <c r="AS134" s="17">
        <v>9628.65578119153</v>
      </c>
      <c r="AT134" s="18">
        <v>8.2736402379692802E-3</v>
      </c>
      <c r="AU134" s="17">
        <v>1723.6206994286199</v>
      </c>
      <c r="AV134" s="18">
        <v>0.38956922707780101</v>
      </c>
      <c r="AW134" s="17">
        <v>2257.6347527954399</v>
      </c>
      <c r="AX134" s="18">
        <v>-1.4434215243689E-2</v>
      </c>
      <c r="AY134" s="17">
        <v>515.98495450318103</v>
      </c>
      <c r="AZ134" s="18">
        <v>-1.20056522679174E-2</v>
      </c>
      <c r="BA134" s="17">
        <v>5103.4980335421496</v>
      </c>
      <c r="BB134" s="18">
        <v>5.31864437978165E-2</v>
      </c>
      <c r="BC134" s="17">
        <v>8272.9237489846691</v>
      </c>
      <c r="BD134" s="18">
        <v>3.0233786652488201E-2</v>
      </c>
      <c r="BE134" s="17">
        <v>-3133.0018133995</v>
      </c>
      <c r="BF134" s="18">
        <v>-1.0314556993566201E-2</v>
      </c>
      <c r="BG134" s="17"/>
      <c r="BH134" s="18"/>
    </row>
    <row r="135" spans="1:60" x14ac:dyDescent="0.2">
      <c r="A135" s="16">
        <v>2010</v>
      </c>
      <c r="B135" s="16">
        <v>4</v>
      </c>
      <c r="C135" s="17">
        <v>159434.865008058</v>
      </c>
      <c r="D135" s="18">
        <v>3.2531660597515E-2</v>
      </c>
      <c r="E135" s="17">
        <v>154147.706051418</v>
      </c>
      <c r="F135" s="18">
        <v>3.2332450290599099E-2</v>
      </c>
      <c r="G135" s="17">
        <v>1237.8394031549999</v>
      </c>
      <c r="H135" s="18">
        <v>-9.2794836184171298E-3</v>
      </c>
      <c r="I135" s="17">
        <v>188.90331046356701</v>
      </c>
      <c r="J135" s="18">
        <v>6.5101045760108001E-2</v>
      </c>
      <c r="K135" s="17">
        <v>26824.347865057101</v>
      </c>
      <c r="L135" s="18">
        <v>8.01400220874178E-2</v>
      </c>
      <c r="M135" s="17">
        <v>5187.4633593276703</v>
      </c>
      <c r="N135" s="18">
        <v>7.6543449226122801E-2</v>
      </c>
      <c r="O135" s="17">
        <v>22922.2775762327</v>
      </c>
      <c r="P135" s="18">
        <v>8.1328963503892501E-2</v>
      </c>
      <c r="Q135" s="17">
        <v>3450.14368924159</v>
      </c>
      <c r="R135" s="18">
        <v>0.103948172052493</v>
      </c>
      <c r="S135" s="17">
        <v>463.701459108515</v>
      </c>
      <c r="T135" s="18">
        <v>-0.18909289180441599</v>
      </c>
      <c r="U135" s="17">
        <v>8092.1443761620103</v>
      </c>
      <c r="V135" s="18">
        <v>6.8508628296832394E-2</v>
      </c>
      <c r="W135" s="17">
        <v>26147.876493320098</v>
      </c>
      <c r="X135" s="18">
        <v>2.2627431323456501E-2</v>
      </c>
      <c r="Y135" s="17">
        <v>6284.7390006067499</v>
      </c>
      <c r="Z135" s="18">
        <v>3.79568964449781E-2</v>
      </c>
      <c r="AA135" s="17">
        <v>6734.5738358240396</v>
      </c>
      <c r="AB135" s="18">
        <v>7.2051181431377301E-2</v>
      </c>
      <c r="AC135" s="17">
        <v>3283.7388174037601</v>
      </c>
      <c r="AD135" s="18">
        <v>1.17565969109819E-2</v>
      </c>
      <c r="AE135" s="17">
        <v>7276.8446787016301</v>
      </c>
      <c r="AF135" s="18">
        <v>3.5992221026713199E-2</v>
      </c>
      <c r="AG135" s="17">
        <v>12379.088270217901</v>
      </c>
      <c r="AH135" s="18">
        <v>-9.0627144028295695E-3</v>
      </c>
      <c r="AI135" s="17">
        <v>6414.91504546134</v>
      </c>
      <c r="AJ135" s="18">
        <v>-5.7814370608212399E-3</v>
      </c>
      <c r="AK135" s="17">
        <v>4203.9336667729804</v>
      </c>
      <c r="AL135" s="18">
        <v>-3.265379407736E-2</v>
      </c>
      <c r="AM135" s="17">
        <v>27445.227920147801</v>
      </c>
      <c r="AN135" s="18">
        <v>3.0306417936383698E-2</v>
      </c>
      <c r="AO135" s="17">
        <v>10546.223643798799</v>
      </c>
      <c r="AP135" s="18">
        <v>4.1810949382195001E-3</v>
      </c>
      <c r="AQ135" s="17">
        <v>7052.58806922637</v>
      </c>
      <c r="AR135" s="18">
        <v>6.2499371090003501E-3</v>
      </c>
      <c r="AS135" s="17">
        <v>9665.7786436323004</v>
      </c>
      <c r="AT135" s="18">
        <v>5.8355177452551503E-3</v>
      </c>
      <c r="AU135" s="17">
        <v>1370.25379405387</v>
      </c>
      <c r="AV135" s="18">
        <v>0.14285269209797599</v>
      </c>
      <c r="AW135" s="17">
        <v>2268.6266507587102</v>
      </c>
      <c r="AX135" s="18">
        <v>1.1678933857808301E-2</v>
      </c>
      <c r="AY135" s="17">
        <v>513.11452826605</v>
      </c>
      <c r="AZ135" s="18">
        <v>-1.3299100739828301E-2</v>
      </c>
      <c r="BA135" s="17">
        <v>5255.8734409508397</v>
      </c>
      <c r="BB135" s="18">
        <v>3.8761657889716097E-2</v>
      </c>
      <c r="BC135" s="17">
        <v>8469.2467201392501</v>
      </c>
      <c r="BD135" s="18">
        <v>2.6771296639902301E-2</v>
      </c>
      <c r="BE135" s="17">
        <v>-3171.4900224036701</v>
      </c>
      <c r="BF135" s="18">
        <v>6.0086527578542296E-3</v>
      </c>
      <c r="BG135" s="17"/>
      <c r="BH135" s="18"/>
    </row>
    <row r="136" spans="1:60" x14ac:dyDescent="0.2">
      <c r="A136" s="16">
        <v>2011</v>
      </c>
      <c r="B136" s="16">
        <v>1</v>
      </c>
      <c r="C136" s="17">
        <v>154402.32905010201</v>
      </c>
      <c r="D136" s="18">
        <v>2.2974321606812599E-2</v>
      </c>
      <c r="E136" s="17">
        <v>149398.75529961701</v>
      </c>
      <c r="F136" s="18">
        <v>2.3808390056100401E-2</v>
      </c>
      <c r="G136" s="17">
        <v>1305.3444784840499</v>
      </c>
      <c r="H136" s="18">
        <v>7.2073080264978898E-2</v>
      </c>
      <c r="I136" s="17">
        <v>179.74374598800199</v>
      </c>
      <c r="J136" s="18">
        <v>9.7969075702783806E-2</v>
      </c>
      <c r="K136" s="17">
        <v>26810.404504006699</v>
      </c>
      <c r="L136" s="18">
        <v>0.103768257434192</v>
      </c>
      <c r="M136" s="17">
        <v>5732.4759896246997</v>
      </c>
      <c r="N136" s="18">
        <v>0.13369602295566799</v>
      </c>
      <c r="O136" s="17">
        <v>22017.334615330099</v>
      </c>
      <c r="P136" s="18">
        <v>9.2509262861174293E-2</v>
      </c>
      <c r="Q136" s="17">
        <v>3186.8043640651299</v>
      </c>
      <c r="R136" s="18">
        <v>-2.02450224391169E-2</v>
      </c>
      <c r="S136" s="17">
        <v>457.200894180445</v>
      </c>
      <c r="T136" s="18">
        <v>-8.4089591224019003E-2</v>
      </c>
      <c r="U136" s="17">
        <v>7392.07894903543</v>
      </c>
      <c r="V136" s="18">
        <v>4.29538834626828E-2</v>
      </c>
      <c r="W136" s="17">
        <v>22950.6568432319</v>
      </c>
      <c r="X136" s="18">
        <v>-1.7699551536012201E-2</v>
      </c>
      <c r="Y136" s="17">
        <v>5559.5026283857997</v>
      </c>
      <c r="Z136" s="18">
        <v>1.08536852802887E-2</v>
      </c>
      <c r="AA136" s="17">
        <v>6582.0100855432702</v>
      </c>
      <c r="AB136" s="18">
        <v>2.7131464419913699E-2</v>
      </c>
      <c r="AC136" s="17">
        <v>3570.4319291132301</v>
      </c>
      <c r="AD136" s="18">
        <v>3.65104163573227E-3</v>
      </c>
      <c r="AE136" s="17">
        <v>6764.5652224483101</v>
      </c>
      <c r="AF136" s="18">
        <v>-1.05731232382484E-2</v>
      </c>
      <c r="AG136" s="17">
        <v>12493.098464295999</v>
      </c>
      <c r="AH136" s="18">
        <v>1.647346816096E-2</v>
      </c>
      <c r="AI136" s="17">
        <v>6420.5656592087298</v>
      </c>
      <c r="AJ136" s="18">
        <v>1.2909401772409601E-2</v>
      </c>
      <c r="AK136" s="17">
        <v>4269.9428510676798</v>
      </c>
      <c r="AL136" s="18">
        <v>5.3639185703202603E-3</v>
      </c>
      <c r="AM136" s="17">
        <v>27521.8020353057</v>
      </c>
      <c r="AN136" s="18">
        <v>2.4862115929760401E-2</v>
      </c>
      <c r="AO136" s="17">
        <v>10521.4568121172</v>
      </c>
      <c r="AP136" s="18">
        <v>7.7547791966028302E-3</v>
      </c>
      <c r="AQ136" s="17">
        <v>7112.4501203909504</v>
      </c>
      <c r="AR136" s="18">
        <v>2.0893066696925401E-2</v>
      </c>
      <c r="AS136" s="17">
        <v>9552.1285138698004</v>
      </c>
      <c r="AT136" s="18">
        <v>-1.1665257935692399E-3</v>
      </c>
      <c r="AU136" s="17">
        <v>1207.04091168335</v>
      </c>
      <c r="AV136" s="18">
        <v>-0.22151891064826601</v>
      </c>
      <c r="AW136" s="17">
        <v>2277.2404925815499</v>
      </c>
      <c r="AX136" s="18">
        <v>1.5733563610782299E-2</v>
      </c>
      <c r="AY136" s="17">
        <v>510.015767305704</v>
      </c>
      <c r="AZ136" s="18">
        <v>-1.61711154986603E-2</v>
      </c>
      <c r="BA136" s="17">
        <v>4981.6542288435203</v>
      </c>
      <c r="BB136" s="18">
        <v>2.9112911665740698E-4</v>
      </c>
      <c r="BC136" s="17">
        <v>8218.4144098277793</v>
      </c>
      <c r="BD136" s="18">
        <v>1.2486872605152599E-2</v>
      </c>
      <c r="BE136" s="17">
        <v>-3213.1823034210502</v>
      </c>
      <c r="BF136" s="18">
        <v>3.4806457514210402E-2</v>
      </c>
      <c r="BG136" s="17"/>
      <c r="BH136" s="18"/>
    </row>
    <row r="137" spans="1:60" x14ac:dyDescent="0.2">
      <c r="A137" s="16">
        <v>2011</v>
      </c>
      <c r="B137" s="16">
        <v>2</v>
      </c>
      <c r="C137" s="17">
        <v>157244.27159939101</v>
      </c>
      <c r="D137" s="18">
        <v>2.0633646669609099E-2</v>
      </c>
      <c r="E137" s="17">
        <v>152216.546310156</v>
      </c>
      <c r="F137" s="18">
        <v>2.20628922501434E-2</v>
      </c>
      <c r="G137" s="17">
        <v>1340.38890097688</v>
      </c>
      <c r="H137" s="18">
        <v>0.113581306376995</v>
      </c>
      <c r="I137" s="17">
        <v>199.64988413656201</v>
      </c>
      <c r="J137" s="18">
        <v>-2.7451804681919701E-2</v>
      </c>
      <c r="K137" s="17">
        <v>28181.617372987101</v>
      </c>
      <c r="L137" s="18">
        <v>0.11048758066772101</v>
      </c>
      <c r="M137" s="17">
        <v>6065.9071182027901</v>
      </c>
      <c r="N137" s="18">
        <v>0.16505891977619799</v>
      </c>
      <c r="O137" s="17">
        <v>23079.455732139901</v>
      </c>
      <c r="P137" s="18">
        <v>8.9481496396819599E-2</v>
      </c>
      <c r="Q137" s="17">
        <v>3210.81130831665</v>
      </c>
      <c r="R137" s="18">
        <v>-5.3735289314659797E-2</v>
      </c>
      <c r="S137" s="17">
        <v>464.94980752935697</v>
      </c>
      <c r="T137" s="18">
        <v>3.8597673104051398E-2</v>
      </c>
      <c r="U137" s="17">
        <v>7953.1848067396604</v>
      </c>
      <c r="V137" s="18">
        <v>1.15638332258889E-2</v>
      </c>
      <c r="W137" s="17">
        <v>23466.1861929714</v>
      </c>
      <c r="X137" s="18">
        <v>-2.9365850249749099E-2</v>
      </c>
      <c r="Y137" s="17">
        <v>5762.3669616964298</v>
      </c>
      <c r="Z137" s="18">
        <v>2.7913223752049601E-2</v>
      </c>
      <c r="AA137" s="17">
        <v>6473.3490998583502</v>
      </c>
      <c r="AB137" s="18">
        <v>2.5452936194126901E-2</v>
      </c>
      <c r="AC137" s="17">
        <v>3472.2456813833301</v>
      </c>
      <c r="AD137" s="18">
        <v>7.1402529143764796E-3</v>
      </c>
      <c r="AE137" s="17">
        <v>6492.4249766590401</v>
      </c>
      <c r="AF137" s="18">
        <v>5.8446709674719898E-4</v>
      </c>
      <c r="AG137" s="17">
        <v>12499.6872148824</v>
      </c>
      <c r="AH137" s="18">
        <v>1.5042365835976399E-2</v>
      </c>
      <c r="AI137" s="17">
        <v>6350.2099982470099</v>
      </c>
      <c r="AJ137" s="18">
        <v>-8.2025833543383202E-3</v>
      </c>
      <c r="AK137" s="17">
        <v>4325.0032287162103</v>
      </c>
      <c r="AL137" s="18">
        <v>3.1745972515138797E-2</v>
      </c>
      <c r="AM137" s="17">
        <v>27833.4730163856</v>
      </c>
      <c r="AN137" s="18">
        <v>2.74790613121665E-2</v>
      </c>
      <c r="AO137" s="17">
        <v>10574.5326973351</v>
      </c>
      <c r="AP137" s="18">
        <v>1.47308051644375E-2</v>
      </c>
      <c r="AQ137" s="17">
        <v>7164.3607022675596</v>
      </c>
      <c r="AR137" s="18">
        <v>2.57032424750527E-2</v>
      </c>
      <c r="AS137" s="17">
        <v>9660.3768514448402</v>
      </c>
      <c r="AT137" s="18">
        <v>1.05611134752408E-2</v>
      </c>
      <c r="AU137" s="17">
        <v>1277.7486560661</v>
      </c>
      <c r="AV137" s="18">
        <v>-0.37905332167303202</v>
      </c>
      <c r="AW137" s="17">
        <v>2316.1613272612799</v>
      </c>
      <c r="AX137" s="18">
        <v>3.5192716553393802E-2</v>
      </c>
      <c r="AY137" s="17">
        <v>510.19611997897198</v>
      </c>
      <c r="AZ137" s="18">
        <v>-1.4496263927984599E-2</v>
      </c>
      <c r="BA137" s="17">
        <v>5010.2864600229304</v>
      </c>
      <c r="BB137" s="18">
        <v>-1.8080525464110899E-2</v>
      </c>
      <c r="BC137" s="17">
        <v>8310.2152477503696</v>
      </c>
      <c r="BD137" s="18">
        <v>7.7750005627330596E-3</v>
      </c>
      <c r="BE137" s="17">
        <v>-3279.9534824524599</v>
      </c>
      <c r="BF137" s="18">
        <v>5.6358839831581499E-2</v>
      </c>
      <c r="BG137" s="17"/>
      <c r="BH137" s="18"/>
    </row>
    <row r="138" spans="1:60" x14ac:dyDescent="0.2">
      <c r="A138" s="16">
        <v>2011</v>
      </c>
      <c r="B138" s="16">
        <v>3</v>
      </c>
      <c r="C138" s="17">
        <v>155909.331659574</v>
      </c>
      <c r="D138" s="18">
        <v>8.72040017715703E-3</v>
      </c>
      <c r="E138" s="17">
        <v>151008.762053087</v>
      </c>
      <c r="F138" s="18">
        <v>1.0585414445668099E-2</v>
      </c>
      <c r="G138" s="17">
        <v>1360.11471103025</v>
      </c>
      <c r="H138" s="18">
        <v>0.125200511641127</v>
      </c>
      <c r="I138" s="17">
        <v>195.52523196086</v>
      </c>
      <c r="J138" s="18">
        <v>-3.8656785705070702E-2</v>
      </c>
      <c r="K138" s="17">
        <v>27743.578413792799</v>
      </c>
      <c r="L138" s="18">
        <v>9.8615268959997296E-2</v>
      </c>
      <c r="M138" s="17">
        <v>5957.1539738046604</v>
      </c>
      <c r="N138" s="18">
        <v>0.15290898964744101</v>
      </c>
      <c r="O138" s="17">
        <v>22743.712537281401</v>
      </c>
      <c r="P138" s="18">
        <v>7.77281278944328E-2</v>
      </c>
      <c r="Q138" s="17">
        <v>3344.03541858269</v>
      </c>
      <c r="R138" s="18">
        <v>-3.0882174006904101E-2</v>
      </c>
      <c r="S138" s="17">
        <v>466.20572793588599</v>
      </c>
      <c r="T138" s="18">
        <v>9.2349239053390892E-3</v>
      </c>
      <c r="U138" s="17">
        <v>8050.8710659129501</v>
      </c>
      <c r="V138" s="18">
        <v>-5.25260461350807E-3</v>
      </c>
      <c r="W138" s="17">
        <v>22395.6457945039</v>
      </c>
      <c r="X138" s="18">
        <v>-8.0251657175161695E-2</v>
      </c>
      <c r="Y138" s="17">
        <v>5667.0834133947901</v>
      </c>
      <c r="Z138" s="18">
        <v>-1.9663205596428101E-2</v>
      </c>
      <c r="AA138" s="17">
        <v>6491.9538641114204</v>
      </c>
      <c r="AB138" s="18">
        <v>1.7078423349184999E-2</v>
      </c>
      <c r="AC138" s="17">
        <v>3758.9049952820401</v>
      </c>
      <c r="AD138" s="18">
        <v>-2.6427430980281299E-2</v>
      </c>
      <c r="AE138" s="17">
        <v>6482.2329669706496</v>
      </c>
      <c r="AF138" s="18">
        <v>-2.7484569545931401E-2</v>
      </c>
      <c r="AG138" s="17">
        <v>12247.4438372352</v>
      </c>
      <c r="AH138" s="18">
        <v>3.0159340109554799E-2</v>
      </c>
      <c r="AI138" s="17">
        <v>6115.0866924294196</v>
      </c>
      <c r="AJ138" s="18">
        <v>1.4648878515394001E-2</v>
      </c>
      <c r="AK138" s="17">
        <v>4369.7968554045201</v>
      </c>
      <c r="AL138" s="18">
        <v>4.5931555012137297E-2</v>
      </c>
      <c r="AM138" s="17">
        <v>28070.6211521693</v>
      </c>
      <c r="AN138" s="18">
        <v>2.7042722219796901E-2</v>
      </c>
      <c r="AO138" s="17">
        <v>10619.976983558599</v>
      </c>
      <c r="AP138" s="18">
        <v>1.3433362647982301E-2</v>
      </c>
      <c r="AQ138" s="17">
        <v>7185.0596344039004</v>
      </c>
      <c r="AR138" s="18">
        <v>2.4194369083669901E-2</v>
      </c>
      <c r="AS138" s="17">
        <v>9738.8748319430197</v>
      </c>
      <c r="AT138" s="18">
        <v>1.1446982139167601E-2</v>
      </c>
      <c r="AU138" s="17">
        <v>1262.4372966577801</v>
      </c>
      <c r="AV138" s="18">
        <v>-0.26756664208298703</v>
      </c>
      <c r="AW138" s="17">
        <v>2324.8543344907998</v>
      </c>
      <c r="AX138" s="18">
        <v>2.97743386578047E-2</v>
      </c>
      <c r="AY138" s="17">
        <v>513.94871312125304</v>
      </c>
      <c r="AZ138" s="18">
        <v>-3.9463192950828204E-3</v>
      </c>
      <c r="BA138" s="17">
        <v>4889.3510483515302</v>
      </c>
      <c r="BB138" s="18">
        <v>-4.1960824474342497E-2</v>
      </c>
      <c r="BC138" s="17">
        <v>8239.5281678422398</v>
      </c>
      <c r="BD138" s="18">
        <v>-4.0367326178397701E-3</v>
      </c>
      <c r="BE138" s="17">
        <v>-3341.5798621049998</v>
      </c>
      <c r="BF138" s="18">
        <v>6.6574506217466106E-2</v>
      </c>
      <c r="BG138" s="17"/>
      <c r="BH138" s="18"/>
    </row>
    <row r="139" spans="1:60" x14ac:dyDescent="0.2">
      <c r="A139" s="16">
        <v>2011</v>
      </c>
      <c r="B139" s="16">
        <v>4</v>
      </c>
      <c r="C139" s="17">
        <v>160153.84323455801</v>
      </c>
      <c r="D139" s="18">
        <v>4.5095420406588999E-3</v>
      </c>
      <c r="E139" s="17">
        <v>155125.95683365301</v>
      </c>
      <c r="F139" s="18">
        <v>6.3461909832711596E-3</v>
      </c>
      <c r="G139" s="17">
        <v>1355.5153086497301</v>
      </c>
      <c r="H139" s="18">
        <v>9.5065567629205094E-2</v>
      </c>
      <c r="I139" s="17">
        <v>187.71592663869799</v>
      </c>
      <c r="J139" s="18">
        <v>-6.2856697532472899E-3</v>
      </c>
      <c r="K139" s="17">
        <v>28743.423437383099</v>
      </c>
      <c r="L139" s="18">
        <v>7.1542301120612897E-2</v>
      </c>
      <c r="M139" s="17">
        <v>5700.2948552327698</v>
      </c>
      <c r="N139" s="18">
        <v>9.8859781820525905E-2</v>
      </c>
      <c r="O139" s="17">
        <v>24312.6835144297</v>
      </c>
      <c r="P139" s="18">
        <v>6.0657407780394697E-2</v>
      </c>
      <c r="Q139" s="17">
        <v>3334.4178525543298</v>
      </c>
      <c r="R139" s="18">
        <v>-3.3542323772813E-2</v>
      </c>
      <c r="S139" s="17">
        <v>458.03869317550499</v>
      </c>
      <c r="T139" s="18">
        <v>-1.22120942726749E-2</v>
      </c>
      <c r="U139" s="17">
        <v>7952.6120553993396</v>
      </c>
      <c r="V139" s="18">
        <v>-1.7242935157423801E-2</v>
      </c>
      <c r="W139" s="17">
        <v>24724.525236239399</v>
      </c>
      <c r="X139" s="18">
        <v>-5.4434678756583699E-2</v>
      </c>
      <c r="Y139" s="17">
        <v>6344.0871461629704</v>
      </c>
      <c r="Z139" s="18">
        <v>9.4432156292387805E-3</v>
      </c>
      <c r="AA139" s="17">
        <v>6895.8354627967101</v>
      </c>
      <c r="AB139" s="18">
        <v>2.39453350581511E-2</v>
      </c>
      <c r="AC139" s="17">
        <v>3181.9291754238998</v>
      </c>
      <c r="AD139" s="18">
        <v>-3.1004183840771901E-2</v>
      </c>
      <c r="AE139" s="17">
        <v>7150.4101804434003</v>
      </c>
      <c r="AF139" s="18">
        <v>-1.7374906823047199E-2</v>
      </c>
      <c r="AG139" s="17">
        <v>12406.928546147299</v>
      </c>
      <c r="AH139" s="18">
        <v>2.2489762833635099E-3</v>
      </c>
      <c r="AI139" s="17">
        <v>6225.9897204029103</v>
      </c>
      <c r="AJ139" s="18">
        <v>-2.9450947318796199E-2</v>
      </c>
      <c r="AK139" s="17">
        <v>4404.7340198813999</v>
      </c>
      <c r="AL139" s="18">
        <v>4.7764871909255803E-2</v>
      </c>
      <c r="AM139" s="17">
        <v>27942.117755650401</v>
      </c>
      <c r="AN139" s="18">
        <v>1.8104780800082699E-2</v>
      </c>
      <c r="AO139" s="17">
        <v>10639.1555482765</v>
      </c>
      <c r="AP139" s="18">
        <v>8.8118655185496202E-3</v>
      </c>
      <c r="AQ139" s="17">
        <v>7131.7699080367302</v>
      </c>
      <c r="AR139" s="18">
        <v>1.1227344916948E-2</v>
      </c>
      <c r="AS139" s="17">
        <v>9813.9368470926402</v>
      </c>
      <c r="AT139" s="18">
        <v>1.5328118812026E-2</v>
      </c>
      <c r="AU139" s="17">
        <v>1123.8580974584099</v>
      </c>
      <c r="AV139" s="18">
        <v>-0.179817562020025</v>
      </c>
      <c r="AW139" s="17">
        <v>2329.6744205578502</v>
      </c>
      <c r="AX139" s="18">
        <v>2.69095709418368E-2</v>
      </c>
      <c r="AY139" s="17">
        <v>520.33121643229094</v>
      </c>
      <c r="AZ139" s="18">
        <v>1.40644783351347E-2</v>
      </c>
      <c r="BA139" s="17">
        <v>5016.8007356014996</v>
      </c>
      <c r="BB139" s="18">
        <v>-4.54867698081576E-2</v>
      </c>
      <c r="BC139" s="17">
        <v>8423.7332907341097</v>
      </c>
      <c r="BD139" s="18">
        <v>-5.3739642862117298E-3</v>
      </c>
      <c r="BE139" s="17">
        <v>-3395.5467673261901</v>
      </c>
      <c r="BF139" s="18">
        <v>7.0647154283875802E-2</v>
      </c>
      <c r="BG139" s="17"/>
      <c r="BH139" s="18"/>
    </row>
    <row r="140" spans="1:60" x14ac:dyDescent="0.2">
      <c r="A140" s="16">
        <v>2012</v>
      </c>
      <c r="B140" s="16">
        <v>1</v>
      </c>
      <c r="C140" s="17">
        <v>155730.81833784701</v>
      </c>
      <c r="D140" s="18">
        <v>8.6040754431513395E-3</v>
      </c>
      <c r="E140" s="17">
        <v>150921.46844596701</v>
      </c>
      <c r="F140" s="18">
        <v>1.01922746497891E-2</v>
      </c>
      <c r="G140" s="17">
        <v>1326.4235897993401</v>
      </c>
      <c r="H140" s="18">
        <v>1.6148313079606302E-2</v>
      </c>
      <c r="I140" s="17">
        <v>169.65220260868099</v>
      </c>
      <c r="J140" s="18">
        <v>-5.6144058441925798E-2</v>
      </c>
      <c r="K140" s="17">
        <v>27146.629079548598</v>
      </c>
      <c r="L140" s="18">
        <v>1.25408244210428E-2</v>
      </c>
      <c r="M140" s="17">
        <v>5810.6455062327404</v>
      </c>
      <c r="N140" s="18">
        <v>1.3636257133832E-2</v>
      </c>
      <c r="O140" s="17">
        <v>22306.067040973499</v>
      </c>
      <c r="P140" s="18">
        <v>1.31138682628007E-2</v>
      </c>
      <c r="Q140" s="17">
        <v>3372.2403127912899</v>
      </c>
      <c r="R140" s="18">
        <v>5.8188682938044897E-2</v>
      </c>
      <c r="S140" s="17">
        <v>431.35738586670402</v>
      </c>
      <c r="T140" s="18">
        <v>-5.65254981840458E-2</v>
      </c>
      <c r="U140" s="17">
        <v>7356.4798014296002</v>
      </c>
      <c r="V140" s="18">
        <v>-4.8158505680565601E-3</v>
      </c>
      <c r="W140" s="17">
        <v>22946.2190225589</v>
      </c>
      <c r="X140" s="18">
        <v>-1.9336355832033601E-4</v>
      </c>
      <c r="Y140" s="17">
        <v>5791.4066024404801</v>
      </c>
      <c r="Z140" s="18">
        <v>4.17130793086826E-2</v>
      </c>
      <c r="AA140" s="17">
        <v>6843.2044546478201</v>
      </c>
      <c r="AB140" s="18">
        <v>3.9683070325010797E-2</v>
      </c>
      <c r="AC140" s="17">
        <v>3391.6118580426401</v>
      </c>
      <c r="AD140" s="18">
        <v>-5.0083596220528902E-2</v>
      </c>
      <c r="AE140" s="17">
        <v>6804.7102827261997</v>
      </c>
      <c r="AF140" s="18">
        <v>5.9346105710780302E-3</v>
      </c>
      <c r="AG140" s="17">
        <v>12515.7271811316</v>
      </c>
      <c r="AH140" s="18">
        <v>1.8112974055413101E-3</v>
      </c>
      <c r="AI140" s="17">
        <v>6284.74041485415</v>
      </c>
      <c r="AJ140" s="18">
        <v>-2.1154716198528899E-2</v>
      </c>
      <c r="AK140" s="17">
        <v>4429.9641045429698</v>
      </c>
      <c r="AL140" s="18">
        <v>3.7476204964962803E-2</v>
      </c>
      <c r="AM140" s="17">
        <v>27988.114817637499</v>
      </c>
      <c r="AN140" s="18">
        <v>1.69433957025629E-2</v>
      </c>
      <c r="AO140" s="17">
        <v>10617.6018820058</v>
      </c>
      <c r="AP140" s="18">
        <v>9.1379997661420499E-3</v>
      </c>
      <c r="AQ140" s="17">
        <v>7064.7811615727596</v>
      </c>
      <c r="AR140" s="18">
        <v>-6.7021853245100597E-3</v>
      </c>
      <c r="AS140" s="17">
        <v>9945.2366740803409</v>
      </c>
      <c r="AT140" s="18">
        <v>4.1153985694365E-2</v>
      </c>
      <c r="AU140" s="17">
        <v>1297.72190203787</v>
      </c>
      <c r="AV140" s="18">
        <v>7.5126691628087897E-2</v>
      </c>
      <c r="AW140" s="17">
        <v>2301.8305801777501</v>
      </c>
      <c r="AX140" s="18">
        <v>1.0798195305371299E-2</v>
      </c>
      <c r="AY140" s="17">
        <v>529.53537970968796</v>
      </c>
      <c r="AZ140" s="18">
        <v>3.8272566566130803E-2</v>
      </c>
      <c r="BA140" s="17">
        <v>4806.81596447626</v>
      </c>
      <c r="BB140" s="18">
        <v>-3.5096427077367001E-2</v>
      </c>
      <c r="BC140" s="17">
        <v>8240.7559734592505</v>
      </c>
      <c r="BD140" s="18">
        <v>2.7184761582179601E-3</v>
      </c>
      <c r="BE140" s="17">
        <v>-3438.1859530595498</v>
      </c>
      <c r="BF140" s="18">
        <v>7.0025173921486106E-2</v>
      </c>
      <c r="BG140" s="17"/>
      <c r="BH140" s="18"/>
    </row>
    <row r="141" spans="1:60" x14ac:dyDescent="0.2">
      <c r="A141" s="16">
        <v>2012</v>
      </c>
      <c r="B141" s="16">
        <v>2</v>
      </c>
      <c r="C141" s="17">
        <v>157908.63512452799</v>
      </c>
      <c r="D141" s="18">
        <v>4.2250411946951304E-3</v>
      </c>
      <c r="E141" s="17">
        <v>153053.346215336</v>
      </c>
      <c r="F141" s="18">
        <v>5.4974306372377298E-3</v>
      </c>
      <c r="G141" s="17">
        <v>1304.5247516142699</v>
      </c>
      <c r="H141" s="18">
        <v>-2.6756525167040499E-2</v>
      </c>
      <c r="I141" s="17">
        <v>209.30385087914499</v>
      </c>
      <c r="J141" s="18">
        <v>4.8354482069116897E-2</v>
      </c>
      <c r="K141" s="17">
        <v>27386.9959508215</v>
      </c>
      <c r="L141" s="18">
        <v>-2.81964449253801E-2</v>
      </c>
      <c r="M141" s="17">
        <v>5735.6825862225596</v>
      </c>
      <c r="N141" s="18">
        <v>-5.4439430994464903E-2</v>
      </c>
      <c r="O141" s="17">
        <v>22675.5508604733</v>
      </c>
      <c r="P141" s="18">
        <v>-1.7500623773553398E-2</v>
      </c>
      <c r="Q141" s="17">
        <v>3556.99701239861</v>
      </c>
      <c r="R141" s="18">
        <v>0.107818763184639</v>
      </c>
      <c r="S141" s="17">
        <v>420.84927782080098</v>
      </c>
      <c r="T141" s="18">
        <v>-9.4850087029600794E-2</v>
      </c>
      <c r="U141" s="17">
        <v>7999.6706734935597</v>
      </c>
      <c r="V141" s="18">
        <v>5.8449373280624597E-3</v>
      </c>
      <c r="W141" s="17">
        <v>23876.912675300198</v>
      </c>
      <c r="X141" s="18">
        <v>1.7502907330198901E-2</v>
      </c>
      <c r="Y141" s="17">
        <v>5888.5933669823999</v>
      </c>
      <c r="Z141" s="18">
        <v>2.19053049076905E-2</v>
      </c>
      <c r="AA141" s="17">
        <v>6647.9025018865796</v>
      </c>
      <c r="AB141" s="18">
        <v>2.6964929487898401E-2</v>
      </c>
      <c r="AC141" s="17">
        <v>3291.29474558215</v>
      </c>
      <c r="AD141" s="18">
        <v>-5.2113517419391103E-2</v>
      </c>
      <c r="AE141" s="17">
        <v>6574.5730269958704</v>
      </c>
      <c r="AF141" s="18">
        <v>1.2652907139037099E-2</v>
      </c>
      <c r="AG141" s="17">
        <v>12654.26362154</v>
      </c>
      <c r="AH141" s="18">
        <v>1.2366421975227301E-2</v>
      </c>
      <c r="AI141" s="17">
        <v>6383.8537606633799</v>
      </c>
      <c r="AJ141" s="18">
        <v>5.2980550919814497E-3</v>
      </c>
      <c r="AK141" s="17">
        <v>4481.3574964688396</v>
      </c>
      <c r="AL141" s="18">
        <v>3.6151248793181198E-2</v>
      </c>
      <c r="AM141" s="17">
        <v>28028.874149622101</v>
      </c>
      <c r="AN141" s="18">
        <v>7.0203647644515596E-3</v>
      </c>
      <c r="AO141" s="17">
        <v>10634.4669722772</v>
      </c>
      <c r="AP141" s="18">
        <v>5.6677941860481303E-3</v>
      </c>
      <c r="AQ141" s="17">
        <v>7078.2439210565999</v>
      </c>
      <c r="AR141" s="18">
        <v>-1.2020162689981601E-2</v>
      </c>
      <c r="AS141" s="17">
        <v>10080.8911344802</v>
      </c>
      <c r="AT141" s="18">
        <v>4.3529801114591697E-2</v>
      </c>
      <c r="AU141" s="17">
        <v>1575.0914777358701</v>
      </c>
      <c r="AV141" s="18">
        <v>0.23270838146308101</v>
      </c>
      <c r="AW141" s="17">
        <v>2285.6987176412799</v>
      </c>
      <c r="AX141" s="18">
        <v>-1.3152196810066999E-2</v>
      </c>
      <c r="AY141" s="17">
        <v>534.91124618229401</v>
      </c>
      <c r="AZ141" s="18">
        <v>4.8442403294522998E-2</v>
      </c>
      <c r="BA141" s="17">
        <v>4854.6284828425196</v>
      </c>
      <c r="BB141" s="18">
        <v>-3.1067680146115901E-2</v>
      </c>
      <c r="BC141" s="17">
        <v>8322.5905402665194</v>
      </c>
      <c r="BD141" s="18">
        <v>1.4891663028231399E-3</v>
      </c>
      <c r="BE141" s="17">
        <v>-3472.2383724655701</v>
      </c>
      <c r="BF141" s="18">
        <v>5.86242734971174E-2</v>
      </c>
      <c r="BG141" s="17"/>
      <c r="BH141" s="18"/>
    </row>
    <row r="142" spans="1:60" x14ac:dyDescent="0.2">
      <c r="A142" s="16">
        <v>2012</v>
      </c>
      <c r="B142" s="16">
        <v>3</v>
      </c>
      <c r="C142" s="17">
        <v>158411.12713867499</v>
      </c>
      <c r="D142" s="18">
        <v>1.6046476836699498E-2</v>
      </c>
      <c r="E142" s="17">
        <v>153590.05133996101</v>
      </c>
      <c r="F142" s="18">
        <v>1.7093639149008601E-2</v>
      </c>
      <c r="G142" s="17">
        <v>1285.3422168049001</v>
      </c>
      <c r="H142" s="18">
        <v>-5.49751382136804E-2</v>
      </c>
      <c r="I142" s="17">
        <v>213.745498708166</v>
      </c>
      <c r="J142" s="18">
        <v>9.3186268414471501E-2</v>
      </c>
      <c r="K142" s="17">
        <v>26892.408582698401</v>
      </c>
      <c r="L142" s="18">
        <v>-3.0679886292936599E-2</v>
      </c>
      <c r="M142" s="17">
        <v>5786.5753950151102</v>
      </c>
      <c r="N142" s="18">
        <v>-2.86342403670676E-2</v>
      </c>
      <c r="O142" s="17">
        <v>22055.894483211399</v>
      </c>
      <c r="P142" s="18">
        <v>-3.02421186929153E-2</v>
      </c>
      <c r="Q142" s="17">
        <v>3618.7241046140898</v>
      </c>
      <c r="R142" s="18">
        <v>8.2142875791616096E-2</v>
      </c>
      <c r="S142" s="17">
        <v>424.54106820951898</v>
      </c>
      <c r="T142" s="18">
        <v>-8.9369686449018396E-2</v>
      </c>
      <c r="U142" s="17">
        <v>8222.9512139125909</v>
      </c>
      <c r="V142" s="18">
        <v>2.1374103074165401E-2</v>
      </c>
      <c r="W142" s="17">
        <v>23496.066643171001</v>
      </c>
      <c r="X142" s="18">
        <v>4.9135481904127601E-2</v>
      </c>
      <c r="Y142" s="17">
        <v>5830.1948034715797</v>
      </c>
      <c r="Z142" s="18">
        <v>2.8782246206444699E-2</v>
      </c>
      <c r="AA142" s="17">
        <v>6792.5003428296004</v>
      </c>
      <c r="AB142" s="18">
        <v>4.6295227139498102E-2</v>
      </c>
      <c r="AC142" s="17">
        <v>3632.5550843996002</v>
      </c>
      <c r="AD142" s="18">
        <v>-3.3613488779585601E-2</v>
      </c>
      <c r="AE142" s="17">
        <v>6666.3623382177502</v>
      </c>
      <c r="AF142" s="18">
        <v>2.84052381618045E-2</v>
      </c>
      <c r="AG142" s="17">
        <v>12847.144510017901</v>
      </c>
      <c r="AH142" s="18">
        <v>4.8965374387704798E-2</v>
      </c>
      <c r="AI142" s="17">
        <v>6478.3162327294103</v>
      </c>
      <c r="AJ142" s="18">
        <v>5.9398919192702702E-2</v>
      </c>
      <c r="AK142" s="17">
        <v>4559.4991840758303</v>
      </c>
      <c r="AL142" s="18">
        <v>4.34121619261758E-2</v>
      </c>
      <c r="AM142" s="17">
        <v>28171.344490944099</v>
      </c>
      <c r="AN142" s="18">
        <v>3.5882119682619801E-3</v>
      </c>
      <c r="AO142" s="17">
        <v>10672.8887387496</v>
      </c>
      <c r="AP142" s="18">
        <v>4.9822852980601099E-3</v>
      </c>
      <c r="AQ142" s="17">
        <v>7061.7808509337301</v>
      </c>
      <c r="AR142" s="18">
        <v>-1.7157656267719399E-2</v>
      </c>
      <c r="AS142" s="17">
        <v>10244.5041117648</v>
      </c>
      <c r="AT142" s="18">
        <v>5.1918654726241797E-2</v>
      </c>
      <c r="AU142" s="17">
        <v>1822.83097616546</v>
      </c>
      <c r="AV142" s="18">
        <v>0.443898228443734</v>
      </c>
      <c r="AW142" s="17">
        <v>2282.7467411126199</v>
      </c>
      <c r="AX142" s="18">
        <v>-1.81119275962737E-2</v>
      </c>
      <c r="AY142" s="17">
        <v>536.34520454081303</v>
      </c>
      <c r="AZ142" s="18">
        <v>4.3577288643343398E-2</v>
      </c>
      <c r="BA142" s="17">
        <v>4824.8605676627203</v>
      </c>
      <c r="BB142" s="18">
        <v>-1.31899878022778E-2</v>
      </c>
      <c r="BC142" s="17">
        <v>8320.7688190708595</v>
      </c>
      <c r="BD142" s="18">
        <v>9.8598669212259793E-3</v>
      </c>
      <c r="BE142" s="17">
        <v>-3504.49147023043</v>
      </c>
      <c r="BF142" s="18">
        <v>4.8752869854442403E-2</v>
      </c>
      <c r="BG142" s="17"/>
      <c r="BH142" s="18"/>
    </row>
    <row r="143" spans="1:60" x14ac:dyDescent="0.2">
      <c r="A143" s="16">
        <v>2012</v>
      </c>
      <c r="B143" s="16">
        <v>4</v>
      </c>
      <c r="C143" s="17">
        <v>162715.50581858199</v>
      </c>
      <c r="D143" s="18">
        <v>1.599501162312E-2</v>
      </c>
      <c r="E143" s="17">
        <v>157754.173720978</v>
      </c>
      <c r="F143" s="18">
        <v>1.69424701124865E-2</v>
      </c>
      <c r="G143" s="17">
        <v>1256.71979084591</v>
      </c>
      <c r="H143" s="18">
        <v>-7.2884103317307297E-2</v>
      </c>
      <c r="I143" s="17">
        <v>202.24923520422601</v>
      </c>
      <c r="J143" s="18">
        <v>7.7421819372317097E-2</v>
      </c>
      <c r="K143" s="17">
        <v>27959.278872681502</v>
      </c>
      <c r="L143" s="18">
        <v>-2.72808340457368E-2</v>
      </c>
      <c r="M143" s="17">
        <v>5805.2678204363101</v>
      </c>
      <c r="N143" s="18">
        <v>1.84153570770429E-2</v>
      </c>
      <c r="O143" s="17">
        <v>23217.770086071701</v>
      </c>
      <c r="P143" s="18">
        <v>-4.5034659695552197E-2</v>
      </c>
      <c r="Q143" s="17">
        <v>3513.1522930676101</v>
      </c>
      <c r="R143" s="18">
        <v>5.36028921439353E-2</v>
      </c>
      <c r="S143" s="17">
        <v>431.68691010673501</v>
      </c>
      <c r="T143" s="18">
        <v>-5.7531783802101298E-2</v>
      </c>
      <c r="U143" s="17">
        <v>8187.3789249372203</v>
      </c>
      <c r="V143" s="18">
        <v>2.9520724499377801E-2</v>
      </c>
      <c r="W143" s="17">
        <v>25946.585319399699</v>
      </c>
      <c r="X143" s="18">
        <v>4.9427039406567501E-2</v>
      </c>
      <c r="Y143" s="17">
        <v>6474.7625056380602</v>
      </c>
      <c r="Z143" s="18">
        <v>2.0597976740297501E-2</v>
      </c>
      <c r="AA143" s="17">
        <v>6930.4957337847</v>
      </c>
      <c r="AB143" s="18">
        <v>5.0262613101752498E-3</v>
      </c>
      <c r="AC143" s="17">
        <v>3143.5813534303102</v>
      </c>
      <c r="AD143" s="18">
        <v>-1.20517522167912E-2</v>
      </c>
      <c r="AE143" s="17">
        <v>7272.8624084818402</v>
      </c>
      <c r="AF143" s="18">
        <v>1.7125203302791499E-2</v>
      </c>
      <c r="AG143" s="17">
        <v>13167.4608536705</v>
      </c>
      <c r="AH143" s="18">
        <v>6.1298999562576797E-2</v>
      </c>
      <c r="AI143" s="17">
        <v>6672.5385635354796</v>
      </c>
      <c r="AJ143" s="18">
        <v>7.1723350533202695E-2</v>
      </c>
      <c r="AK143" s="17">
        <v>4665.6821989017599</v>
      </c>
      <c r="AL143" s="18">
        <v>5.9242664333996102E-2</v>
      </c>
      <c r="AM143" s="17">
        <v>28088.960580115301</v>
      </c>
      <c r="AN143" s="18">
        <v>5.2552503625182797E-3</v>
      </c>
      <c r="AO143" s="17">
        <v>10698.706193501601</v>
      </c>
      <c r="AP143" s="18">
        <v>5.5973093874632802E-3</v>
      </c>
      <c r="AQ143" s="17">
        <v>7045.31984688989</v>
      </c>
      <c r="AR143" s="18">
        <v>-1.2121824212166199E-2</v>
      </c>
      <c r="AS143" s="17">
        <v>10391.3386883597</v>
      </c>
      <c r="AT143" s="18">
        <v>5.8834884538520899E-2</v>
      </c>
      <c r="AU143" s="17">
        <v>1310.1105900349</v>
      </c>
      <c r="AV143" s="18">
        <v>0.16572598711323</v>
      </c>
      <c r="AW143" s="17">
        <v>2302.9119105988002</v>
      </c>
      <c r="AX143" s="18">
        <v>-1.14876609894012E-2</v>
      </c>
      <c r="AY143" s="17">
        <v>532.16068257994505</v>
      </c>
      <c r="AZ143" s="18">
        <v>2.2734492519523E-2</v>
      </c>
      <c r="BA143" s="17">
        <v>4964.3907489697704</v>
      </c>
      <c r="BB143" s="18">
        <v>-1.04468942248012E-2</v>
      </c>
      <c r="BC143" s="17">
        <v>8492.45485563076</v>
      </c>
      <c r="BD143" s="18">
        <v>8.1580888811185696E-3</v>
      </c>
      <c r="BE143" s="17">
        <v>-3530.8250666224399</v>
      </c>
      <c r="BF143" s="18">
        <v>3.98399163863601E-2</v>
      </c>
      <c r="BG143" s="17"/>
      <c r="BH143" s="18"/>
    </row>
    <row r="144" spans="1:60" x14ac:dyDescent="0.2">
      <c r="A144" s="16">
        <v>2013</v>
      </c>
      <c r="B144" s="16">
        <v>1</v>
      </c>
      <c r="C144" s="17">
        <v>157493.36175221601</v>
      </c>
      <c r="D144" s="18">
        <v>1.13178844956996E-2</v>
      </c>
      <c r="E144" s="17">
        <v>152744.96677206899</v>
      </c>
      <c r="F144" s="18">
        <v>1.20824316439401E-2</v>
      </c>
      <c r="G144" s="17">
        <v>1206.8421997696501</v>
      </c>
      <c r="H144" s="18">
        <v>-9.0153244370282701E-2</v>
      </c>
      <c r="I144" s="17">
        <v>178.71885635886301</v>
      </c>
      <c r="J144" s="18">
        <v>5.3442593793464402E-2</v>
      </c>
      <c r="K144" s="17">
        <v>26890.588090813701</v>
      </c>
      <c r="L144" s="18">
        <v>-9.4317783613038202E-3</v>
      </c>
      <c r="M144" s="17">
        <v>6049.5633585994501</v>
      </c>
      <c r="N144" s="18">
        <v>4.1117265217855303E-2</v>
      </c>
      <c r="O144" s="17">
        <v>21671.534591165098</v>
      </c>
      <c r="P144" s="18">
        <v>-2.8446630624879801E-2</v>
      </c>
      <c r="Q144" s="17">
        <v>3587.6221799099999</v>
      </c>
      <c r="R144" s="18">
        <v>6.3869074306994997E-2</v>
      </c>
      <c r="S144" s="17">
        <v>445.19056869311697</v>
      </c>
      <c r="T144" s="18">
        <v>3.2068960170041703E-2</v>
      </c>
      <c r="U144" s="17">
        <v>7510.1207875957098</v>
      </c>
      <c r="V144" s="18">
        <v>2.08851230905653E-2</v>
      </c>
      <c r="W144" s="17">
        <v>23024.246909241301</v>
      </c>
      <c r="X144" s="18">
        <v>3.4004681383741401E-3</v>
      </c>
      <c r="Y144" s="17">
        <v>5815.41897077872</v>
      </c>
      <c r="Z144" s="18">
        <v>4.14620661034437E-3</v>
      </c>
      <c r="AA144" s="17">
        <v>6550.6894836863703</v>
      </c>
      <c r="AB144" s="18">
        <v>-4.2745320982302701E-2</v>
      </c>
      <c r="AC144" s="17">
        <v>3405.0378869299798</v>
      </c>
      <c r="AD144" s="18">
        <v>3.9585982857970299E-3</v>
      </c>
      <c r="AE144" s="17">
        <v>7048.09984393594</v>
      </c>
      <c r="AF144" s="18">
        <v>3.5767806577685898E-2</v>
      </c>
      <c r="AG144" s="17">
        <v>13518.6585457851</v>
      </c>
      <c r="AH144" s="18">
        <v>8.0133687011450197E-2</v>
      </c>
      <c r="AI144" s="17">
        <v>6835.0770474395504</v>
      </c>
      <c r="AJ144" s="18">
        <v>8.7567122308610496E-2</v>
      </c>
      <c r="AK144" s="17">
        <v>4801.94184291082</v>
      </c>
      <c r="AL144" s="18">
        <v>8.3968567146262399E-2</v>
      </c>
      <c r="AM144" s="17">
        <v>28121.853781128</v>
      </c>
      <c r="AN144" s="18">
        <v>4.77841985292571E-3</v>
      </c>
      <c r="AO144" s="17">
        <v>10713.186816572201</v>
      </c>
      <c r="AP144" s="18">
        <v>9.0024975157829701E-3</v>
      </c>
      <c r="AQ144" s="17">
        <v>7074.63057431582</v>
      </c>
      <c r="AR144" s="18">
        <v>1.39415680653077E-3</v>
      </c>
      <c r="AS144" s="17">
        <v>10481.7851275292</v>
      </c>
      <c r="AT144" s="18">
        <v>5.3950295104308502E-2</v>
      </c>
      <c r="AU144" s="17">
        <v>1022.57435127963</v>
      </c>
      <c r="AV144" s="18">
        <v>-0.21202350852379301</v>
      </c>
      <c r="AW144" s="17">
        <v>2317.7866486499302</v>
      </c>
      <c r="AX144" s="18">
        <v>6.9319039418396199E-3</v>
      </c>
      <c r="AY144" s="17">
        <v>523.400634591997</v>
      </c>
      <c r="AZ144" s="18">
        <v>-1.1585146815033399E-2</v>
      </c>
      <c r="BA144" s="17">
        <v>4753.41842645002</v>
      </c>
      <c r="BB144" s="18">
        <v>-1.11087127988382E-2</v>
      </c>
      <c r="BC144" s="17">
        <v>8234.9102099012707</v>
      </c>
      <c r="BD144" s="18">
        <v>-7.0937224410083698E-4</v>
      </c>
      <c r="BE144" s="17">
        <v>-3489.9800572910299</v>
      </c>
      <c r="BF144" s="18">
        <v>1.5064369681748501E-2</v>
      </c>
      <c r="BG144" s="17"/>
      <c r="BH144" s="18"/>
    </row>
    <row r="145" spans="1:60" x14ac:dyDescent="0.2">
      <c r="A145" s="16">
        <v>2013</v>
      </c>
      <c r="B145" s="16">
        <v>2</v>
      </c>
      <c r="C145" s="17">
        <v>161219.51587582199</v>
      </c>
      <c r="D145" s="18">
        <v>2.09670658522416E-2</v>
      </c>
      <c r="E145" s="17">
        <v>156338.95678211699</v>
      </c>
      <c r="F145" s="18">
        <v>2.1467093977535399E-2</v>
      </c>
      <c r="G145" s="17">
        <v>1193.5597233563501</v>
      </c>
      <c r="H145" s="18">
        <v>-8.5061650321783006E-2</v>
      </c>
      <c r="I145" s="17">
        <v>218.46980330336299</v>
      </c>
      <c r="J145" s="18">
        <v>4.3792564664807902E-2</v>
      </c>
      <c r="K145" s="17">
        <v>28163.921840603001</v>
      </c>
      <c r="L145" s="18">
        <v>2.83684231442023E-2</v>
      </c>
      <c r="M145" s="17">
        <v>6330.7936619612501</v>
      </c>
      <c r="N145" s="18">
        <v>0.103755929096945</v>
      </c>
      <c r="O145" s="17">
        <v>22705.205525301099</v>
      </c>
      <c r="P145" s="18">
        <v>1.3077814519368799E-3</v>
      </c>
      <c r="Q145" s="17">
        <v>3581.6004553152902</v>
      </c>
      <c r="R145" s="18">
        <v>6.9169141359735099E-3</v>
      </c>
      <c r="S145" s="17">
        <v>463.788605671543</v>
      </c>
      <c r="T145" s="18">
        <v>0.102030180669634</v>
      </c>
      <c r="U145" s="17">
        <v>8192.0105441094402</v>
      </c>
      <c r="V145" s="18">
        <v>2.4043473596131001E-2</v>
      </c>
      <c r="W145" s="17">
        <v>24185.203276233398</v>
      </c>
      <c r="X145" s="18">
        <v>1.29116609473601E-2</v>
      </c>
      <c r="Y145" s="17">
        <v>6070.1363420487496</v>
      </c>
      <c r="Z145" s="18">
        <v>3.0829599490477699E-2</v>
      </c>
      <c r="AA145" s="17">
        <v>6373.3321553872502</v>
      </c>
      <c r="AB145" s="18">
        <v>-4.1301801044978097E-2</v>
      </c>
      <c r="AC145" s="17">
        <v>3329.29018368078</v>
      </c>
      <c r="AD145" s="18">
        <v>1.1544222269861799E-2</v>
      </c>
      <c r="AE145" s="17">
        <v>6810.0672151263198</v>
      </c>
      <c r="AF145" s="18">
        <v>3.5818932600412599E-2</v>
      </c>
      <c r="AG145" s="17">
        <v>13787.1877436792</v>
      </c>
      <c r="AH145" s="18">
        <v>8.9529043808661501E-2</v>
      </c>
      <c r="AI145" s="17">
        <v>6981.4082760842402</v>
      </c>
      <c r="AJ145" s="18">
        <v>9.3604041982122493E-2</v>
      </c>
      <c r="AK145" s="17">
        <v>4890.9776226742497</v>
      </c>
      <c r="AL145" s="18">
        <v>9.1405366906830696E-2</v>
      </c>
      <c r="AM145" s="17">
        <v>28276.745126329399</v>
      </c>
      <c r="AN145" s="18">
        <v>8.8434153788745605E-3</v>
      </c>
      <c r="AO145" s="17">
        <v>10735.076654553101</v>
      </c>
      <c r="AP145" s="18">
        <v>9.4607169816931496E-3</v>
      </c>
      <c r="AQ145" s="17">
        <v>7092.3915017381896</v>
      </c>
      <c r="AR145" s="18">
        <v>1.9987416143585298E-3</v>
      </c>
      <c r="AS145" s="17">
        <v>10610.917258294099</v>
      </c>
      <c r="AT145" s="18">
        <v>5.2577308567592199E-2</v>
      </c>
      <c r="AU145" s="17">
        <v>1100.3414207250801</v>
      </c>
      <c r="AV145" s="18">
        <v>-0.30141110133693699</v>
      </c>
      <c r="AW145" s="17">
        <v>2352.62316994803</v>
      </c>
      <c r="AX145" s="18">
        <v>2.9279647308817498E-2</v>
      </c>
      <c r="AY145" s="17">
        <v>519.49677536584898</v>
      </c>
      <c r="AZ145" s="18">
        <v>-2.88168755591879E-2</v>
      </c>
      <c r="BA145" s="17">
        <v>4884.6366082779005</v>
      </c>
      <c r="BB145" s="18">
        <v>6.1813433389259504E-3</v>
      </c>
      <c r="BC145" s="17">
        <v>8357.0375239294699</v>
      </c>
      <c r="BD145" s="18">
        <v>4.1389737361561298E-3</v>
      </c>
      <c r="BE145" s="17">
        <v>-3476.2387629494801</v>
      </c>
      <c r="BF145" s="18">
        <v>1.1521071006046499E-3</v>
      </c>
      <c r="BG145" s="17"/>
      <c r="BH145" s="18"/>
    </row>
    <row r="146" spans="1:60" x14ac:dyDescent="0.2">
      <c r="A146" s="16">
        <v>2013</v>
      </c>
      <c r="B146" s="16">
        <v>3</v>
      </c>
      <c r="C146" s="17">
        <v>161654.75801209701</v>
      </c>
      <c r="D146" s="18">
        <v>2.04760292538173E-2</v>
      </c>
      <c r="E146" s="17">
        <v>156786.55446466501</v>
      </c>
      <c r="F146" s="18">
        <v>2.08119152042519E-2</v>
      </c>
      <c r="G146" s="17">
        <v>1203.01315379988</v>
      </c>
      <c r="H146" s="18">
        <v>-6.4052251554979303E-2</v>
      </c>
      <c r="I146" s="17">
        <v>217.52771341260799</v>
      </c>
      <c r="J146" s="18">
        <v>1.7694944348775901E-2</v>
      </c>
      <c r="K146" s="17">
        <v>27986.581149880501</v>
      </c>
      <c r="L146" s="18">
        <v>4.0687042360573397E-2</v>
      </c>
      <c r="M146" s="17">
        <v>6269.7693468381103</v>
      </c>
      <c r="N146" s="18">
        <v>8.3502576020914501E-2</v>
      </c>
      <c r="O146" s="17">
        <v>22592.462846233801</v>
      </c>
      <c r="P146" s="18">
        <v>2.4327662767466202E-2</v>
      </c>
      <c r="Q146" s="17">
        <v>3485.5619443580999</v>
      </c>
      <c r="R146" s="18">
        <v>-3.6798096900011602E-2</v>
      </c>
      <c r="S146" s="17">
        <v>479.471470356022</v>
      </c>
      <c r="T146" s="18">
        <v>0.12938772302564</v>
      </c>
      <c r="U146" s="17">
        <v>8333.0733013015106</v>
      </c>
      <c r="V146" s="18">
        <v>1.3392039490955699E-2</v>
      </c>
      <c r="W146" s="17">
        <v>23845.807346274902</v>
      </c>
      <c r="X146" s="18">
        <v>1.48850745282338E-2</v>
      </c>
      <c r="Y146" s="17">
        <v>6004.8855875898098</v>
      </c>
      <c r="Z146" s="18">
        <v>2.9963112727248602E-2</v>
      </c>
      <c r="AA146" s="17">
        <v>6462.2055551325502</v>
      </c>
      <c r="AB146" s="18">
        <v>-4.8626392495618599E-2</v>
      </c>
      <c r="AC146" s="17">
        <v>3756.18959395104</v>
      </c>
      <c r="AD146" s="18">
        <v>3.4035136888192603E-2</v>
      </c>
      <c r="AE146" s="17">
        <v>6798.3307435818197</v>
      </c>
      <c r="AF146" s="18">
        <v>1.9796164485016001E-2</v>
      </c>
      <c r="AG146" s="17">
        <v>13708.0231573815</v>
      </c>
      <c r="AH146" s="18">
        <v>6.7009337887681E-2</v>
      </c>
      <c r="AI146" s="17">
        <v>6864.9994220246999</v>
      </c>
      <c r="AJ146" s="18">
        <v>5.9688841267383101E-2</v>
      </c>
      <c r="AK146" s="17">
        <v>4934.3709427575304</v>
      </c>
      <c r="AL146" s="18">
        <v>8.2217748824464601E-2</v>
      </c>
      <c r="AM146" s="17">
        <v>28567.703369220799</v>
      </c>
      <c r="AN146" s="18">
        <v>1.40695762108238E-2</v>
      </c>
      <c r="AO146" s="17">
        <v>10834.302773612901</v>
      </c>
      <c r="AP146" s="18">
        <v>1.51237437974339E-2</v>
      </c>
      <c r="AQ146" s="17">
        <v>7194.8171911624204</v>
      </c>
      <c r="AR146" s="18">
        <v>1.8838922226126299E-2</v>
      </c>
      <c r="AS146" s="17">
        <v>10721.6537295204</v>
      </c>
      <c r="AT146" s="18">
        <v>4.6576155619643997E-2</v>
      </c>
      <c r="AU146" s="17">
        <v>1143.3533849350999</v>
      </c>
      <c r="AV146" s="18">
        <v>-0.37275951534448998</v>
      </c>
      <c r="AW146" s="17">
        <v>2321.07604917054</v>
      </c>
      <c r="AX146" s="18">
        <v>1.6790871877112801E-2</v>
      </c>
      <c r="AY146" s="17">
        <v>520.10034464211799</v>
      </c>
      <c r="AZ146" s="18">
        <v>-3.0288067761512199E-2</v>
      </c>
      <c r="BA146" s="17">
        <v>4873.6636019485704</v>
      </c>
      <c r="BB146" s="18">
        <v>1.01149108044567E-2</v>
      </c>
      <c r="BC146" s="17">
        <v>8349.8392950940797</v>
      </c>
      <c r="BD146" s="18">
        <v>3.4937247573319E-3</v>
      </c>
      <c r="BE146" s="17">
        <v>-3480.5424066107798</v>
      </c>
      <c r="BF146" s="18">
        <v>-6.8338199202616599E-3</v>
      </c>
      <c r="BG146" s="17"/>
      <c r="BH146" s="18"/>
    </row>
    <row r="147" spans="1:60" x14ac:dyDescent="0.2">
      <c r="A147" s="16">
        <v>2013</v>
      </c>
      <c r="B147" s="16">
        <v>4</v>
      </c>
      <c r="C147" s="17">
        <v>166053.54264223401</v>
      </c>
      <c r="D147" s="18">
        <v>2.0514558872913199E-2</v>
      </c>
      <c r="E147" s="17">
        <v>161016.397036226</v>
      </c>
      <c r="F147" s="18">
        <v>2.06791569332299E-2</v>
      </c>
      <c r="G147" s="17">
        <v>1237.88679401442</v>
      </c>
      <c r="H147" s="18">
        <v>-1.4985836117706699E-2</v>
      </c>
      <c r="I147" s="17">
        <v>204.859732201529</v>
      </c>
      <c r="J147" s="18">
        <v>1.29073269160542E-2</v>
      </c>
      <c r="K147" s="17">
        <v>28841.467985395499</v>
      </c>
      <c r="L147" s="18">
        <v>3.1552641852145499E-2</v>
      </c>
      <c r="M147" s="17">
        <v>6078.8892881972297</v>
      </c>
      <c r="N147" s="18">
        <v>4.7133306545769103E-2</v>
      </c>
      <c r="O147" s="17">
        <v>23828.789215969198</v>
      </c>
      <c r="P147" s="18">
        <v>2.6316873999197701E-2</v>
      </c>
      <c r="Q147" s="17">
        <v>3379.2577826882198</v>
      </c>
      <c r="R147" s="18">
        <v>-3.8112355858753701E-2</v>
      </c>
      <c r="S147" s="17">
        <v>487.038099040617</v>
      </c>
      <c r="T147" s="18">
        <v>0.12822067947391899</v>
      </c>
      <c r="U147" s="17">
        <v>8324.8711304141398</v>
      </c>
      <c r="V147" s="18">
        <v>1.6793189461177901E-2</v>
      </c>
      <c r="W147" s="17">
        <v>26393.283978326901</v>
      </c>
      <c r="X147" s="18">
        <v>1.7216086565087E-2</v>
      </c>
      <c r="Y147" s="17">
        <v>6751.0743001180799</v>
      </c>
      <c r="Z147" s="18">
        <v>4.2675201482590901E-2</v>
      </c>
      <c r="AA147" s="17">
        <v>6654.0355864381199</v>
      </c>
      <c r="AB147" s="18">
        <v>-3.9890385618288497E-2</v>
      </c>
      <c r="AC147" s="17">
        <v>3209.6907530899998</v>
      </c>
      <c r="AD147" s="18">
        <v>2.1029963034852901E-2</v>
      </c>
      <c r="AE147" s="17">
        <v>7337.2296687642202</v>
      </c>
      <c r="AF147" s="18">
        <v>8.8503338393019996E-3</v>
      </c>
      <c r="AG147" s="17">
        <v>13785.8135040425</v>
      </c>
      <c r="AH147" s="18">
        <v>4.6960659860224602E-2</v>
      </c>
      <c r="AI147" s="17">
        <v>6949.3202500073303</v>
      </c>
      <c r="AJ147" s="18">
        <v>4.1480717396587402E-2</v>
      </c>
      <c r="AK147" s="17">
        <v>4932.4950249699004</v>
      </c>
      <c r="AL147" s="18">
        <v>5.7186240874045099E-2</v>
      </c>
      <c r="AM147" s="17">
        <v>28556.253791280698</v>
      </c>
      <c r="AN147" s="18">
        <v>1.6636187367368199E-2</v>
      </c>
      <c r="AO147" s="17">
        <v>10910.278472812101</v>
      </c>
      <c r="AP147" s="18">
        <v>1.9775501400256999E-2</v>
      </c>
      <c r="AQ147" s="17">
        <v>7194.7801076495098</v>
      </c>
      <c r="AR147" s="18">
        <v>2.1214120012677602E-2</v>
      </c>
      <c r="AS147" s="17">
        <v>10855.4803314171</v>
      </c>
      <c r="AT147" s="18">
        <v>4.4666202977042199E-2</v>
      </c>
      <c r="AU147" s="17">
        <v>1207.35034250429</v>
      </c>
      <c r="AV147" s="18">
        <v>-7.8436315462407494E-2</v>
      </c>
      <c r="AW147" s="17">
        <v>2320.33319309321</v>
      </c>
      <c r="AX147" s="18">
        <v>7.5648931312732896E-3</v>
      </c>
      <c r="AY147" s="17">
        <v>523.97833774682601</v>
      </c>
      <c r="AZ147" s="18">
        <v>-1.53757034312463E-2</v>
      </c>
      <c r="BA147" s="17">
        <v>5040.7949104625604</v>
      </c>
      <c r="BB147" s="18">
        <v>1.53904407119143E-2</v>
      </c>
      <c r="BC147" s="17">
        <v>8519.7685578242799</v>
      </c>
      <c r="BD147" s="18">
        <v>3.2162316618513701E-3</v>
      </c>
      <c r="BE147" s="17">
        <v>-3478.0847360376001</v>
      </c>
      <c r="BF147" s="18">
        <v>-1.4937112315024899E-2</v>
      </c>
      <c r="BG147" s="17"/>
      <c r="BH147" s="18"/>
    </row>
    <row r="148" spans="1:60" x14ac:dyDescent="0.2">
      <c r="A148" s="16">
        <v>2014</v>
      </c>
      <c r="B148" s="16">
        <v>1</v>
      </c>
      <c r="C148" s="17">
        <v>161418.39235179799</v>
      </c>
      <c r="D148" s="18">
        <v>2.4921879601233401E-2</v>
      </c>
      <c r="E148" s="17">
        <v>156582.89404062799</v>
      </c>
      <c r="F148" s="18">
        <v>2.51263746993786E-2</v>
      </c>
      <c r="G148" s="17">
        <v>1325.4268351146</v>
      </c>
      <c r="H148" s="18">
        <v>9.8260265814023501E-2</v>
      </c>
      <c r="I148" s="17">
        <v>184.42761464688101</v>
      </c>
      <c r="J148" s="18">
        <v>3.1942674680923898E-2</v>
      </c>
      <c r="K148" s="17">
        <v>27929.203448645399</v>
      </c>
      <c r="L148" s="18">
        <v>3.8623750225324403E-2</v>
      </c>
      <c r="M148" s="17">
        <v>6264.8090756638603</v>
      </c>
      <c r="N148" s="18">
        <v>3.5580372384800302E-2</v>
      </c>
      <c r="O148" s="17">
        <v>22538.2166306605</v>
      </c>
      <c r="P148" s="18">
        <v>3.9991724436933898E-2</v>
      </c>
      <c r="Q148" s="17">
        <v>2984.3770861814701</v>
      </c>
      <c r="R148" s="18">
        <v>-0.16814621592724899</v>
      </c>
      <c r="S148" s="17">
        <v>493.28059669323</v>
      </c>
      <c r="T148" s="18">
        <v>0.108021219185493</v>
      </c>
      <c r="U148" s="17">
        <v>7749.0753183053703</v>
      </c>
      <c r="V148" s="18">
        <v>3.1817668113185003E-2</v>
      </c>
      <c r="W148" s="17">
        <v>23496.845351702301</v>
      </c>
      <c r="X148" s="18">
        <v>2.0526119456762498E-2</v>
      </c>
      <c r="Y148" s="17">
        <v>5945.6087198279101</v>
      </c>
      <c r="Z148" s="18">
        <v>2.2386993904201201E-2</v>
      </c>
      <c r="AA148" s="17">
        <v>6742.4217516235703</v>
      </c>
      <c r="AB148" s="18">
        <v>2.9269020980873001E-2</v>
      </c>
      <c r="AC148" s="17">
        <v>3438.68752859506</v>
      </c>
      <c r="AD148" s="18">
        <v>9.8823105006382601E-3</v>
      </c>
      <c r="AE148" s="17">
        <v>7027.8946199584998</v>
      </c>
      <c r="AF148" s="18">
        <v>-2.8667618826133702E-3</v>
      </c>
      <c r="AG148" s="17">
        <v>13597.8734472826</v>
      </c>
      <c r="AH148" s="18">
        <v>5.8596717439993702E-3</v>
      </c>
      <c r="AI148" s="17">
        <v>6818.9280479123299</v>
      </c>
      <c r="AJ148" s="18">
        <v>-2.3626653240526002E-3</v>
      </c>
      <c r="AK148" s="17">
        <v>4884.52478776519</v>
      </c>
      <c r="AL148" s="18">
        <v>1.7197822788356701E-2</v>
      </c>
      <c r="AM148" s="17">
        <v>28766.754593941201</v>
      </c>
      <c r="AN148" s="18">
        <v>2.29323720204377E-2</v>
      </c>
      <c r="AO148" s="17">
        <v>10889.743329213699</v>
      </c>
      <c r="AP148" s="18">
        <v>1.64802981283265E-2</v>
      </c>
      <c r="AQ148" s="17">
        <v>7249.4893431290002</v>
      </c>
      <c r="AR148" s="18">
        <v>2.4716310905053201E-2</v>
      </c>
      <c r="AS148" s="17">
        <v>10985.2233432714</v>
      </c>
      <c r="AT148" s="18">
        <v>4.8029816449875598E-2</v>
      </c>
      <c r="AU148" s="17">
        <v>1700.04554402388</v>
      </c>
      <c r="AV148" s="18">
        <v>0.66251533875896695</v>
      </c>
      <c r="AW148" s="17">
        <v>2283.0306067227798</v>
      </c>
      <c r="AX148" s="18">
        <v>-1.49953585880698E-2</v>
      </c>
      <c r="AY148" s="17">
        <v>531.84740141260897</v>
      </c>
      <c r="AZ148" s="18">
        <v>1.6138243369149499E-2</v>
      </c>
      <c r="BA148" s="17">
        <v>4842.5692167339803</v>
      </c>
      <c r="BB148" s="18">
        <v>1.87550899764874E-2</v>
      </c>
      <c r="BC148" s="17">
        <v>8298.1093334753205</v>
      </c>
      <c r="BD148" s="18">
        <v>7.6745370578608103E-3</v>
      </c>
      <c r="BE148" s="17">
        <v>-3459.9404307679401</v>
      </c>
      <c r="BF148" s="18">
        <v>-8.6073920280245204E-3</v>
      </c>
      <c r="BG148" s="17"/>
      <c r="BH148" s="18"/>
    </row>
    <row r="149" spans="1:60" x14ac:dyDescent="0.2">
      <c r="A149" s="16">
        <v>2014</v>
      </c>
      <c r="B149" s="16">
        <v>2</v>
      </c>
      <c r="C149" s="17">
        <v>164973.94833010199</v>
      </c>
      <c r="D149" s="18">
        <v>2.3287704555399202E-2</v>
      </c>
      <c r="E149" s="17">
        <v>160012.267963419</v>
      </c>
      <c r="F149" s="18">
        <v>2.3495814843008899E-2</v>
      </c>
      <c r="G149" s="17">
        <v>1357.13263612264</v>
      </c>
      <c r="H149" s="18">
        <v>0.13704627390267099</v>
      </c>
      <c r="I149" s="17">
        <v>204.90486660778799</v>
      </c>
      <c r="J149" s="18">
        <v>-6.2090671069715699E-2</v>
      </c>
      <c r="K149" s="17">
        <v>28495.493535482099</v>
      </c>
      <c r="L149" s="18">
        <v>1.17729234144206E-2</v>
      </c>
      <c r="M149" s="17">
        <v>6345.3778601212098</v>
      </c>
      <c r="N149" s="18">
        <v>2.30369191268864E-3</v>
      </c>
      <c r="O149" s="17">
        <v>23059.8603417251</v>
      </c>
      <c r="P149" s="18">
        <v>1.5619978248107E-2</v>
      </c>
      <c r="Q149" s="17">
        <v>3017.5493226625199</v>
      </c>
      <c r="R149" s="18">
        <v>-0.15748577757066201</v>
      </c>
      <c r="S149" s="17">
        <v>499.48311355095899</v>
      </c>
      <c r="T149" s="18">
        <v>7.6962882319483006E-2</v>
      </c>
      <c r="U149" s="17">
        <v>8343.8109360383605</v>
      </c>
      <c r="V149" s="18">
        <v>1.85302974296182E-2</v>
      </c>
      <c r="W149" s="17">
        <v>24985.024287821099</v>
      </c>
      <c r="X149" s="18">
        <v>3.3070675588396298E-2</v>
      </c>
      <c r="Y149" s="17">
        <v>6242.9823916507303</v>
      </c>
      <c r="Z149" s="18">
        <v>2.8474821628742701E-2</v>
      </c>
      <c r="AA149" s="17">
        <v>6592.0765851957503</v>
      </c>
      <c r="AB149" s="18">
        <v>3.4321831104252402E-2</v>
      </c>
      <c r="AC149" s="17">
        <v>3346.3401227428699</v>
      </c>
      <c r="AD149" s="18">
        <v>5.1211934440746898E-3</v>
      </c>
      <c r="AE149" s="17">
        <v>7028.4285803995799</v>
      </c>
      <c r="AF149" s="18">
        <v>3.2064494868455203E-2</v>
      </c>
      <c r="AG149" s="17">
        <v>13587.531834982299</v>
      </c>
      <c r="AH149" s="18">
        <v>-1.44812642294224E-2</v>
      </c>
      <c r="AI149" s="17">
        <v>6812.1968804990802</v>
      </c>
      <c r="AJ149" s="18">
        <v>-2.4237430170761201E-2</v>
      </c>
      <c r="AK149" s="17">
        <v>4871.6452574267096</v>
      </c>
      <c r="AL149" s="18">
        <v>-3.9526586991345302E-3</v>
      </c>
      <c r="AM149" s="17">
        <v>29055.8950010517</v>
      </c>
      <c r="AN149" s="18">
        <v>2.7554439920201498E-2</v>
      </c>
      <c r="AO149" s="17">
        <v>10904.705932101901</v>
      </c>
      <c r="AP149" s="18">
        <v>1.58014034745446E-2</v>
      </c>
      <c r="AQ149" s="17">
        <v>7290.36074842579</v>
      </c>
      <c r="AR149" s="18">
        <v>2.7912904503238901E-2</v>
      </c>
      <c r="AS149" s="17">
        <v>10966.9584316037</v>
      </c>
      <c r="AT149" s="18">
        <v>3.3554231424368898E-2</v>
      </c>
      <c r="AU149" s="17">
        <v>2246.0353209780901</v>
      </c>
      <c r="AV149" s="18">
        <v>1.0412167338916001</v>
      </c>
      <c r="AW149" s="17">
        <v>2336.7117395607302</v>
      </c>
      <c r="AX149" s="18">
        <v>-6.7632719895586203E-3</v>
      </c>
      <c r="AY149" s="17">
        <v>538.32607171158304</v>
      </c>
      <c r="AZ149" s="18">
        <v>3.6245261257826997E-2</v>
      </c>
      <c r="BA149" s="17">
        <v>4967.7370598461503</v>
      </c>
      <c r="BB149" s="18">
        <v>1.7012616952388999E-2</v>
      </c>
      <c r="BC149" s="17">
        <v>8429.3982587989394</v>
      </c>
      <c r="BD149" s="18">
        <v>8.6586586050714197E-3</v>
      </c>
      <c r="BE149" s="17">
        <v>-3462.3913266793002</v>
      </c>
      <c r="BF149" s="18">
        <v>-3.9834537310172698E-3</v>
      </c>
      <c r="BG149" s="17"/>
      <c r="BH149" s="18"/>
    </row>
    <row r="150" spans="1:60" x14ac:dyDescent="0.2">
      <c r="A150" s="16">
        <v>2014</v>
      </c>
      <c r="B150" s="16">
        <v>3</v>
      </c>
      <c r="C150" s="17">
        <v>165469.07151373601</v>
      </c>
      <c r="D150" s="18">
        <v>2.3595429844099E-2</v>
      </c>
      <c r="E150" s="17">
        <v>160496.98323085101</v>
      </c>
      <c r="F150" s="18">
        <v>2.3665478068925602E-2</v>
      </c>
      <c r="G150" s="17">
        <v>1357.10825416231</v>
      </c>
      <c r="H150" s="18">
        <v>0.128090952185934</v>
      </c>
      <c r="I150" s="17">
        <v>197.36425860192799</v>
      </c>
      <c r="J150" s="18">
        <v>-9.2693728510971601E-2</v>
      </c>
      <c r="K150" s="17">
        <v>28386.871932773702</v>
      </c>
      <c r="L150" s="18">
        <v>1.43029540031849E-2</v>
      </c>
      <c r="M150" s="17">
        <v>6573.4677628558702</v>
      </c>
      <c r="N150" s="18">
        <v>4.8438530864124897E-2</v>
      </c>
      <c r="O150" s="17">
        <v>22620.8199420282</v>
      </c>
      <c r="P150" s="18">
        <v>1.25515734992687E-3</v>
      </c>
      <c r="Q150" s="17">
        <v>2994.58880633836</v>
      </c>
      <c r="R150" s="18">
        <v>-0.14085910560690201</v>
      </c>
      <c r="S150" s="17">
        <v>508.09020097326902</v>
      </c>
      <c r="T150" s="18">
        <v>5.96880781999325E-2</v>
      </c>
      <c r="U150" s="17">
        <v>8456.6906757092001</v>
      </c>
      <c r="V150" s="18">
        <v>1.48345478238356E-2</v>
      </c>
      <c r="W150" s="17">
        <v>24767.118464233001</v>
      </c>
      <c r="X150" s="18">
        <v>3.8636188935831303E-2</v>
      </c>
      <c r="Y150" s="17">
        <v>6103.3609302495097</v>
      </c>
      <c r="Z150" s="18">
        <v>1.63992038188399E-2</v>
      </c>
      <c r="AA150" s="17">
        <v>6684.8642027939704</v>
      </c>
      <c r="AB150" s="18">
        <v>3.4455519212722101E-2</v>
      </c>
      <c r="AC150" s="17">
        <v>3753.4539311281901</v>
      </c>
      <c r="AD150" s="18">
        <v>-7.2830797126477399E-4</v>
      </c>
      <c r="AE150" s="17">
        <v>7082.7023178631098</v>
      </c>
      <c r="AF150" s="18">
        <v>4.1829617446864399E-2</v>
      </c>
      <c r="AG150" s="17">
        <v>13591.815643707199</v>
      </c>
      <c r="AH150" s="18">
        <v>-8.4773356697840398E-3</v>
      </c>
      <c r="AI150" s="17">
        <v>6804.9962778405397</v>
      </c>
      <c r="AJ150" s="18">
        <v>-8.7404441712933805E-3</v>
      </c>
      <c r="AK150" s="17">
        <v>4892.7400803113496</v>
      </c>
      <c r="AL150" s="18">
        <v>-8.4369138293670706E-3</v>
      </c>
      <c r="AM150" s="17">
        <v>29335.900661170901</v>
      </c>
      <c r="AN150" s="18">
        <v>2.68904112459314E-2</v>
      </c>
      <c r="AO150" s="17">
        <v>10958.4088093639</v>
      </c>
      <c r="AP150" s="18">
        <v>1.1454916697849E-2</v>
      </c>
      <c r="AQ150" s="17">
        <v>7319.1901710145903</v>
      </c>
      <c r="AR150" s="18">
        <v>1.7286468376839201E-2</v>
      </c>
      <c r="AS150" s="17">
        <v>11190.530972988299</v>
      </c>
      <c r="AT150" s="18">
        <v>4.3731802508876899E-2</v>
      </c>
      <c r="AU150" s="17">
        <v>1885.80260540687</v>
      </c>
      <c r="AV150" s="18">
        <v>0.64936110764557597</v>
      </c>
      <c r="AW150" s="17">
        <v>2285.8590126526301</v>
      </c>
      <c r="AX150" s="18">
        <v>-1.51727197954137E-2</v>
      </c>
      <c r="AY150" s="17">
        <v>544.05514949774204</v>
      </c>
      <c r="AZ150" s="18">
        <v>4.6058044572355301E-2</v>
      </c>
      <c r="BA150" s="17">
        <v>4978.4298010418397</v>
      </c>
      <c r="BB150" s="18">
        <v>2.1496395247997398E-2</v>
      </c>
      <c r="BC150" s="17">
        <v>8466.7088859483392</v>
      </c>
      <c r="BD150" s="18">
        <v>1.3996627566583699E-2</v>
      </c>
      <c r="BE150" s="17">
        <v>-3489.8825362923099</v>
      </c>
      <c r="BF150" s="18">
        <v>2.68352704560826E-3</v>
      </c>
      <c r="BG150" s="17"/>
      <c r="BH150" s="18"/>
    </row>
    <row r="151" spans="1:60" x14ac:dyDescent="0.2">
      <c r="A151" s="16">
        <v>2014</v>
      </c>
      <c r="B151" s="16">
        <v>4</v>
      </c>
      <c r="C151" s="17">
        <v>171000.99411646801</v>
      </c>
      <c r="D151" s="18">
        <v>2.9794314505493299E-2</v>
      </c>
      <c r="E151" s="17">
        <v>165804.75696389499</v>
      </c>
      <c r="F151" s="18">
        <v>2.9738337311021799E-2</v>
      </c>
      <c r="G151" s="17">
        <v>1328.3626807159001</v>
      </c>
      <c r="H151" s="18">
        <v>7.3088982885156403E-2</v>
      </c>
      <c r="I151" s="17">
        <v>177.565850993135</v>
      </c>
      <c r="J151" s="18">
        <v>-0.13323204572748401</v>
      </c>
      <c r="K151" s="17">
        <v>29496.2111809382</v>
      </c>
      <c r="L151" s="18">
        <v>2.27014518080106E-2</v>
      </c>
      <c r="M151" s="17">
        <v>6667.2130532116998</v>
      </c>
      <c r="N151" s="18">
        <v>9.6781457454203398E-2</v>
      </c>
      <c r="O151" s="17">
        <v>23731.897937830199</v>
      </c>
      <c r="P151" s="18">
        <v>-4.0661435736764097E-3</v>
      </c>
      <c r="Q151" s="17">
        <v>3000.3885855211502</v>
      </c>
      <c r="R151" s="18">
        <v>-0.112116098129003</v>
      </c>
      <c r="S151" s="17">
        <v>527.19488278846995</v>
      </c>
      <c r="T151" s="18">
        <v>8.2451011177474304E-2</v>
      </c>
      <c r="U151" s="17">
        <v>8335.3914584942304</v>
      </c>
      <c r="V151" s="18">
        <v>1.26372263489483E-3</v>
      </c>
      <c r="W151" s="17">
        <v>28216.875313390301</v>
      </c>
      <c r="X151" s="18">
        <v>6.9093006257230402E-2</v>
      </c>
      <c r="Y151" s="17">
        <v>6828.3769079747499</v>
      </c>
      <c r="Z151" s="18">
        <v>1.1450415803497999E-2</v>
      </c>
      <c r="AA151" s="17">
        <v>6783.7664406357899</v>
      </c>
      <c r="AB151" s="18">
        <v>1.9496567535959498E-2</v>
      </c>
      <c r="AC151" s="17">
        <v>3203.0710466093901</v>
      </c>
      <c r="AD151" s="18">
        <v>-2.0624125468283699E-3</v>
      </c>
      <c r="AE151" s="17">
        <v>7575.10299189122</v>
      </c>
      <c r="AF151" s="18">
        <v>3.2420045966349502E-2</v>
      </c>
      <c r="AG151" s="17">
        <v>13979.166459973199</v>
      </c>
      <c r="AH151" s="18">
        <v>1.40255020767543E-2</v>
      </c>
      <c r="AI151" s="17">
        <v>7134.3087634089798</v>
      </c>
      <c r="AJ151" s="18">
        <v>2.66196558435274E-2</v>
      </c>
      <c r="AK151" s="17">
        <v>4947.5922238907397</v>
      </c>
      <c r="AL151" s="18">
        <v>3.0607631319263802E-3</v>
      </c>
      <c r="AM151" s="17">
        <v>29346.690167086101</v>
      </c>
      <c r="AN151" s="18">
        <v>2.7679974466635199E-2</v>
      </c>
      <c r="AO151" s="17">
        <v>11088.108078646699</v>
      </c>
      <c r="AP151" s="18">
        <v>1.6299272862532001E-2</v>
      </c>
      <c r="AQ151" s="17">
        <v>7368.9493960064901</v>
      </c>
      <c r="AR151" s="18">
        <v>2.4207729180186498E-2</v>
      </c>
      <c r="AS151" s="17">
        <v>11366.1110166825</v>
      </c>
      <c r="AT151" s="18">
        <v>4.7038976597611797E-2</v>
      </c>
      <c r="AU151" s="17">
        <v>1396.2824976450099</v>
      </c>
      <c r="AV151" s="18">
        <v>0.15648494764894999</v>
      </c>
      <c r="AW151" s="17">
        <v>2278.8886377353901</v>
      </c>
      <c r="AX151" s="18">
        <v>-1.78614672587506E-2</v>
      </c>
      <c r="AY151" s="17">
        <v>548.54711012369501</v>
      </c>
      <c r="AZ151" s="18">
        <v>4.6888908580683002E-2</v>
      </c>
      <c r="BA151" s="17">
        <v>5199.3455625875104</v>
      </c>
      <c r="BB151" s="18">
        <v>3.1453501866514098E-2</v>
      </c>
      <c r="BC151" s="17">
        <v>8728.0957919142093</v>
      </c>
      <c r="BD151" s="18">
        <v>2.4452217531028001E-2</v>
      </c>
      <c r="BE151" s="17">
        <v>-3525.2253154877399</v>
      </c>
      <c r="BF151" s="18">
        <v>1.35536029245358E-2</v>
      </c>
      <c r="BG151" s="17"/>
      <c r="BH151" s="18"/>
    </row>
    <row r="152" spans="1:60" x14ac:dyDescent="0.2">
      <c r="A152" s="16">
        <v>2015</v>
      </c>
      <c r="B152" s="16">
        <v>1</v>
      </c>
      <c r="C152" s="17">
        <v>164410.87795495</v>
      </c>
      <c r="D152" s="18">
        <v>1.85386904153413E-2</v>
      </c>
      <c r="E152" s="17">
        <v>159490.51982838201</v>
      </c>
      <c r="F152" s="18">
        <v>1.8569242863781799E-2</v>
      </c>
      <c r="G152" s="17">
        <v>1244.78104925146</v>
      </c>
      <c r="H152" s="18">
        <v>-6.08451434108538E-2</v>
      </c>
      <c r="I152" s="17">
        <v>146.92903830679899</v>
      </c>
      <c r="J152" s="18">
        <v>-0.203324086861286</v>
      </c>
      <c r="K152" s="17">
        <v>27995.9928549172</v>
      </c>
      <c r="L152" s="18">
        <v>2.39138242501458E-3</v>
      </c>
      <c r="M152" s="17">
        <v>7118.6139536443397</v>
      </c>
      <c r="N152" s="18">
        <v>0.136285857664386</v>
      </c>
      <c r="O152" s="17">
        <v>21450.130584893799</v>
      </c>
      <c r="P152" s="18">
        <v>-4.8277379865381602E-2</v>
      </c>
      <c r="Q152" s="17">
        <v>2922.2786908576099</v>
      </c>
      <c r="R152" s="18">
        <v>-2.0807824725430701E-2</v>
      </c>
      <c r="S152" s="17">
        <v>563.46904199750099</v>
      </c>
      <c r="T152" s="18">
        <v>0.142289086120128</v>
      </c>
      <c r="U152" s="17">
        <v>7754.0616554737398</v>
      </c>
      <c r="V152" s="18">
        <v>6.4347511974727201E-4</v>
      </c>
      <c r="W152" s="17">
        <v>25384.660601129701</v>
      </c>
      <c r="X152" s="18">
        <v>8.0343349124976093E-2</v>
      </c>
      <c r="Y152" s="17">
        <v>5971.2560812170505</v>
      </c>
      <c r="Z152" s="18">
        <v>4.3136645207755304E-3</v>
      </c>
      <c r="AA152" s="17">
        <v>6585.3299812801397</v>
      </c>
      <c r="AB152" s="18">
        <v>-2.32990127479944E-2</v>
      </c>
      <c r="AC152" s="17">
        <v>3331.9965484243799</v>
      </c>
      <c r="AD152" s="18">
        <v>-3.1026657491691902E-2</v>
      </c>
      <c r="AE152" s="17">
        <v>7122.3517843768996</v>
      </c>
      <c r="AF152" s="18">
        <v>1.34403216790071E-2</v>
      </c>
      <c r="AG152" s="17">
        <v>14022.119446491</v>
      </c>
      <c r="AH152" s="18">
        <v>3.1199437239441099E-2</v>
      </c>
      <c r="AI152" s="17">
        <v>7095.6775503319604</v>
      </c>
      <c r="AJ152" s="18">
        <v>4.0585485060860897E-2</v>
      </c>
      <c r="AK152" s="17">
        <v>5036.8782317725399</v>
      </c>
      <c r="AL152" s="18">
        <v>3.11910473643136E-2</v>
      </c>
      <c r="AM152" s="17">
        <v>29335.7910899934</v>
      </c>
      <c r="AN152" s="18">
        <v>1.9781046005518301E-2</v>
      </c>
      <c r="AO152" s="17">
        <v>11075.6851079684</v>
      </c>
      <c r="AP152" s="18">
        <v>1.7074945949900701E-2</v>
      </c>
      <c r="AQ152" s="17">
        <v>7327.64830918596</v>
      </c>
      <c r="AR152" s="18">
        <v>1.07813064282987E-2</v>
      </c>
      <c r="AS152" s="17">
        <v>11260.302503192701</v>
      </c>
      <c r="AT152" s="18">
        <v>2.5040834521559099E-2</v>
      </c>
      <c r="AU152" s="17">
        <v>1011.17684711096</v>
      </c>
      <c r="AV152" s="18">
        <v>-0.40520602482356299</v>
      </c>
      <c r="AW152" s="17">
        <v>2270.7090636368898</v>
      </c>
      <c r="AX152" s="18">
        <v>-5.3970117832039498E-3</v>
      </c>
      <c r="AY152" s="17">
        <v>551.29202285860094</v>
      </c>
      <c r="AZ152" s="18">
        <v>3.6560527313559202E-2</v>
      </c>
      <c r="BA152" s="17">
        <v>4927.5521277683501</v>
      </c>
      <c r="BB152" s="18">
        <v>1.7549137086300098E-2</v>
      </c>
      <c r="BC152" s="17">
        <v>8473.8972983125404</v>
      </c>
      <c r="BD152" s="18">
        <v>2.1184098422044401E-2</v>
      </c>
      <c r="BE152" s="17">
        <v>-3551.5222844721802</v>
      </c>
      <c r="BF152" s="18">
        <v>2.6469199553216201E-2</v>
      </c>
      <c r="BG152" s="17"/>
      <c r="BH152" s="18"/>
    </row>
    <row r="153" spans="1:60" x14ac:dyDescent="0.2">
      <c r="A153" s="16">
        <v>2015</v>
      </c>
      <c r="B153" s="16">
        <v>2</v>
      </c>
      <c r="C153" s="17">
        <v>167025.058865228</v>
      </c>
      <c r="D153" s="18">
        <v>1.24329359628437E-2</v>
      </c>
      <c r="E153" s="17">
        <v>162009.91175796799</v>
      </c>
      <c r="F153" s="18">
        <v>1.24843164838231E-2</v>
      </c>
      <c r="G153" s="17">
        <v>1201.9143972423101</v>
      </c>
      <c r="H153" s="18">
        <v>-0.114372195280628</v>
      </c>
      <c r="I153" s="17">
        <v>163.5469228863</v>
      </c>
      <c r="J153" s="18">
        <v>-0.20183973375631101</v>
      </c>
      <c r="K153" s="17">
        <v>28525.295973394001</v>
      </c>
      <c r="L153" s="18">
        <v>1.04586494965453E-3</v>
      </c>
      <c r="M153" s="17">
        <v>7303.9410639157104</v>
      </c>
      <c r="N153" s="18">
        <v>0.15106479470967199</v>
      </c>
      <c r="O153" s="17">
        <v>21786.698506456501</v>
      </c>
      <c r="P153" s="18">
        <v>-5.5211168515401102E-2</v>
      </c>
      <c r="Q153" s="17">
        <v>3076.9558835473199</v>
      </c>
      <c r="R153" s="18">
        <v>1.9687022325912001E-2</v>
      </c>
      <c r="S153" s="17">
        <v>575.79158349197598</v>
      </c>
      <c r="T153" s="18">
        <v>0.15277487440670401</v>
      </c>
      <c r="U153" s="17">
        <v>8166.5039433761303</v>
      </c>
      <c r="V153" s="18">
        <v>-2.1250121080333601E-2</v>
      </c>
      <c r="W153" s="17">
        <v>26975.182189769399</v>
      </c>
      <c r="X153" s="18">
        <v>7.9654031111684204E-2</v>
      </c>
      <c r="Y153" s="17">
        <v>6270.1886717351799</v>
      </c>
      <c r="Z153" s="18">
        <v>4.3578979368630302E-3</v>
      </c>
      <c r="AA153" s="17">
        <v>6373.6141283142297</v>
      </c>
      <c r="AB153" s="18">
        <v>-3.3140157590423103E-2</v>
      </c>
      <c r="AC153" s="17">
        <v>3241.1169283545801</v>
      </c>
      <c r="AD153" s="18">
        <v>-3.1444261649661E-2</v>
      </c>
      <c r="AE153" s="17">
        <v>7014.14837659159</v>
      </c>
      <c r="AF153" s="18">
        <v>-2.0317776078437899E-3</v>
      </c>
      <c r="AG153" s="17">
        <v>14022.731061329099</v>
      </c>
      <c r="AH153" s="18">
        <v>3.2029306840434701E-2</v>
      </c>
      <c r="AI153" s="17">
        <v>6990.9245267954302</v>
      </c>
      <c r="AJ153" s="18">
        <v>2.6236418211574901E-2</v>
      </c>
      <c r="AK153" s="17">
        <v>5097.1797885250699</v>
      </c>
      <c r="AL153" s="18">
        <v>4.6295351812518003E-2</v>
      </c>
      <c r="AM153" s="17">
        <v>29433.230847290499</v>
      </c>
      <c r="AN153" s="18">
        <v>1.29865504478555E-2</v>
      </c>
      <c r="AO153" s="17">
        <v>11101.5436216325</v>
      </c>
      <c r="AP153" s="18">
        <v>1.8050710469063501E-2</v>
      </c>
      <c r="AQ153" s="17">
        <v>7343.9210362869198</v>
      </c>
      <c r="AR153" s="18">
        <v>7.3467266860129899E-3</v>
      </c>
      <c r="AS153" s="17">
        <v>11250.6094483901</v>
      </c>
      <c r="AT153" s="18">
        <v>2.5864146249424E-2</v>
      </c>
      <c r="AU153" s="17">
        <v>971.61407623435002</v>
      </c>
      <c r="AV153" s="18">
        <v>-0.567409262374718</v>
      </c>
      <c r="AW153" s="17">
        <v>2290.46950750205</v>
      </c>
      <c r="AX153" s="18">
        <v>-1.9789446543961399E-2</v>
      </c>
      <c r="AY153" s="17">
        <v>554.83891975186395</v>
      </c>
      <c r="AZ153" s="18">
        <v>3.06744348973833E-2</v>
      </c>
      <c r="BA153" s="17">
        <v>5021.6235823398201</v>
      </c>
      <c r="BB153" s="18">
        <v>1.08472976416634E-2</v>
      </c>
      <c r="BC153" s="17">
        <v>8606.2083219717606</v>
      </c>
      <c r="BD153" s="18">
        <v>2.0975407466156101E-2</v>
      </c>
      <c r="BE153" s="17">
        <v>-3588.6987398255201</v>
      </c>
      <c r="BF153" s="18">
        <v>3.6479820225103501E-2</v>
      </c>
      <c r="BG153" s="17"/>
      <c r="BH153" s="18"/>
    </row>
    <row r="154" spans="1:60" x14ac:dyDescent="0.2">
      <c r="A154" s="16">
        <v>2015</v>
      </c>
      <c r="B154" s="16">
        <v>3</v>
      </c>
      <c r="C154" s="17">
        <v>167635.35623648899</v>
      </c>
      <c r="D154" s="18">
        <v>1.3091780251953899E-2</v>
      </c>
      <c r="E154" s="17">
        <v>162624.58461278499</v>
      </c>
      <c r="F154" s="18">
        <v>1.32563325434818E-2</v>
      </c>
      <c r="G154" s="17">
        <v>1182.80819394936</v>
      </c>
      <c r="H154" s="18">
        <v>-0.12843489801080299</v>
      </c>
      <c r="I154" s="17">
        <v>159.489056060195</v>
      </c>
      <c r="J154" s="18">
        <v>-0.191905073441512</v>
      </c>
      <c r="K154" s="17">
        <v>28524.7555961748</v>
      </c>
      <c r="L154" s="18">
        <v>4.8573038877841599E-3</v>
      </c>
      <c r="M154" s="17">
        <v>7677.2536181149899</v>
      </c>
      <c r="N154" s="18">
        <v>0.16791530666601601</v>
      </c>
      <c r="O154" s="17">
        <v>21278.6102904242</v>
      </c>
      <c r="P154" s="18">
        <v>-5.9335145898501002E-2</v>
      </c>
      <c r="Q154" s="17">
        <v>2806.5792684909902</v>
      </c>
      <c r="R154" s="18">
        <v>-6.2783089768262301E-2</v>
      </c>
      <c r="S154" s="17">
        <v>596.43491718161499</v>
      </c>
      <c r="T154" s="18">
        <v>0.173876048070044</v>
      </c>
      <c r="U154" s="17">
        <v>8238.2648268896992</v>
      </c>
      <c r="V154" s="18">
        <v>-2.5828761769293399E-2</v>
      </c>
      <c r="W154" s="17">
        <v>27108.978276349299</v>
      </c>
      <c r="X154" s="18">
        <v>9.4555198881865796E-2</v>
      </c>
      <c r="Y154" s="17">
        <v>6168.8897100477297</v>
      </c>
      <c r="Z154" s="18">
        <v>1.0736507400936899E-2</v>
      </c>
      <c r="AA154" s="17">
        <v>6400.3037768436197</v>
      </c>
      <c r="AB154" s="18">
        <v>-4.2567869341521902E-2</v>
      </c>
      <c r="AC154" s="17">
        <v>3595.3592907111201</v>
      </c>
      <c r="AD154" s="18">
        <v>-4.2119776429372403E-2</v>
      </c>
      <c r="AE154" s="17">
        <v>7106.1289145712399</v>
      </c>
      <c r="AF154" s="18">
        <v>3.3075788952821E-3</v>
      </c>
      <c r="AG154" s="17">
        <v>13974.9025129202</v>
      </c>
      <c r="AH154" s="18">
        <v>2.8185113693059299E-2</v>
      </c>
      <c r="AI154" s="17">
        <v>6906.8430615193502</v>
      </c>
      <c r="AJ154" s="18">
        <v>1.49664716218083E-2</v>
      </c>
      <c r="AK154" s="17">
        <v>5129.3176869282097</v>
      </c>
      <c r="AL154" s="18">
        <v>4.8352784479366299E-2</v>
      </c>
      <c r="AM154" s="17">
        <v>29473.4966747125</v>
      </c>
      <c r="AN154" s="18">
        <v>4.6903626764642804E-3</v>
      </c>
      <c r="AO154" s="17">
        <v>11119.210719656399</v>
      </c>
      <c r="AP154" s="18">
        <v>1.4673837515084101E-2</v>
      </c>
      <c r="AQ154" s="17">
        <v>7316.6419128747502</v>
      </c>
      <c r="AR154" s="18">
        <v>-3.4816121460168298E-4</v>
      </c>
      <c r="AS154" s="17">
        <v>11457.805903947899</v>
      </c>
      <c r="AT154" s="18">
        <v>2.3884025843340199E-2</v>
      </c>
      <c r="AU154" s="17">
        <v>964.34205992109003</v>
      </c>
      <c r="AV154" s="18">
        <v>-0.48863043398276201</v>
      </c>
      <c r="AW154" s="17">
        <v>2254.4363804867899</v>
      </c>
      <c r="AX154" s="18">
        <v>-1.3746531169207E-2</v>
      </c>
      <c r="AY154" s="17">
        <v>560.00600766856098</v>
      </c>
      <c r="AZ154" s="18">
        <v>2.9318458221641301E-2</v>
      </c>
      <c r="BA154" s="17">
        <v>5018.4125738911898</v>
      </c>
      <c r="BB154" s="18">
        <v>8.0312014926853196E-3</v>
      </c>
      <c r="BC154" s="17">
        <v>8658.8346392566109</v>
      </c>
      <c r="BD154" s="18">
        <v>2.2691904953426701E-2</v>
      </c>
      <c r="BE154" s="17">
        <v>-3646.8258894290002</v>
      </c>
      <c r="BF154" s="18">
        <v>4.4970955756987702E-2</v>
      </c>
      <c r="BG154" s="17"/>
      <c r="BH154" s="18"/>
    </row>
    <row r="155" spans="1:60" x14ac:dyDescent="0.2">
      <c r="A155" s="16">
        <v>2015</v>
      </c>
      <c r="B155" s="16">
        <v>4</v>
      </c>
      <c r="C155" s="17">
        <v>173432.468492035</v>
      </c>
      <c r="D155" s="18">
        <v>1.42190657319274E-2</v>
      </c>
      <c r="E155" s="17">
        <v>168195.451243452</v>
      </c>
      <c r="F155" s="18">
        <v>1.44187315450623E-2</v>
      </c>
      <c r="G155" s="17">
        <v>1184.10475394948</v>
      </c>
      <c r="H155" s="18">
        <v>-0.108598298386907</v>
      </c>
      <c r="I155" s="17">
        <v>154.54419181831</v>
      </c>
      <c r="J155" s="18">
        <v>-0.12965138874430701</v>
      </c>
      <c r="K155" s="17">
        <v>29853.167978827201</v>
      </c>
      <c r="L155" s="18">
        <v>1.21017847241227E-2</v>
      </c>
      <c r="M155" s="17">
        <v>8173.4656776786696</v>
      </c>
      <c r="N155" s="18">
        <v>0.225919377773804</v>
      </c>
      <c r="O155" s="17">
        <v>22081.044166372001</v>
      </c>
      <c r="P155" s="18">
        <v>-6.9562652586102697E-2</v>
      </c>
      <c r="Q155" s="17">
        <v>2611.7560873664802</v>
      </c>
      <c r="R155" s="18">
        <v>-0.12952738856229401</v>
      </c>
      <c r="S155" s="17">
        <v>632.65737550390304</v>
      </c>
      <c r="T155" s="18">
        <v>0.20004460619498901</v>
      </c>
      <c r="U155" s="17">
        <v>8240.2769419384604</v>
      </c>
      <c r="V155" s="18">
        <v>-1.1410923773573301E-2</v>
      </c>
      <c r="W155" s="17">
        <v>30369.505881300702</v>
      </c>
      <c r="X155" s="18">
        <v>7.6288764932414196E-2</v>
      </c>
      <c r="Y155" s="17">
        <v>6836.3991194779401</v>
      </c>
      <c r="Z155" s="18">
        <v>1.1748343144069001E-3</v>
      </c>
      <c r="AA155" s="17">
        <v>6528.0940936242096</v>
      </c>
      <c r="AB155" s="18">
        <v>-3.7688848702110603E-2</v>
      </c>
      <c r="AC155" s="17">
        <v>3117.0665001294101</v>
      </c>
      <c r="AD155" s="18">
        <v>-2.6850652148667001E-2</v>
      </c>
      <c r="AE155" s="17">
        <v>7785.5712870529296</v>
      </c>
      <c r="AF155" s="18">
        <v>2.7784215658454899E-2</v>
      </c>
      <c r="AG155" s="17">
        <v>14233.715540339599</v>
      </c>
      <c r="AH155" s="18">
        <v>1.82091744236146E-2</v>
      </c>
      <c r="AI155" s="17">
        <v>7144.4831937899698</v>
      </c>
      <c r="AJ155" s="18">
        <v>1.4261270038060699E-3</v>
      </c>
      <c r="AK155" s="17">
        <v>5133.3672111584901</v>
      </c>
      <c r="AL155" s="18">
        <v>3.75485648090974E-2</v>
      </c>
      <c r="AM155" s="17">
        <v>29389.5086949006</v>
      </c>
      <c r="AN155" s="18">
        <v>1.45905816194714E-3</v>
      </c>
      <c r="AO155" s="17">
        <v>11182.6910466358</v>
      </c>
      <c r="AP155" s="18">
        <v>8.5301268095769895E-3</v>
      </c>
      <c r="AQ155" s="17">
        <v>7333.4329765517004</v>
      </c>
      <c r="AR155" s="18">
        <v>-4.8197399040399401E-3</v>
      </c>
      <c r="AS155" s="17">
        <v>11539.6634813744</v>
      </c>
      <c r="AT155" s="18">
        <v>1.52692917073514E-2</v>
      </c>
      <c r="AU155" s="17">
        <v>975.61878394300402</v>
      </c>
      <c r="AV155" s="18">
        <v>-0.30127407198149603</v>
      </c>
      <c r="AW155" s="17">
        <v>2282.2822952617198</v>
      </c>
      <c r="AX155" s="18">
        <v>1.48917216494815E-3</v>
      </c>
      <c r="AY155" s="17">
        <v>564.99714687841504</v>
      </c>
      <c r="AZ155" s="18">
        <v>2.99883755672503E-2</v>
      </c>
      <c r="BA155" s="17">
        <v>5242.2606965671303</v>
      </c>
      <c r="BB155" s="18">
        <v>8.2539491678379501E-3</v>
      </c>
      <c r="BC155" s="17">
        <v>8937.7996597432993</v>
      </c>
      <c r="BD155" s="18">
        <v>2.40263022804315E-2</v>
      </c>
      <c r="BE155" s="17">
        <v>-3697.9981973353001</v>
      </c>
      <c r="BF155" s="18">
        <v>4.9010450789767103E-2</v>
      </c>
      <c r="BG155" s="17"/>
      <c r="BH155" s="18"/>
    </row>
    <row r="156" spans="1:60" x14ac:dyDescent="0.2">
      <c r="A156" s="16">
        <v>2016</v>
      </c>
      <c r="B156" s="16">
        <v>1</v>
      </c>
      <c r="C156" s="17">
        <v>168064.23800399</v>
      </c>
      <c r="D156" s="18">
        <v>2.2220914421738899E-2</v>
      </c>
      <c r="E156" s="17">
        <v>163028.03916532401</v>
      </c>
      <c r="F156" s="18">
        <v>2.2180122936135801E-2</v>
      </c>
      <c r="G156" s="17">
        <v>1223.95444202215</v>
      </c>
      <c r="H156" s="18">
        <v>-1.6731140984059398E-2</v>
      </c>
      <c r="I156" s="17">
        <v>143.496571668195</v>
      </c>
      <c r="J156" s="18">
        <v>-2.33613904927094E-2</v>
      </c>
      <c r="K156" s="17">
        <v>29220.456181244299</v>
      </c>
      <c r="L156" s="18">
        <v>4.3737092400066797E-2</v>
      </c>
      <c r="M156" s="17">
        <v>8465.7123684438502</v>
      </c>
      <c r="N156" s="18">
        <v>0.18923605403687799</v>
      </c>
      <c r="O156" s="17">
        <v>21058.9222780612</v>
      </c>
      <c r="P156" s="18">
        <v>-1.8238038471807199E-2</v>
      </c>
      <c r="Q156" s="17">
        <v>2394.65300700848</v>
      </c>
      <c r="R156" s="18">
        <v>-0.18055282868804101</v>
      </c>
      <c r="S156" s="17">
        <v>636.23152645435005</v>
      </c>
      <c r="T156" s="18">
        <v>0.12913306505519101</v>
      </c>
      <c r="U156" s="17">
        <v>7679.8754381847602</v>
      </c>
      <c r="V156" s="18">
        <v>-9.5674010067498001E-3</v>
      </c>
      <c r="W156" s="17">
        <v>27172.270931233299</v>
      </c>
      <c r="X156" s="18">
        <v>7.0420887566405896E-2</v>
      </c>
      <c r="Y156" s="17">
        <v>6028.0635211058698</v>
      </c>
      <c r="Z156" s="18">
        <v>9.5134824425822107E-3</v>
      </c>
      <c r="AA156" s="17">
        <v>6280.5506099659697</v>
      </c>
      <c r="AB156" s="18">
        <v>-4.6281564049265603E-2</v>
      </c>
      <c r="AC156" s="17">
        <v>3314.0264367651098</v>
      </c>
      <c r="AD156" s="18">
        <v>-5.3931963608342404E-3</v>
      </c>
      <c r="AE156" s="17">
        <v>7345.5818274727499</v>
      </c>
      <c r="AF156" s="18">
        <v>3.1342181607136602E-2</v>
      </c>
      <c r="AG156" s="17">
        <v>14053.841641429601</v>
      </c>
      <c r="AH156" s="18">
        <v>2.26229672766221E-3</v>
      </c>
      <c r="AI156" s="17">
        <v>7008.2970309817701</v>
      </c>
      <c r="AJ156" s="18">
        <v>-1.2314612484907599E-2</v>
      </c>
      <c r="AK156" s="17">
        <v>5108.6601296055196</v>
      </c>
      <c r="AL156" s="18">
        <v>1.4251267259187701E-2</v>
      </c>
      <c r="AM156" s="17">
        <v>29283.5588598904</v>
      </c>
      <c r="AN156" s="18">
        <v>-1.7804950254392E-3</v>
      </c>
      <c r="AO156" s="17">
        <v>11162.056984835301</v>
      </c>
      <c r="AP156" s="18">
        <v>7.7983326561687997E-3</v>
      </c>
      <c r="AQ156" s="17">
        <v>7317.5914109276</v>
      </c>
      <c r="AR156" s="18">
        <v>-1.37245918936302E-3</v>
      </c>
      <c r="AS156" s="17">
        <v>11747.962577353799</v>
      </c>
      <c r="AT156" s="18">
        <v>4.3307901721367302E-2</v>
      </c>
      <c r="AU156" s="17">
        <v>1359.0528718128101</v>
      </c>
      <c r="AV156" s="18">
        <v>0.34403084455085697</v>
      </c>
      <c r="AW156" s="17">
        <v>2241.21587983582</v>
      </c>
      <c r="AX156" s="18">
        <v>-1.29885348472754E-2</v>
      </c>
      <c r="AY156" s="17">
        <v>570.56487374297001</v>
      </c>
      <c r="AZ156" s="18">
        <v>3.49594227473757E-2</v>
      </c>
      <c r="BA156" s="17">
        <v>5043.0870695198701</v>
      </c>
      <c r="BB156" s="18">
        <v>2.3446721365046899E-2</v>
      </c>
      <c r="BC156" s="17">
        <v>8729.7232271943303</v>
      </c>
      <c r="BD156" s="18">
        <v>3.0189878384852702E-2</v>
      </c>
      <c r="BE156" s="17">
        <v>-3692.87715729108</v>
      </c>
      <c r="BF156" s="18">
        <v>3.9801206777421598E-2</v>
      </c>
      <c r="BG156" s="17"/>
      <c r="BH156" s="18"/>
    </row>
    <row r="157" spans="1:60" x14ac:dyDescent="0.2">
      <c r="A157" s="16">
        <v>2016</v>
      </c>
      <c r="B157" s="16">
        <v>2</v>
      </c>
      <c r="C157" s="17">
        <v>171552.85429967701</v>
      </c>
      <c r="D157" s="18">
        <v>2.7108479800640701E-2</v>
      </c>
      <c r="E157" s="17">
        <v>166357.88111292501</v>
      </c>
      <c r="F157" s="18">
        <v>2.68376749778876E-2</v>
      </c>
      <c r="G157" s="17">
        <v>1233.2294063017</v>
      </c>
      <c r="H157" s="18">
        <v>2.60542756882172E-2</v>
      </c>
      <c r="I157" s="17">
        <v>168.567286541985</v>
      </c>
      <c r="J157" s="18">
        <v>3.0696778435724801E-2</v>
      </c>
      <c r="K157" s="17">
        <v>30008.1704822721</v>
      </c>
      <c r="L157" s="18">
        <v>5.1984544183561597E-2</v>
      </c>
      <c r="M157" s="17">
        <v>8766.9799751120499</v>
      </c>
      <c r="N157" s="18">
        <v>0.200308148490451</v>
      </c>
      <c r="O157" s="17">
        <v>21534.804942654198</v>
      </c>
      <c r="P157" s="18">
        <v>-1.15618051871283E-2</v>
      </c>
      <c r="Q157" s="17">
        <v>2622.5329862334502</v>
      </c>
      <c r="R157" s="18">
        <v>-0.14768586697771499</v>
      </c>
      <c r="S157" s="17">
        <v>599.08365153645798</v>
      </c>
      <c r="T157" s="18">
        <v>4.0452255142778601E-2</v>
      </c>
      <c r="U157" s="17">
        <v>8281.0751512669794</v>
      </c>
      <c r="V157" s="18">
        <v>1.40294070369948E-2</v>
      </c>
      <c r="W157" s="17">
        <v>28138.617065068</v>
      </c>
      <c r="X157" s="18">
        <v>4.31298245592526E-2</v>
      </c>
      <c r="Y157" s="17">
        <v>6261.6287321438504</v>
      </c>
      <c r="Z157" s="18">
        <v>-1.3651805455105999E-3</v>
      </c>
      <c r="AA157" s="17">
        <v>6333.1745969258</v>
      </c>
      <c r="AB157" s="18">
        <v>-6.3448352181816299E-3</v>
      </c>
      <c r="AC157" s="17">
        <v>3226.6554645978599</v>
      </c>
      <c r="AD157" s="18">
        <v>-4.4618765926672799E-3</v>
      </c>
      <c r="AE157" s="17">
        <v>7325.3313147804602</v>
      </c>
      <c r="AF157" s="18">
        <v>4.4365034995179201E-2</v>
      </c>
      <c r="AG157" s="17">
        <v>14067.901003724501</v>
      </c>
      <c r="AH157" s="18">
        <v>3.2211943734636898E-3</v>
      </c>
      <c r="AI157" s="17">
        <v>6997.4003334567096</v>
      </c>
      <c r="AJ157" s="18">
        <v>9.2631620273619898E-4</v>
      </c>
      <c r="AK157" s="17">
        <v>5080.9100922349398</v>
      </c>
      <c r="AL157" s="18">
        <v>-3.19190159365235E-3</v>
      </c>
      <c r="AM157" s="17">
        <v>29583.3080115911</v>
      </c>
      <c r="AN157" s="18">
        <v>5.0989021585607901E-3</v>
      </c>
      <c r="AO157" s="17">
        <v>11184.050133827301</v>
      </c>
      <c r="AP157" s="18">
        <v>7.4319855874822602E-3</v>
      </c>
      <c r="AQ157" s="17">
        <v>7345.0014066944104</v>
      </c>
      <c r="AR157" s="18">
        <v>1.4711084203566899E-4</v>
      </c>
      <c r="AS157" s="17">
        <v>11805.8084301209</v>
      </c>
      <c r="AT157" s="18">
        <v>4.9348347240892397E-2</v>
      </c>
      <c r="AU157" s="17">
        <v>1774.7295363773301</v>
      </c>
      <c r="AV157" s="18">
        <v>0.82657865894201898</v>
      </c>
      <c r="AW157" s="17">
        <v>2242.1711722166701</v>
      </c>
      <c r="AX157" s="18">
        <v>-2.1086652813837099E-2</v>
      </c>
      <c r="AY157" s="17">
        <v>575.50169061708903</v>
      </c>
      <c r="AZ157" s="18">
        <v>3.7241026412614398E-2</v>
      </c>
      <c r="BA157" s="17">
        <v>5200.24644238371</v>
      </c>
      <c r="BB157" s="18">
        <v>3.5570738649561597E-2</v>
      </c>
      <c r="BC157" s="17">
        <v>8900.1664955722208</v>
      </c>
      <c r="BD157" s="18">
        <v>3.4156525452676598E-2</v>
      </c>
      <c r="BE157" s="17">
        <v>-3704.08692143497</v>
      </c>
      <c r="BF157" s="18">
        <v>3.2153209275809697E-2</v>
      </c>
      <c r="BG157" s="17"/>
      <c r="BH157" s="18"/>
    </row>
    <row r="158" spans="1:60" x14ac:dyDescent="0.2">
      <c r="A158" s="16">
        <v>2016</v>
      </c>
      <c r="B158" s="16">
        <v>3</v>
      </c>
      <c r="C158" s="17">
        <v>170899.70177711599</v>
      </c>
      <c r="D158" s="18">
        <v>1.9472894107269899E-2</v>
      </c>
      <c r="E158" s="17">
        <v>165739.81972731501</v>
      </c>
      <c r="F158" s="18">
        <v>1.9155991217121301E-2</v>
      </c>
      <c r="G158" s="17">
        <v>1232.4913294092501</v>
      </c>
      <c r="H158" s="18">
        <v>4.2004388973675602E-2</v>
      </c>
      <c r="I158" s="17">
        <v>166.645908878016</v>
      </c>
      <c r="J158" s="18">
        <v>4.48736295430818E-2</v>
      </c>
      <c r="K158" s="17">
        <v>29901.771180113701</v>
      </c>
      <c r="L158" s="18">
        <v>4.82744042905527E-2</v>
      </c>
      <c r="M158" s="17">
        <v>8906.16782593065</v>
      </c>
      <c r="N158" s="18">
        <v>0.16007211288629999</v>
      </c>
      <c r="O158" s="17">
        <v>21244.4409116674</v>
      </c>
      <c r="P158" s="18">
        <v>-1.6058087577351899E-3</v>
      </c>
      <c r="Q158" s="17">
        <v>2408.2997584099598</v>
      </c>
      <c r="R158" s="18">
        <v>-0.14190923254954799</v>
      </c>
      <c r="S158" s="17">
        <v>606.61256167917998</v>
      </c>
      <c r="T158" s="18">
        <v>1.70641325723488E-2</v>
      </c>
      <c r="U158" s="17">
        <v>8396.5608962152601</v>
      </c>
      <c r="V158" s="18">
        <v>1.92147342494846E-2</v>
      </c>
      <c r="W158" s="17">
        <v>26693.687186360999</v>
      </c>
      <c r="X158" s="18">
        <v>-1.53193191478783E-2</v>
      </c>
      <c r="Y158" s="17">
        <v>6105.1680894409101</v>
      </c>
      <c r="Z158" s="18">
        <v>-1.0329512051905E-2</v>
      </c>
      <c r="AA158" s="17">
        <v>6365.1702761071001</v>
      </c>
      <c r="AB158" s="18">
        <v>-5.4893489374101502E-3</v>
      </c>
      <c r="AC158" s="17">
        <v>3623.1711228498698</v>
      </c>
      <c r="AD158" s="18">
        <v>7.7354806265423903E-3</v>
      </c>
      <c r="AE158" s="17">
        <v>7249.3761146897396</v>
      </c>
      <c r="AF158" s="18">
        <v>2.0158260825351701E-2</v>
      </c>
      <c r="AG158" s="17">
        <v>14034.374070116501</v>
      </c>
      <c r="AH158" s="18">
        <v>4.2555972852975597E-3</v>
      </c>
      <c r="AI158" s="17">
        <v>6940.0473580222397</v>
      </c>
      <c r="AJ158" s="18">
        <v>4.8074491062186598E-3</v>
      </c>
      <c r="AK158" s="17">
        <v>5048.6071143351601</v>
      </c>
      <c r="AL158" s="18">
        <v>-1.5735147931805599E-2</v>
      </c>
      <c r="AM158" s="17">
        <v>29671.430167706101</v>
      </c>
      <c r="AN158" s="18">
        <v>6.7156433855839496E-3</v>
      </c>
      <c r="AO158" s="17">
        <v>11217.8509555235</v>
      </c>
      <c r="AP158" s="18">
        <v>8.8711544689710192E-3</v>
      </c>
      <c r="AQ158" s="17">
        <v>7318.2449226829804</v>
      </c>
      <c r="AR158" s="18">
        <v>2.1909092003191699E-4</v>
      </c>
      <c r="AS158" s="17">
        <v>12062.5786385298</v>
      </c>
      <c r="AT158" s="18">
        <v>5.2782595520622901E-2</v>
      </c>
      <c r="AU158" s="17">
        <v>2158.7454437588799</v>
      </c>
      <c r="AV158" s="18">
        <v>1.2385681735540199</v>
      </c>
      <c r="AW158" s="17">
        <v>2248.47343117329</v>
      </c>
      <c r="AX158" s="18">
        <v>-2.6449845136953302E-3</v>
      </c>
      <c r="AY158" s="17">
        <v>580.78159508180295</v>
      </c>
      <c r="AZ158" s="18">
        <v>3.7098865242064301E-2</v>
      </c>
      <c r="BA158" s="17">
        <v>5165.6315606347298</v>
      </c>
      <c r="BB158" s="18">
        <v>2.9335767949702399E-2</v>
      </c>
      <c r="BC158" s="17">
        <v>8897.4245641832204</v>
      </c>
      <c r="BD158" s="18">
        <v>2.7554507606013998E-2</v>
      </c>
      <c r="BE158" s="17">
        <v>-3737.1936961766901</v>
      </c>
      <c r="BF158" s="18">
        <v>2.4779852257176299E-2</v>
      </c>
      <c r="BG158" s="17"/>
      <c r="BH158" s="18"/>
    </row>
    <row r="159" spans="1:60" x14ac:dyDescent="0.2">
      <c r="A159" s="16">
        <v>2016</v>
      </c>
      <c r="B159" s="16">
        <v>4</v>
      </c>
      <c r="C159" s="17">
        <v>174842.48926972799</v>
      </c>
      <c r="D159" s="18">
        <v>8.1300853868542192E-3</v>
      </c>
      <c r="E159" s="17">
        <v>169494.220155702</v>
      </c>
      <c r="F159" s="18">
        <v>7.7217838095413596E-3</v>
      </c>
      <c r="G159" s="17">
        <v>1224.99366015075</v>
      </c>
      <c r="H159" s="18">
        <v>3.4531493995687799E-2</v>
      </c>
      <c r="I159" s="17">
        <v>160.98554197048301</v>
      </c>
      <c r="J159" s="18">
        <v>4.1679665061405302E-2</v>
      </c>
      <c r="K159" s="17">
        <v>31054.2489369533</v>
      </c>
      <c r="L159" s="18">
        <v>4.0232948107145297E-2</v>
      </c>
      <c r="M159" s="17">
        <v>9101.7251183221197</v>
      </c>
      <c r="N159" s="18">
        <v>0.113569870756108</v>
      </c>
      <c r="O159" s="17">
        <v>22248.891313374301</v>
      </c>
      <c r="P159" s="18">
        <v>7.6014134901245499E-3</v>
      </c>
      <c r="Q159" s="17">
        <v>2041.75261079344</v>
      </c>
      <c r="R159" s="18">
        <v>-0.218245294547316</v>
      </c>
      <c r="S159" s="17">
        <v>583.96850899439596</v>
      </c>
      <c r="T159" s="18">
        <v>-7.6959296444977801E-2</v>
      </c>
      <c r="U159" s="17">
        <v>8365.6973602535909</v>
      </c>
      <c r="V159" s="18">
        <v>1.5220413002967399E-2</v>
      </c>
      <c r="W159" s="17">
        <v>29199.965649696001</v>
      </c>
      <c r="X159" s="18">
        <v>-3.85103477210278E-2</v>
      </c>
      <c r="Y159" s="17">
        <v>6873.8299540471298</v>
      </c>
      <c r="Z159" s="18">
        <v>5.4752266383260003E-3</v>
      </c>
      <c r="AA159" s="17">
        <v>6562.7545256011799</v>
      </c>
      <c r="AB159" s="18">
        <v>5.3094259181745204E-3</v>
      </c>
      <c r="AC159" s="17">
        <v>3119.8151813651598</v>
      </c>
      <c r="AD159" s="18">
        <v>8.8181668104558896E-4</v>
      </c>
      <c r="AE159" s="17">
        <v>7949.2964587526103</v>
      </c>
      <c r="AF159" s="18">
        <v>2.1029307376833301E-2</v>
      </c>
      <c r="AG159" s="17">
        <v>14085.7122853419</v>
      </c>
      <c r="AH159" s="18">
        <v>-1.0398075933036899E-2</v>
      </c>
      <c r="AI159" s="17">
        <v>7007.2001856199004</v>
      </c>
      <c r="AJ159" s="18">
        <v>-1.9215246848000699E-2</v>
      </c>
      <c r="AK159" s="17">
        <v>5010.1206921805797</v>
      </c>
      <c r="AL159" s="18">
        <v>-2.4008903689961999E-2</v>
      </c>
      <c r="AM159" s="17">
        <v>29866.018253023401</v>
      </c>
      <c r="AN159" s="18">
        <v>1.6213593873568601E-2</v>
      </c>
      <c r="AO159" s="17">
        <v>11326.2476104493</v>
      </c>
      <c r="AP159" s="18">
        <v>1.28373897852334E-2</v>
      </c>
      <c r="AQ159" s="17">
        <v>7361.2159341737297</v>
      </c>
      <c r="AR159" s="18">
        <v>3.7885336527732098E-3</v>
      </c>
      <c r="AS159" s="17">
        <v>12244.8655197595</v>
      </c>
      <c r="AT159" s="18">
        <v>6.1111144144141198E-2</v>
      </c>
      <c r="AU159" s="17">
        <v>1568.6864834635101</v>
      </c>
      <c r="AV159" s="18">
        <v>0.60788876688453897</v>
      </c>
      <c r="AW159" s="17">
        <v>2267.1660478316198</v>
      </c>
      <c r="AX159" s="18">
        <v>-6.62330311262538E-3</v>
      </c>
      <c r="AY159" s="17">
        <v>584.99782263117697</v>
      </c>
      <c r="AZ159" s="18">
        <v>3.5399604871042503E-2</v>
      </c>
      <c r="BA159" s="17">
        <v>5351.9035430556796</v>
      </c>
      <c r="BB159" s="18">
        <v>2.0915183893916299E-2</v>
      </c>
      <c r="BC159" s="17">
        <v>9130.6811024795406</v>
      </c>
      <c r="BD159" s="18">
        <v>2.15804168899634E-2</v>
      </c>
      <c r="BE159" s="17">
        <v>-3782.41743072706</v>
      </c>
      <c r="BF159" s="18">
        <v>2.2828359800877801E-2</v>
      </c>
      <c r="BG159" s="17"/>
      <c r="BH159" s="18"/>
    </row>
    <row r="160" spans="1:60" x14ac:dyDescent="0.2">
      <c r="A160" s="16">
        <v>2017</v>
      </c>
      <c r="B160" s="16">
        <v>1</v>
      </c>
      <c r="C160" s="17">
        <v>169865.56568416799</v>
      </c>
      <c r="D160" s="18">
        <v>1.0718090306248E-2</v>
      </c>
      <c r="E160" s="17">
        <v>164684.466674358</v>
      </c>
      <c r="F160" s="18">
        <v>1.0160384173879799E-2</v>
      </c>
      <c r="G160" s="17">
        <v>1201.4692621009599</v>
      </c>
      <c r="H160" s="18">
        <v>-1.8370928810093098E-2</v>
      </c>
      <c r="I160" s="17">
        <v>146.47499783319199</v>
      </c>
      <c r="J160" s="18">
        <v>2.0756078910954701E-2</v>
      </c>
      <c r="K160" s="17">
        <v>30891.237443964201</v>
      </c>
      <c r="L160" s="18">
        <v>5.7178479773095203E-2</v>
      </c>
      <c r="M160" s="17">
        <v>9621.9581483748207</v>
      </c>
      <c r="N160" s="18">
        <v>0.136579856438414</v>
      </c>
      <c r="O160" s="17">
        <v>21448.226777479798</v>
      </c>
      <c r="P160" s="18">
        <v>1.8486439822425999E-2</v>
      </c>
      <c r="Q160" s="17">
        <v>2265.3793303951402</v>
      </c>
      <c r="R160" s="18">
        <v>-5.3984304295860298E-2</v>
      </c>
      <c r="S160" s="17">
        <v>542.00791474623895</v>
      </c>
      <c r="T160" s="18">
        <v>-0.148096420548678</v>
      </c>
      <c r="U160" s="17">
        <v>7740.5759576008404</v>
      </c>
      <c r="V160" s="18">
        <v>7.9038416579353399E-3</v>
      </c>
      <c r="W160" s="17">
        <v>26336.411897706799</v>
      </c>
      <c r="X160" s="18">
        <v>-3.07614713411993E-2</v>
      </c>
      <c r="Y160" s="17">
        <v>6051.2626526774902</v>
      </c>
      <c r="Z160" s="18">
        <v>3.8485214182624201E-3</v>
      </c>
      <c r="AA160" s="17">
        <v>6321.5194554086402</v>
      </c>
      <c r="AB160" s="18">
        <v>6.5231295768333197E-3</v>
      </c>
      <c r="AC160" s="17">
        <v>3305.5369686460099</v>
      </c>
      <c r="AD160" s="18">
        <v>-2.5616778505209701E-3</v>
      </c>
      <c r="AE160" s="17">
        <v>7365.4574159290796</v>
      </c>
      <c r="AF160" s="18">
        <v>2.7057881762329E-3</v>
      </c>
      <c r="AG160" s="17">
        <v>13636.580105923</v>
      </c>
      <c r="AH160" s="18">
        <v>-2.9690211840484999E-2</v>
      </c>
      <c r="AI160" s="17">
        <v>6531.1334395018703</v>
      </c>
      <c r="AJ160" s="18">
        <v>-6.8085526251311104E-2</v>
      </c>
      <c r="AK160" s="17">
        <v>4963.6566426388199</v>
      </c>
      <c r="AL160" s="18">
        <v>-2.8383858641598501E-2</v>
      </c>
      <c r="AM160" s="17">
        <v>29893.443377666299</v>
      </c>
      <c r="AN160" s="18">
        <v>2.08268578520121E-2</v>
      </c>
      <c r="AO160" s="17">
        <v>11355.7124115391</v>
      </c>
      <c r="AP160" s="18">
        <v>1.7349438993807802E-2</v>
      </c>
      <c r="AQ160" s="17">
        <v>7365.7729113020796</v>
      </c>
      <c r="AR160" s="18">
        <v>6.5843387077508799E-3</v>
      </c>
      <c r="AS160" s="17">
        <v>12332.782865400601</v>
      </c>
      <c r="AT160" s="18">
        <v>4.9780571243400698E-2</v>
      </c>
      <c r="AU160" s="17">
        <v>1200.93439899997</v>
      </c>
      <c r="AV160" s="18">
        <v>-0.116344607404366</v>
      </c>
      <c r="AW160" s="17">
        <v>2273.9024180258698</v>
      </c>
      <c r="AX160" s="18">
        <v>1.45842881465081E-2</v>
      </c>
      <c r="AY160" s="17">
        <v>588.01645288335703</v>
      </c>
      <c r="AZ160" s="18">
        <v>3.0586494092954799E-2</v>
      </c>
      <c r="BA160" s="17">
        <v>5187.3535849258897</v>
      </c>
      <c r="BB160" s="18">
        <v>2.8606786560945001E-2</v>
      </c>
      <c r="BC160" s="17">
        <v>8975.0358584291898</v>
      </c>
      <c r="BD160" s="18">
        <v>2.8100848658142399E-2</v>
      </c>
      <c r="BE160" s="17">
        <v>-3791.9205058807502</v>
      </c>
      <c r="BF160" s="18">
        <v>2.6820103775756901E-2</v>
      </c>
      <c r="BG160" s="17"/>
      <c r="BH160" s="18"/>
    </row>
    <row r="161" spans="1:60" x14ac:dyDescent="0.2">
      <c r="A161" s="16">
        <v>2017</v>
      </c>
      <c r="B161" s="16">
        <v>2</v>
      </c>
      <c r="C161" s="17">
        <v>172696.163151824</v>
      </c>
      <c r="D161" s="18">
        <v>6.6644700073039704E-3</v>
      </c>
      <c r="E161" s="17">
        <v>167421.075821721</v>
      </c>
      <c r="F161" s="18">
        <v>6.3910089602190502E-3</v>
      </c>
      <c r="G161" s="17">
        <v>1198.93122196222</v>
      </c>
      <c r="H161" s="18">
        <v>-2.7811682209503301E-2</v>
      </c>
      <c r="I161" s="17">
        <v>171.02959279130999</v>
      </c>
      <c r="J161" s="18">
        <v>1.4607260399313701E-2</v>
      </c>
      <c r="K161" s="17">
        <v>31604.585934718802</v>
      </c>
      <c r="L161" s="18">
        <v>5.3199359600741E-2</v>
      </c>
      <c r="M161" s="17">
        <v>9738.4234368963698</v>
      </c>
      <c r="N161" s="18">
        <v>0.11080708117756401</v>
      </c>
      <c r="O161" s="17">
        <v>22070.769298924199</v>
      </c>
      <c r="P161" s="18">
        <v>2.4888284695278699E-2</v>
      </c>
      <c r="Q161" s="17">
        <v>2692.9808000122898</v>
      </c>
      <c r="R161" s="18">
        <v>2.6862508173831599E-2</v>
      </c>
      <c r="S161" s="17">
        <v>530.42423354382299</v>
      </c>
      <c r="T161" s="18">
        <v>-0.11460739717491</v>
      </c>
      <c r="U161" s="17">
        <v>8270.1837331188908</v>
      </c>
      <c r="V161" s="18">
        <v>-1.3152178852550199E-3</v>
      </c>
      <c r="W161" s="17">
        <v>27041.464617257301</v>
      </c>
      <c r="X161" s="18">
        <v>-3.8990986844652901E-2</v>
      </c>
      <c r="Y161" s="17">
        <v>6209.8996709602097</v>
      </c>
      <c r="Z161" s="18">
        <v>-8.2612788775054992E-3</v>
      </c>
      <c r="AA161" s="17">
        <v>6386.5111878013104</v>
      </c>
      <c r="AB161" s="18">
        <v>8.4217780607846997E-3</v>
      </c>
      <c r="AC161" s="17">
        <v>3318.9837727440799</v>
      </c>
      <c r="AD161" s="18">
        <v>2.8614244427153501E-2</v>
      </c>
      <c r="AE161" s="17">
        <v>7272.5727180807598</v>
      </c>
      <c r="AF161" s="18">
        <v>-7.2022130375511998E-3</v>
      </c>
      <c r="AG161" s="17">
        <v>13769.765886094599</v>
      </c>
      <c r="AH161" s="18">
        <v>-2.1192580012534899E-2</v>
      </c>
      <c r="AI161" s="17">
        <v>6557.0713543778602</v>
      </c>
      <c r="AJ161" s="18">
        <v>-6.2927509945872304E-2</v>
      </c>
      <c r="AK161" s="17">
        <v>4948.1652860043196</v>
      </c>
      <c r="AL161" s="18">
        <v>-2.6126186809228201E-2</v>
      </c>
      <c r="AM161" s="17">
        <v>30102.291475278402</v>
      </c>
      <c r="AN161" s="18">
        <v>1.75431180138437E-2</v>
      </c>
      <c r="AO161" s="17">
        <v>11401.946280554899</v>
      </c>
      <c r="AP161" s="18">
        <v>1.9482758403287701E-2</v>
      </c>
      <c r="AQ161" s="17">
        <v>7352.2169113277996</v>
      </c>
      <c r="AR161" s="18">
        <v>9.8236940115747906E-4</v>
      </c>
      <c r="AS161" s="17">
        <v>12352.472464512301</v>
      </c>
      <c r="AT161" s="18">
        <v>4.6304667539468498E-2</v>
      </c>
      <c r="AU161" s="17">
        <v>1216.14587690085</v>
      </c>
      <c r="AV161" s="18">
        <v>-0.31474297802959</v>
      </c>
      <c r="AW161" s="17">
        <v>2235.1226432335998</v>
      </c>
      <c r="AX161" s="18">
        <v>-3.1436176998497199E-3</v>
      </c>
      <c r="AY161" s="17">
        <v>591.07798933992501</v>
      </c>
      <c r="AZ161" s="18">
        <v>2.7065600287175601E-2</v>
      </c>
      <c r="BA161" s="17">
        <v>5281.6173151712601</v>
      </c>
      <c r="BB161" s="18">
        <v>1.5647503188378702E-2</v>
      </c>
      <c r="BC161" s="17">
        <v>9099.6999572736295</v>
      </c>
      <c r="BD161" s="18">
        <v>2.24190706770118E-2</v>
      </c>
      <c r="BE161" s="17">
        <v>-3822.7625926650298</v>
      </c>
      <c r="BF161" s="18">
        <v>3.2039116183614401E-2</v>
      </c>
      <c r="BG161" s="17"/>
      <c r="BH161" s="18"/>
    </row>
    <row r="162" spans="1:60" x14ac:dyDescent="0.2">
      <c r="A162" s="16">
        <v>2017</v>
      </c>
      <c r="B162" s="16">
        <v>3</v>
      </c>
      <c r="C162" s="17">
        <v>173215.981346858</v>
      </c>
      <c r="D162" s="18">
        <v>1.35534441877656E-2</v>
      </c>
      <c r="E162" s="17">
        <v>167973.606560741</v>
      </c>
      <c r="F162" s="18">
        <v>1.34776714316536E-2</v>
      </c>
      <c r="G162" s="17">
        <v>1208.5963888645399</v>
      </c>
      <c r="H162" s="18">
        <v>-1.9387512085923399E-2</v>
      </c>
      <c r="I162" s="17">
        <v>176.42402838678601</v>
      </c>
      <c r="J162" s="18">
        <v>5.8676024959769799E-2</v>
      </c>
      <c r="K162" s="17">
        <v>31253.565074176899</v>
      </c>
      <c r="L162" s="18">
        <v>4.5207820162915101E-2</v>
      </c>
      <c r="M162" s="17">
        <v>9684.7246897973291</v>
      </c>
      <c r="N162" s="18">
        <v>8.7417717595652103E-2</v>
      </c>
      <c r="O162" s="17">
        <v>21760.085670663098</v>
      </c>
      <c r="P162" s="18">
        <v>2.4271985369713998E-2</v>
      </c>
      <c r="Q162" s="17">
        <v>2824.2574443563299</v>
      </c>
      <c r="R162" s="18">
        <v>0.172718402056809</v>
      </c>
      <c r="S162" s="17">
        <v>524.16216627933898</v>
      </c>
      <c r="T162" s="18">
        <v>-0.135919367003559</v>
      </c>
      <c r="U162" s="17">
        <v>8395.6567581670897</v>
      </c>
      <c r="V162" s="18">
        <v>-1.07679567783237E-4</v>
      </c>
      <c r="W162" s="17">
        <v>26530.7639731704</v>
      </c>
      <c r="X162" s="18">
        <v>-6.1034360691044603E-3</v>
      </c>
      <c r="Y162" s="17">
        <v>6037.2947870334201</v>
      </c>
      <c r="Z162" s="18">
        <v>-1.11173519570871E-2</v>
      </c>
      <c r="AA162" s="17">
        <v>6414.0612209741603</v>
      </c>
      <c r="AB162" s="18">
        <v>7.6810113078320504E-3</v>
      </c>
      <c r="AC162" s="17">
        <v>3733.6084374601601</v>
      </c>
      <c r="AD162" s="18">
        <v>3.0480844228913302E-2</v>
      </c>
      <c r="AE162" s="17">
        <v>7481.7962340984895</v>
      </c>
      <c r="AF162" s="18">
        <v>3.20607064293148E-2</v>
      </c>
      <c r="AG162" s="17">
        <v>13666.2931282878</v>
      </c>
      <c r="AH162" s="18">
        <v>-2.6227100687904899E-2</v>
      </c>
      <c r="AI162" s="17">
        <v>6351.0075117596698</v>
      </c>
      <c r="AJ162" s="18">
        <v>-8.4875479355581401E-2</v>
      </c>
      <c r="AK162" s="17">
        <v>4962.4611320555396</v>
      </c>
      <c r="AL162" s="18">
        <v>-1.70633167383973E-2</v>
      </c>
      <c r="AM162" s="17">
        <v>30452.642194522701</v>
      </c>
      <c r="AN162" s="18">
        <v>2.6328762125757701E-2</v>
      </c>
      <c r="AO162" s="17">
        <v>11483.134938974599</v>
      </c>
      <c r="AP162" s="18">
        <v>2.3648378330473299E-2</v>
      </c>
      <c r="AQ162" s="17">
        <v>7321.1152175424504</v>
      </c>
      <c r="AR162" s="18">
        <v>3.9221082237461701E-4</v>
      </c>
      <c r="AS162" s="17">
        <v>12508.6993787499</v>
      </c>
      <c r="AT162" s="18">
        <v>3.69838617089044E-2</v>
      </c>
      <c r="AU162" s="17">
        <v>1249.67723797402</v>
      </c>
      <c r="AV162" s="18">
        <v>-0.42110949598668801</v>
      </c>
      <c r="AW162" s="17">
        <v>2291.4903038155398</v>
      </c>
      <c r="AX162" s="18">
        <v>1.91315903696503E-2</v>
      </c>
      <c r="AY162" s="17">
        <v>594.396068714477</v>
      </c>
      <c r="AZ162" s="18">
        <v>2.3441640967903001E-2</v>
      </c>
      <c r="BA162" s="17">
        <v>5247.8373585652598</v>
      </c>
      <c r="BB162" s="18">
        <v>1.5913987857164399E-2</v>
      </c>
      <c r="BC162" s="17">
        <v>9086.2871743773703</v>
      </c>
      <c r="BD162" s="18">
        <v>2.1226660460198301E-2</v>
      </c>
      <c r="BE162" s="17">
        <v>-3842.6747937775199</v>
      </c>
      <c r="BF162" s="18">
        <v>2.8224680382165499E-2</v>
      </c>
      <c r="BG162" s="17"/>
      <c r="BH162" s="18"/>
    </row>
    <row r="163" spans="1:60" x14ac:dyDescent="0.2">
      <c r="A163" s="16">
        <v>2017</v>
      </c>
      <c r="B163" s="16">
        <v>4</v>
      </c>
      <c r="C163" s="17">
        <v>179316.04720187801</v>
      </c>
      <c r="D163" s="18">
        <v>2.5586217348167399E-2</v>
      </c>
      <c r="E163" s="17">
        <v>173934.47755974499</v>
      </c>
      <c r="F163" s="18">
        <v>2.61971021782577E-2</v>
      </c>
      <c r="G163" s="17">
        <v>1229.0024812315701</v>
      </c>
      <c r="H163" s="18">
        <v>3.2725239413320399E-3</v>
      </c>
      <c r="I163" s="17">
        <v>178.73049786910099</v>
      </c>
      <c r="J163" s="18">
        <v>0.11022701592588401</v>
      </c>
      <c r="K163" s="17">
        <v>32664.122773245799</v>
      </c>
      <c r="L163" s="18">
        <v>5.1840694636053501E-2</v>
      </c>
      <c r="M163" s="17">
        <v>9767.3655942899004</v>
      </c>
      <c r="N163" s="18">
        <v>7.3133440893290005E-2</v>
      </c>
      <c r="O163" s="17">
        <v>23168.8043257381</v>
      </c>
      <c r="P163" s="18">
        <v>4.1346465287048599E-2</v>
      </c>
      <c r="Q163" s="17">
        <v>2553.3888422838399</v>
      </c>
      <c r="R163" s="18">
        <v>0.25058678940127699</v>
      </c>
      <c r="S163" s="17">
        <v>530.51928144310602</v>
      </c>
      <c r="T163" s="18">
        <v>-9.1527585354440402E-2</v>
      </c>
      <c r="U163" s="17">
        <v>8537.5211193119394</v>
      </c>
      <c r="V163" s="18">
        <v>2.0539083791711401E-2</v>
      </c>
      <c r="W163" s="17">
        <v>29506.432188106399</v>
      </c>
      <c r="X163" s="18">
        <v>1.0495441744245999E-2</v>
      </c>
      <c r="Y163" s="17">
        <v>6714.8757433095097</v>
      </c>
      <c r="Z163" s="18">
        <v>-2.3124548003116401E-2</v>
      </c>
      <c r="AA163" s="17">
        <v>6798.01162167247</v>
      </c>
      <c r="AB163" s="18">
        <v>3.5847310021052299E-2</v>
      </c>
      <c r="AC163" s="17">
        <v>3238.5292267137602</v>
      </c>
      <c r="AD163" s="18">
        <v>3.8051627563609601E-2</v>
      </c>
      <c r="AE163" s="17">
        <v>8283.3574994161208</v>
      </c>
      <c r="AF163" s="18">
        <v>4.2023975630659301E-2</v>
      </c>
      <c r="AG163" s="17">
        <v>14184.6028199264</v>
      </c>
      <c r="AH163" s="18">
        <v>7.0206271845689701E-3</v>
      </c>
      <c r="AI163" s="17">
        <v>6682.8817067008204</v>
      </c>
      <c r="AJ163" s="18">
        <v>-4.6283604054104699E-2</v>
      </c>
      <c r="AK163" s="17">
        <v>5006.14717534792</v>
      </c>
      <c r="AL163" s="18">
        <v>-7.9309802633231697E-4</v>
      </c>
      <c r="AM163" s="17">
        <v>30603.4254669986</v>
      </c>
      <c r="AN163" s="18">
        <v>2.4690509720042299E-2</v>
      </c>
      <c r="AO163" s="17">
        <v>11612.4930231123</v>
      </c>
      <c r="AP163" s="18">
        <v>2.5272748972829499E-2</v>
      </c>
      <c r="AQ163" s="17">
        <v>7415.0780760562702</v>
      </c>
      <c r="AR163" s="18">
        <v>7.3170169662446502E-3</v>
      </c>
      <c r="AS163" s="17">
        <v>12580.409607445699</v>
      </c>
      <c r="AT163" s="18">
        <v>2.74028397571782E-2</v>
      </c>
      <c r="AU163" s="17">
        <v>1239.2351656226101</v>
      </c>
      <c r="AV163" s="18">
        <v>-0.21001731149840699</v>
      </c>
      <c r="AW163" s="17">
        <v>2282.4157034001</v>
      </c>
      <c r="AX163" s="18">
        <v>6.7263073135133099E-3</v>
      </c>
      <c r="AY163" s="17">
        <v>597.55485202329101</v>
      </c>
      <c r="AZ163" s="18">
        <v>2.1465087400899301E-2</v>
      </c>
      <c r="BA163" s="17">
        <v>5386.2083769637902</v>
      </c>
      <c r="BB163" s="18">
        <v>6.4098378515475797E-3</v>
      </c>
      <c r="BC163" s="17">
        <v>9275.6750896337999</v>
      </c>
      <c r="BD163" s="18">
        <v>1.5879865425908898E-2</v>
      </c>
      <c r="BE163" s="17">
        <v>-3894.2794346866999</v>
      </c>
      <c r="BF163" s="18">
        <v>2.9574209089380001E-2</v>
      </c>
      <c r="BG163" s="17"/>
      <c r="BH163" s="18"/>
    </row>
    <row r="164" spans="1:60" x14ac:dyDescent="0.2">
      <c r="A164" s="16">
        <v>2018</v>
      </c>
      <c r="B164" s="16">
        <v>1</v>
      </c>
      <c r="C164" s="17">
        <v>175978.890035769</v>
      </c>
      <c r="D164" s="18">
        <v>3.5989191376009998E-2</v>
      </c>
      <c r="E164" s="17">
        <v>170864.616337466</v>
      </c>
      <c r="F164" s="18">
        <v>3.7527216670222498E-2</v>
      </c>
      <c r="G164" s="17">
        <v>1270.19463008905</v>
      </c>
      <c r="H164" s="18">
        <v>5.72011038117703E-2</v>
      </c>
      <c r="I164" s="17">
        <v>171.33568510943999</v>
      </c>
      <c r="J164" s="18">
        <v>0.169726490145162</v>
      </c>
      <c r="K164" s="17">
        <v>32175.868289662601</v>
      </c>
      <c r="L164" s="18">
        <v>4.1585606534172898E-2</v>
      </c>
      <c r="M164" s="17">
        <v>10581.3694022868</v>
      </c>
      <c r="N164" s="18">
        <v>9.9710603508918999E-2</v>
      </c>
      <c r="O164" s="17">
        <v>21698.863549280599</v>
      </c>
      <c r="P164" s="18">
        <v>1.16856640132132E-2</v>
      </c>
      <c r="Q164" s="17">
        <v>2779.35627421254</v>
      </c>
      <c r="R164" s="18">
        <v>0.22688339075105099</v>
      </c>
      <c r="S164" s="17">
        <v>545.66619992004905</v>
      </c>
      <c r="T164" s="18">
        <v>6.7495050796853003E-3</v>
      </c>
      <c r="U164" s="17">
        <v>8009.9055672778704</v>
      </c>
      <c r="V164" s="18">
        <v>3.4794518024535502E-2</v>
      </c>
      <c r="W164" s="17">
        <v>26453.149828414302</v>
      </c>
      <c r="X164" s="18">
        <v>4.4325677757812701E-3</v>
      </c>
      <c r="Y164" s="17">
        <v>5934.2591193349699</v>
      </c>
      <c r="Z164" s="18">
        <v>-1.9335391646032301E-2</v>
      </c>
      <c r="AA164" s="17">
        <v>6784.50351087125</v>
      </c>
      <c r="AB164" s="18">
        <v>7.3239362581804607E-2</v>
      </c>
      <c r="AC164" s="17">
        <v>3466.4292206597302</v>
      </c>
      <c r="AD164" s="18">
        <v>4.8673560011531301E-2</v>
      </c>
      <c r="AE164" s="17">
        <v>7829.3542748855998</v>
      </c>
      <c r="AF164" s="18">
        <v>6.2982763019342206E-2</v>
      </c>
      <c r="AG164" s="17">
        <v>14229.185616852201</v>
      </c>
      <c r="AH164" s="18">
        <v>4.3457047612092098E-2</v>
      </c>
      <c r="AI164" s="17">
        <v>6543.60880099104</v>
      </c>
      <c r="AJ164" s="18">
        <v>1.91013728393807E-3</v>
      </c>
      <c r="AK164" s="17">
        <v>5079.6043862462402</v>
      </c>
      <c r="AL164" s="18">
        <v>2.33593400904097E-2</v>
      </c>
      <c r="AM164" s="17">
        <v>31079.1559105782</v>
      </c>
      <c r="AN164" s="18">
        <v>3.9664635416262903E-2</v>
      </c>
      <c r="AO164" s="17">
        <v>11548.988892859799</v>
      </c>
      <c r="AP164" s="18">
        <v>1.7020198673255001E-2</v>
      </c>
      <c r="AQ164" s="17">
        <v>7419.6612342424896</v>
      </c>
      <c r="AR164" s="18">
        <v>7.3160445739146604E-3</v>
      </c>
      <c r="AS164" s="17">
        <v>12707.615771417601</v>
      </c>
      <c r="AT164" s="18">
        <v>3.0393213770808499E-2</v>
      </c>
      <c r="AU164" s="17">
        <v>1665.9319141897699</v>
      </c>
      <c r="AV164" s="18">
        <v>0.38719643269191401</v>
      </c>
      <c r="AW164" s="17">
        <v>2286.1517008631599</v>
      </c>
      <c r="AX164" s="18">
        <v>5.3868990771925897E-3</v>
      </c>
      <c r="AY164" s="17">
        <v>600.45683969753895</v>
      </c>
      <c r="AZ164" s="18">
        <v>2.1156528449467499E-2</v>
      </c>
      <c r="BA164" s="17">
        <v>5119.8769135003604</v>
      </c>
      <c r="BB164" s="18">
        <v>-1.3007918261367201E-2</v>
      </c>
      <c r="BC164" s="17">
        <v>9004.4076921927408</v>
      </c>
      <c r="BD164" s="18">
        <v>3.2726146420876102E-3</v>
      </c>
      <c r="BE164" s="17">
        <v>-3889.2895949604099</v>
      </c>
      <c r="BF164" s="18">
        <v>2.5678040699602899E-2</v>
      </c>
      <c r="BG164" s="17"/>
      <c r="BH164" s="18"/>
    </row>
    <row r="165" spans="1:60" x14ac:dyDescent="0.2">
      <c r="A165" s="16">
        <v>2018</v>
      </c>
      <c r="B165" s="16">
        <v>2</v>
      </c>
      <c r="C165" s="17">
        <v>180373.48431001499</v>
      </c>
      <c r="D165" s="18">
        <v>4.44556556328441E-2</v>
      </c>
      <c r="E165" s="17">
        <v>175199.01112247701</v>
      </c>
      <c r="F165" s="18">
        <v>4.6457324817564601E-2</v>
      </c>
      <c r="G165" s="17">
        <v>1289.25134136821</v>
      </c>
      <c r="H165" s="18">
        <v>7.53338621527984E-2</v>
      </c>
      <c r="I165" s="17">
        <v>207.90930491233999</v>
      </c>
      <c r="J165" s="18">
        <v>0.2156335141722</v>
      </c>
      <c r="K165" s="17">
        <v>33554.006706874403</v>
      </c>
      <c r="L165" s="18">
        <v>6.1681579255055602E-2</v>
      </c>
      <c r="M165" s="17">
        <v>10769.1805827973</v>
      </c>
      <c r="N165" s="18">
        <v>0.105844354846567</v>
      </c>
      <c r="O165" s="17">
        <v>22935.666548801099</v>
      </c>
      <c r="P165" s="18">
        <v>3.9187453693288403E-2</v>
      </c>
      <c r="Q165" s="17">
        <v>3216.0593254820901</v>
      </c>
      <c r="R165" s="18">
        <v>0.19423774780251499</v>
      </c>
      <c r="S165" s="17">
        <v>552.69899617497094</v>
      </c>
      <c r="T165" s="18">
        <v>4.1994240124225701E-2</v>
      </c>
      <c r="U165" s="17">
        <v>8648.0285600680709</v>
      </c>
      <c r="V165" s="18">
        <v>4.5687597657118099E-2</v>
      </c>
      <c r="W165" s="17">
        <v>27187.1160161275</v>
      </c>
      <c r="X165" s="18">
        <v>5.3862244864244504E-3</v>
      </c>
      <c r="Y165" s="17">
        <v>6165.3665966244798</v>
      </c>
      <c r="Z165" s="18">
        <v>-7.1713033535756301E-3</v>
      </c>
      <c r="AA165" s="17">
        <v>6564.3560981864803</v>
      </c>
      <c r="AB165" s="18">
        <v>2.78469582461345E-2</v>
      </c>
      <c r="AC165" s="17">
        <v>3503.3143052979499</v>
      </c>
      <c r="AD165" s="18">
        <v>5.5538244587883798E-2</v>
      </c>
      <c r="AE165" s="17">
        <v>7770.5463414506803</v>
      </c>
      <c r="AF165" s="18">
        <v>6.8472828347508202E-2</v>
      </c>
      <c r="AG165" s="17">
        <v>14457.359149116601</v>
      </c>
      <c r="AH165" s="18">
        <v>4.9935000254167201E-2</v>
      </c>
      <c r="AI165" s="17">
        <v>6652.2544339230799</v>
      </c>
      <c r="AJ165" s="18">
        <v>1.45160963486644E-2</v>
      </c>
      <c r="AK165" s="17">
        <v>5126.6469927301796</v>
      </c>
      <c r="AL165" s="18">
        <v>3.6070279873369401E-2</v>
      </c>
      <c r="AM165" s="17">
        <v>31534.9952583677</v>
      </c>
      <c r="AN165" s="18">
        <v>4.7594509018222403E-2</v>
      </c>
      <c r="AO165" s="17">
        <v>11550.336602565099</v>
      </c>
      <c r="AP165" s="18">
        <v>1.3014472999510101E-2</v>
      </c>
      <c r="AQ165" s="17">
        <v>7444.08701782566</v>
      </c>
      <c r="AR165" s="18">
        <v>1.2495565297632599E-2</v>
      </c>
      <c r="AS165" s="17">
        <v>12690.2603445608</v>
      </c>
      <c r="AT165" s="18">
        <v>2.73457707369065E-2</v>
      </c>
      <c r="AU165" s="17">
        <v>2316.47851672567</v>
      </c>
      <c r="AV165" s="18">
        <v>0.90477027528048903</v>
      </c>
      <c r="AW165" s="17">
        <v>2327.6404203278198</v>
      </c>
      <c r="AX165" s="18">
        <v>4.13927071851279E-2</v>
      </c>
      <c r="AY165" s="17">
        <v>604.13006820648104</v>
      </c>
      <c r="AZ165" s="18">
        <v>2.2081821860988199E-2</v>
      </c>
      <c r="BA165" s="17">
        <v>5180.1584487074897</v>
      </c>
      <c r="BB165" s="18">
        <v>-1.9209810254963201E-2</v>
      </c>
      <c r="BC165" s="17">
        <v>9080.1526449086396</v>
      </c>
      <c r="BD165" s="18">
        <v>-2.14812713130874E-3</v>
      </c>
      <c r="BE165" s="17">
        <v>-3904.73491720316</v>
      </c>
      <c r="BF165" s="18">
        <v>2.1443216143062199E-2</v>
      </c>
      <c r="BG165" s="17"/>
      <c r="BH165" s="18"/>
    </row>
    <row r="166" spans="1:60" x14ac:dyDescent="0.2">
      <c r="A166" s="16">
        <v>2018</v>
      </c>
      <c r="B166" s="16">
        <v>3</v>
      </c>
      <c r="C166" s="17">
        <v>178319.21833062</v>
      </c>
      <c r="D166" s="18">
        <v>2.94616983033602E-2</v>
      </c>
      <c r="E166" s="17">
        <v>173304.465910245</v>
      </c>
      <c r="F166" s="18">
        <v>3.1736291543966497E-2</v>
      </c>
      <c r="G166" s="17">
        <v>1293.7575578854301</v>
      </c>
      <c r="H166" s="18">
        <v>7.0462868998727904E-2</v>
      </c>
      <c r="I166" s="17">
        <v>204.24523243007999</v>
      </c>
      <c r="J166" s="18">
        <v>0.15769509571734699</v>
      </c>
      <c r="K166" s="17">
        <v>32511.343654686701</v>
      </c>
      <c r="L166" s="18">
        <v>4.0244323408371099E-2</v>
      </c>
      <c r="M166" s="17">
        <v>10666.3337562588</v>
      </c>
      <c r="N166" s="18">
        <v>0.10135642446249001</v>
      </c>
      <c r="O166" s="17">
        <v>21954.476476729</v>
      </c>
      <c r="P166" s="18">
        <v>8.9333658427623898E-3</v>
      </c>
      <c r="Q166" s="17">
        <v>3078.100372331</v>
      </c>
      <c r="R166" s="18">
        <v>8.9879528681752002E-2</v>
      </c>
      <c r="S166" s="17">
        <v>561.21005807093502</v>
      </c>
      <c r="T166" s="18">
        <v>7.0680209627820095E-2</v>
      </c>
      <c r="U166" s="17">
        <v>8808.0070507764303</v>
      </c>
      <c r="V166" s="18">
        <v>4.9114715440005799E-2</v>
      </c>
      <c r="W166" s="17">
        <v>25671.605992509201</v>
      </c>
      <c r="X166" s="18">
        <v>-3.2383461762728397E-2</v>
      </c>
      <c r="Y166" s="17">
        <v>5921.6505941470396</v>
      </c>
      <c r="Z166" s="18">
        <v>-1.9154968734466399E-2</v>
      </c>
      <c r="AA166" s="17">
        <v>6644.3610955354798</v>
      </c>
      <c r="AB166" s="18">
        <v>3.5905468723659503E-2</v>
      </c>
      <c r="AC166" s="17">
        <v>3930.9993744420799</v>
      </c>
      <c r="AD166" s="18">
        <v>5.2868676586826001E-2</v>
      </c>
      <c r="AE166" s="17">
        <v>7820.3025670676498</v>
      </c>
      <c r="AF166" s="18">
        <v>4.5243992535696699E-2</v>
      </c>
      <c r="AG166" s="17">
        <v>14351.5764492653</v>
      </c>
      <c r="AH166" s="18">
        <v>5.0144052563820603E-2</v>
      </c>
      <c r="AI166" s="17">
        <v>6473.8750658792897</v>
      </c>
      <c r="AJ166" s="18">
        <v>1.9346151597540599E-2</v>
      </c>
      <c r="AK166" s="17">
        <v>5147.7448153666401</v>
      </c>
      <c r="AL166" s="18">
        <v>3.7337054816257299E-2</v>
      </c>
      <c r="AM166" s="17">
        <v>31968.779098861</v>
      </c>
      <c r="AN166" s="18">
        <v>4.97867112697052E-2</v>
      </c>
      <c r="AO166" s="17">
        <v>11580.9755349189</v>
      </c>
      <c r="AP166" s="18">
        <v>8.5203732660372698E-3</v>
      </c>
      <c r="AQ166" s="17">
        <v>7405.1313931375598</v>
      </c>
      <c r="AR166" s="18">
        <v>1.1475871243467901E-2</v>
      </c>
      <c r="AS166" s="17">
        <v>12860.643092128301</v>
      </c>
      <c r="AT166" s="18">
        <v>2.8135915871179799E-2</v>
      </c>
      <c r="AU166" s="17">
        <v>1885.19009985042</v>
      </c>
      <c r="AV166" s="18">
        <v>0.50854159983476599</v>
      </c>
      <c r="AW166" s="17">
        <v>2362.4211074381001</v>
      </c>
      <c r="AX166" s="18">
        <v>3.0954005567667399E-2</v>
      </c>
      <c r="AY166" s="17">
        <v>609.10054450805796</v>
      </c>
      <c r="AZ166" s="18">
        <v>2.4738514548695599E-2</v>
      </c>
      <c r="BA166" s="17">
        <v>5020.2865290310001</v>
      </c>
      <c r="BB166" s="18">
        <v>-4.3360876869184398E-2</v>
      </c>
      <c r="BC166" s="17">
        <v>8949.7595968343303</v>
      </c>
      <c r="BD166" s="18">
        <v>-1.50256727443127E-2</v>
      </c>
      <c r="BE166" s="17">
        <v>-3934.43437632921</v>
      </c>
      <c r="BF166" s="18">
        <v>2.38790913819391E-2</v>
      </c>
      <c r="BG166" s="17"/>
      <c r="BH166" s="18"/>
    </row>
    <row r="167" spans="1:60" x14ac:dyDescent="0.2">
      <c r="A167" s="16">
        <v>2018</v>
      </c>
      <c r="B167" s="16">
        <v>4</v>
      </c>
      <c r="C167" s="17">
        <v>183550.94035485201</v>
      </c>
      <c r="D167" s="18">
        <v>2.36169222947826E-2</v>
      </c>
      <c r="E167" s="17">
        <v>178368.26712867201</v>
      </c>
      <c r="F167" s="18">
        <v>2.5491148340063899E-2</v>
      </c>
      <c r="G167" s="17">
        <v>1285.59944292616</v>
      </c>
      <c r="H167" s="18">
        <v>4.6051137047230101E-2</v>
      </c>
      <c r="I167" s="17">
        <v>198.68675865904899</v>
      </c>
      <c r="J167" s="18">
        <v>0.11165559894855701</v>
      </c>
      <c r="K167" s="17">
        <v>34929.9995023187</v>
      </c>
      <c r="L167" s="18">
        <v>6.9368975398559601E-2</v>
      </c>
      <c r="M167" s="17">
        <v>11124.7507524926</v>
      </c>
      <c r="N167" s="18">
        <v>0.138971470362104</v>
      </c>
      <c r="O167" s="17">
        <v>23975.894968034499</v>
      </c>
      <c r="P167" s="18">
        <v>3.4835230638115403E-2</v>
      </c>
      <c r="Q167" s="17">
        <v>2827.7907979998699</v>
      </c>
      <c r="R167" s="18">
        <v>0.107465792585901</v>
      </c>
      <c r="S167" s="17">
        <v>573.46835861221803</v>
      </c>
      <c r="T167" s="18">
        <v>8.0956675226359298E-2</v>
      </c>
      <c r="U167" s="17">
        <v>8658.7849934671594</v>
      </c>
      <c r="V167" s="18">
        <v>1.42036397287415E-2</v>
      </c>
      <c r="W167" s="17">
        <v>28533.2700052951</v>
      </c>
      <c r="X167" s="18">
        <v>-3.2981357305663601E-2</v>
      </c>
      <c r="Y167" s="17">
        <v>6732.6840503699495</v>
      </c>
      <c r="Z167" s="18">
        <v>2.65206799666817E-3</v>
      </c>
      <c r="AA167" s="17">
        <v>6934.5453820593902</v>
      </c>
      <c r="AB167" s="18">
        <v>2.00843670157369E-2</v>
      </c>
      <c r="AC167" s="17">
        <v>3287.1072243794301</v>
      </c>
      <c r="AD167" s="18">
        <v>1.50000182999628E-2</v>
      </c>
      <c r="AE167" s="17">
        <v>8465.6947103199</v>
      </c>
      <c r="AF167" s="18">
        <v>2.2012476331805701E-2</v>
      </c>
      <c r="AG167" s="17">
        <v>14189.4513874698</v>
      </c>
      <c r="AH167" s="18">
        <v>3.4181905583841E-4</v>
      </c>
      <c r="AI167" s="17">
        <v>6372.2702588746497</v>
      </c>
      <c r="AJ167" s="18">
        <v>-4.6478669151770798E-2</v>
      </c>
      <c r="AK167" s="17">
        <v>5142.6809010324296</v>
      </c>
      <c r="AL167" s="18">
        <v>2.7273214490547201E-2</v>
      </c>
      <c r="AM167" s="17">
        <v>32017.236124931202</v>
      </c>
      <c r="AN167" s="18">
        <v>4.6197791141293E-2</v>
      </c>
      <c r="AO167" s="17">
        <v>11669.260270455001</v>
      </c>
      <c r="AP167" s="18">
        <v>4.8884634186379099E-3</v>
      </c>
      <c r="AQ167" s="17">
        <v>7437.1220449449702</v>
      </c>
      <c r="AR167" s="18">
        <v>2.9728572865452799E-3</v>
      </c>
      <c r="AS167" s="17">
        <v>13025.8292430808</v>
      </c>
      <c r="AT167" s="18">
        <v>3.54058134459714E-2</v>
      </c>
      <c r="AU167" s="17">
        <v>1452.6001729621401</v>
      </c>
      <c r="AV167" s="18">
        <v>0.172174752023219</v>
      </c>
      <c r="AW167" s="17">
        <v>2377.5532390059998</v>
      </c>
      <c r="AX167" s="18">
        <v>4.1682825553720701E-2</v>
      </c>
      <c r="AY167" s="17">
        <v>614.76122663753301</v>
      </c>
      <c r="AZ167" s="18">
        <v>2.87946362680889E-2</v>
      </c>
      <c r="BA167" s="17">
        <v>5188.3875253528304</v>
      </c>
      <c r="BB167" s="18">
        <v>-3.6727292701302899E-2</v>
      </c>
      <c r="BC167" s="17">
        <v>9155.8325540776896</v>
      </c>
      <c r="BD167" s="18">
        <v>-1.2920087691519999E-2</v>
      </c>
      <c r="BE167" s="17">
        <v>-3972.34326842983</v>
      </c>
      <c r="BF167" s="18">
        <v>2.00457709962472E-2</v>
      </c>
      <c r="BG167" s="17"/>
      <c r="BH167" s="18"/>
    </row>
    <row r="168" spans="1:60" x14ac:dyDescent="0.2">
      <c r="A168" s="16">
        <v>2019</v>
      </c>
      <c r="B168" s="16">
        <v>1</v>
      </c>
      <c r="C168" s="17">
        <v>178053.87651618401</v>
      </c>
      <c r="D168" s="18">
        <v>1.17911101723238E-2</v>
      </c>
      <c r="E168" s="17">
        <v>173075.83281348899</v>
      </c>
      <c r="F168" s="18">
        <v>1.29413363832744E-2</v>
      </c>
      <c r="G168" s="17">
        <v>1264.2058374951901</v>
      </c>
      <c r="H168" s="18">
        <v>-4.71486215733408E-3</v>
      </c>
      <c r="I168" s="17">
        <v>180.65914011407</v>
      </c>
      <c r="J168" s="18">
        <v>5.4416305620601298E-2</v>
      </c>
      <c r="K168" s="17">
        <v>34298.491514277397</v>
      </c>
      <c r="L168" s="18">
        <v>6.5969415510593002E-2</v>
      </c>
      <c r="M168" s="17">
        <v>11444.9281011283</v>
      </c>
      <c r="N168" s="18">
        <v>8.1611241986768696E-2</v>
      </c>
      <c r="O168" s="17">
        <v>22944.862019341399</v>
      </c>
      <c r="P168" s="18">
        <v>5.7422291597481599E-2</v>
      </c>
      <c r="Q168" s="17">
        <v>2917.0767378692599</v>
      </c>
      <c r="R168" s="18">
        <v>4.9551209009986302E-2</v>
      </c>
      <c r="S168" s="17">
        <v>551.88971588133597</v>
      </c>
      <c r="T168" s="18">
        <v>1.14053536066538E-2</v>
      </c>
      <c r="U168" s="17">
        <v>8102.4126618401197</v>
      </c>
      <c r="V168" s="18">
        <v>1.15490867882584E-2</v>
      </c>
      <c r="W168" s="17">
        <v>24889.820259779601</v>
      </c>
      <c r="X168" s="18">
        <v>-5.90980499023782E-2</v>
      </c>
      <c r="Y168" s="17">
        <v>5907.0911746412203</v>
      </c>
      <c r="Z168" s="18">
        <v>-4.5781527478687698E-3</v>
      </c>
      <c r="AA168" s="17">
        <v>6993.29240630398</v>
      </c>
      <c r="AB168" s="18">
        <v>3.0774380925320699E-2</v>
      </c>
      <c r="AC168" s="17">
        <v>3463.1779976164398</v>
      </c>
      <c r="AD168" s="18">
        <v>-9.3791704267731603E-4</v>
      </c>
      <c r="AE168" s="17">
        <v>7851.3952405365199</v>
      </c>
      <c r="AF168" s="18">
        <v>2.8151703035874699E-3</v>
      </c>
      <c r="AG168" s="17">
        <v>14122.261418727699</v>
      </c>
      <c r="AH168" s="18">
        <v>-7.5144285135902997E-3</v>
      </c>
      <c r="AI168" s="17">
        <v>6375.8722595937397</v>
      </c>
      <c r="AJ168" s="18">
        <v>-2.5633644445844199E-2</v>
      </c>
      <c r="AK168" s="17">
        <v>5110.5457800375098</v>
      </c>
      <c r="AL168" s="18">
        <v>6.0912999199402903E-3</v>
      </c>
      <c r="AM168" s="17">
        <v>32073.8378291099</v>
      </c>
      <c r="AN168" s="18">
        <v>3.2004791938161199E-2</v>
      </c>
      <c r="AO168" s="17">
        <v>11683.5601337145</v>
      </c>
      <c r="AP168" s="18">
        <v>1.16522097391447E-2</v>
      </c>
      <c r="AQ168" s="17">
        <v>7395.8730673256296</v>
      </c>
      <c r="AR168" s="18">
        <v>-3.2060987915562E-3</v>
      </c>
      <c r="AS168" s="17">
        <v>13240.884499123</v>
      </c>
      <c r="AT168" s="18">
        <v>4.1964498871990302E-2</v>
      </c>
      <c r="AU168" s="17">
        <v>1277.0691550303</v>
      </c>
      <c r="AV168" s="18">
        <v>-0.233420559296144</v>
      </c>
      <c r="AW168" s="17">
        <v>2411.7296328624998</v>
      </c>
      <c r="AX168" s="18">
        <v>5.4929833375419103E-2</v>
      </c>
      <c r="AY168" s="17">
        <v>621.18564668085196</v>
      </c>
      <c r="AZ168" s="18">
        <v>3.4521726813461703E-2</v>
      </c>
      <c r="BA168" s="17">
        <v>4982.7315485539702</v>
      </c>
      <c r="BB168" s="18">
        <v>-2.67868480558121E-2</v>
      </c>
      <c r="BC168" s="17">
        <v>8915.4254136098498</v>
      </c>
      <c r="BD168" s="18">
        <v>-9.8820801572595506E-3</v>
      </c>
      <c r="BE168" s="17">
        <v>-3937.4536430308499</v>
      </c>
      <c r="BF168" s="18">
        <v>1.23837649253082E-2</v>
      </c>
      <c r="BG168" s="17"/>
      <c r="BH168" s="18"/>
    </row>
    <row r="169" spans="1:60" x14ac:dyDescent="0.2">
      <c r="A169" s="16">
        <v>2019</v>
      </c>
      <c r="B169" s="16">
        <v>2</v>
      </c>
      <c r="C169" s="17">
        <v>181115.27460794599</v>
      </c>
      <c r="D169" s="18">
        <v>4.1125240817294602E-3</v>
      </c>
      <c r="E169" s="17">
        <v>176033.06948515199</v>
      </c>
      <c r="F169" s="18">
        <v>4.7606339632382299E-3</v>
      </c>
      <c r="G169" s="17">
        <v>1251.5471928904401</v>
      </c>
      <c r="H169" s="18">
        <v>-2.9244994570071799E-2</v>
      </c>
      <c r="I169" s="17">
        <v>201.90652730765001</v>
      </c>
      <c r="J169" s="18">
        <v>-2.8872096932945499E-2</v>
      </c>
      <c r="K169" s="17">
        <v>35283.647004963503</v>
      </c>
      <c r="L169" s="18">
        <v>5.1547951134394802E-2</v>
      </c>
      <c r="M169" s="17">
        <v>11729.147607508599</v>
      </c>
      <c r="N169" s="18">
        <v>8.9140210560184605E-2</v>
      </c>
      <c r="O169" s="17">
        <v>23654.632545726599</v>
      </c>
      <c r="P169" s="18">
        <v>3.1347072272602403E-2</v>
      </c>
      <c r="Q169" s="17">
        <v>3042.4170330338102</v>
      </c>
      <c r="R169" s="18">
        <v>-5.3992254145450599E-2</v>
      </c>
      <c r="S169" s="17">
        <v>530.83821503215097</v>
      </c>
      <c r="T169" s="18">
        <v>-3.9552778807470802E-2</v>
      </c>
      <c r="U169" s="17">
        <v>8653.2328237818492</v>
      </c>
      <c r="V169" s="18">
        <v>6.01786138613836E-4</v>
      </c>
      <c r="W169" s="17">
        <v>26003.547072088899</v>
      </c>
      <c r="X169" s="18">
        <v>-4.3534185212455903E-2</v>
      </c>
      <c r="Y169" s="17">
        <v>6248.2135148359303</v>
      </c>
      <c r="Z169" s="18">
        <v>1.3437468301854501E-2</v>
      </c>
      <c r="AA169" s="17">
        <v>6848.0914504456096</v>
      </c>
      <c r="AB169" s="18">
        <v>4.3223638086530701E-2</v>
      </c>
      <c r="AC169" s="17">
        <v>3553.3346799843598</v>
      </c>
      <c r="AD169" s="18">
        <v>1.42780151386264E-2</v>
      </c>
      <c r="AE169" s="17">
        <v>7741.4559447881802</v>
      </c>
      <c r="AF169" s="18">
        <v>-3.7436745608627801E-3</v>
      </c>
      <c r="AG169" s="17">
        <v>14311.413013622399</v>
      </c>
      <c r="AH169" s="18">
        <v>-1.00949373940917E-2</v>
      </c>
      <c r="AI169" s="17">
        <v>6524.1348042924101</v>
      </c>
      <c r="AJ169" s="18">
        <v>-1.9259580478059798E-2</v>
      </c>
      <c r="AK169" s="17">
        <v>5108.4991137200004</v>
      </c>
      <c r="AL169" s="18">
        <v>-3.5399119611551101E-3</v>
      </c>
      <c r="AM169" s="17">
        <v>32068.748508023102</v>
      </c>
      <c r="AN169" s="18">
        <v>1.6925743773937001E-2</v>
      </c>
      <c r="AO169" s="17">
        <v>11698.6178260374</v>
      </c>
      <c r="AP169" s="18">
        <v>1.28378270326253E-2</v>
      </c>
      <c r="AQ169" s="17">
        <v>7411.7122432277301</v>
      </c>
      <c r="AR169" s="18">
        <v>-4.3490591284607296E-3</v>
      </c>
      <c r="AS169" s="17">
        <v>13265.447998264801</v>
      </c>
      <c r="AT169" s="18">
        <v>4.5325126363583899E-2</v>
      </c>
      <c r="AU169" s="17">
        <v>1344.86387484136</v>
      </c>
      <c r="AV169" s="18">
        <v>-0.41943606852770898</v>
      </c>
      <c r="AW169" s="17">
        <v>2431.8799495369799</v>
      </c>
      <c r="AX169" s="18">
        <v>4.4783347246773103E-2</v>
      </c>
      <c r="AY169" s="17">
        <v>624.58766934365303</v>
      </c>
      <c r="AZ169" s="18">
        <v>3.3862908359960399E-2</v>
      </c>
      <c r="BA169" s="17">
        <v>5087.1394647498901</v>
      </c>
      <c r="BB169" s="18">
        <v>-1.7956783538313099E-2</v>
      </c>
      <c r="BC169" s="17">
        <v>9038.1022079921095</v>
      </c>
      <c r="BD169" s="18">
        <v>-4.6310275345543602E-3</v>
      </c>
      <c r="BE169" s="17">
        <v>-3955.7928189244399</v>
      </c>
      <c r="BF169" s="18">
        <v>1.3075894472716299E-2</v>
      </c>
      <c r="BG169" s="17"/>
      <c r="BH169" s="18"/>
    </row>
    <row r="170" spans="1:60" x14ac:dyDescent="0.2">
      <c r="A170" s="16">
        <v>2019</v>
      </c>
      <c r="B170" s="16">
        <v>3</v>
      </c>
      <c r="C170" s="17">
        <v>181080.49794678701</v>
      </c>
      <c r="D170" s="18">
        <v>1.54850365654207E-2</v>
      </c>
      <c r="E170" s="17">
        <v>176040.79696160799</v>
      </c>
      <c r="F170" s="18">
        <v>1.57891548667928E-2</v>
      </c>
      <c r="G170" s="17">
        <v>1243.2844315966499</v>
      </c>
      <c r="H170" s="18">
        <v>-3.9012816567643299E-2</v>
      </c>
      <c r="I170" s="17">
        <v>197.58321532219099</v>
      </c>
      <c r="J170" s="18">
        <v>-3.2617736182262297E-2</v>
      </c>
      <c r="K170" s="17">
        <v>35026.573406848504</v>
      </c>
      <c r="L170" s="18">
        <v>7.7364681659325599E-2</v>
      </c>
      <c r="M170" s="17">
        <v>12124.0053279843</v>
      </c>
      <c r="N170" s="18">
        <v>0.13666097508623001</v>
      </c>
      <c r="O170" s="17">
        <v>22934.9397387602</v>
      </c>
      <c r="P170" s="18">
        <v>4.4658922432990501E-2</v>
      </c>
      <c r="Q170" s="17">
        <v>3435.8084500095001</v>
      </c>
      <c r="R170" s="18">
        <v>0.116210660605458</v>
      </c>
      <c r="S170" s="17">
        <v>534.51508365450695</v>
      </c>
      <c r="T170" s="18">
        <v>-4.7566813945186602E-2</v>
      </c>
      <c r="U170" s="17">
        <v>8783.4094377497495</v>
      </c>
      <c r="V170" s="18">
        <v>-2.7926422952302401E-3</v>
      </c>
      <c r="W170" s="17">
        <v>25110.290993192499</v>
      </c>
      <c r="X170" s="18">
        <v>-2.18652077895134E-2</v>
      </c>
      <c r="Y170" s="17">
        <v>6036.3044103267703</v>
      </c>
      <c r="Z170" s="18">
        <v>1.9361800288090598E-2</v>
      </c>
      <c r="AA170" s="17">
        <v>6936.3187438002196</v>
      </c>
      <c r="AB170" s="18">
        <v>4.3940665485641399E-2</v>
      </c>
      <c r="AC170" s="17">
        <v>3954.9014687846502</v>
      </c>
      <c r="AD170" s="18">
        <v>6.0804116372987797E-3</v>
      </c>
      <c r="AE170" s="17">
        <v>8002.2354822380603</v>
      </c>
      <c r="AF170" s="18">
        <v>2.3264178541704299E-2</v>
      </c>
      <c r="AG170" s="17">
        <v>14302.311359147599</v>
      </c>
      <c r="AH170" s="18">
        <v>-3.4327302155141601E-3</v>
      </c>
      <c r="AI170" s="17">
        <v>6470.5165368158396</v>
      </c>
      <c r="AJ170" s="18">
        <v>-5.1878187781973005E-4</v>
      </c>
      <c r="AK170" s="17">
        <v>5135.7113007196904</v>
      </c>
      <c r="AL170" s="18">
        <v>-2.3376284331401201E-3</v>
      </c>
      <c r="AM170" s="17">
        <v>32194.041702123501</v>
      </c>
      <c r="AN170" s="18">
        <v>7.0463311271866703E-3</v>
      </c>
      <c r="AO170" s="17">
        <v>11786.899697429701</v>
      </c>
      <c r="AP170" s="18">
        <v>1.7781244929660399E-2</v>
      </c>
      <c r="AQ170" s="17">
        <v>7354.7143789137999</v>
      </c>
      <c r="AR170" s="18">
        <v>-6.8083888788894598E-3</v>
      </c>
      <c r="AS170" s="17">
        <v>13216.0375358698</v>
      </c>
      <c r="AT170" s="18">
        <v>2.7634266902169399E-2</v>
      </c>
      <c r="AU170" s="17">
        <v>1334.0003408509399</v>
      </c>
      <c r="AV170" s="18">
        <v>-0.29237887417466002</v>
      </c>
      <c r="AW170" s="17">
        <v>2362.0181677852102</v>
      </c>
      <c r="AX170" s="18">
        <v>-1.70562162529087E-4</v>
      </c>
      <c r="AY170" s="17">
        <v>625.52986199210204</v>
      </c>
      <c r="AZ170" s="18">
        <v>2.6973079620727699E-2</v>
      </c>
      <c r="BA170" s="17">
        <v>5044.2633996883796</v>
      </c>
      <c r="BB170" s="18">
        <v>4.7759964533349297E-3</v>
      </c>
      <c r="BC170" s="17">
        <v>9037.5230099834607</v>
      </c>
      <c r="BD170" s="18">
        <v>9.8062313517537393E-3</v>
      </c>
      <c r="BE170" s="17">
        <v>-3998.0836751977099</v>
      </c>
      <c r="BF170" s="18">
        <v>1.61774966311388E-2</v>
      </c>
      <c r="BG170" s="17"/>
      <c r="BH170" s="18"/>
    </row>
    <row r="171" spans="1:60" x14ac:dyDescent="0.2">
      <c r="A171" s="16">
        <v>2019</v>
      </c>
      <c r="B171" s="16">
        <v>4</v>
      </c>
      <c r="C171" s="17">
        <v>185983.37715501999</v>
      </c>
      <c r="D171" s="18">
        <v>1.3252107537367899E-2</v>
      </c>
      <c r="E171" s="17">
        <v>180779.64814051701</v>
      </c>
      <c r="F171" s="18">
        <v>1.35191144179565E-2</v>
      </c>
      <c r="G171" s="17">
        <v>1240.7492610914801</v>
      </c>
      <c r="H171" s="18">
        <v>-3.48865909062527E-2</v>
      </c>
      <c r="I171" s="17">
        <v>189.86541472293999</v>
      </c>
      <c r="J171" s="18">
        <v>-4.43982477526167E-2</v>
      </c>
      <c r="K171" s="17">
        <v>35418.018964330098</v>
      </c>
      <c r="L171" s="18">
        <v>1.3971356111214899E-2</v>
      </c>
      <c r="M171" s="17">
        <v>11817.865891247</v>
      </c>
      <c r="N171" s="18">
        <v>6.2303880255390798E-2</v>
      </c>
      <c r="O171" s="17">
        <v>23694.520057983598</v>
      </c>
      <c r="P171" s="18">
        <v>-1.17357416866444E-2</v>
      </c>
      <c r="Q171" s="17">
        <v>3106.5057726019299</v>
      </c>
      <c r="R171" s="18">
        <v>9.85627984924482E-2</v>
      </c>
      <c r="S171" s="17">
        <v>549.59931987216805</v>
      </c>
      <c r="T171" s="18">
        <v>-4.1622241892843699E-2</v>
      </c>
      <c r="U171" s="17">
        <v>8784.2112612716301</v>
      </c>
      <c r="V171" s="18">
        <v>1.4485435069596399E-2</v>
      </c>
      <c r="W171" s="17">
        <v>28365.509504280701</v>
      </c>
      <c r="X171" s="18">
        <v>-5.8794698603860098E-3</v>
      </c>
      <c r="Y171" s="17">
        <v>6791.5384513808804</v>
      </c>
      <c r="Z171" s="18">
        <v>8.7415955613865393E-3</v>
      </c>
      <c r="AA171" s="17">
        <v>7231.6680605123202</v>
      </c>
      <c r="AB171" s="18">
        <v>4.2846742227922598E-2</v>
      </c>
      <c r="AC171" s="17">
        <v>3440.2711963563402</v>
      </c>
      <c r="AD171" s="18">
        <v>4.6595368365515998E-2</v>
      </c>
      <c r="AE171" s="17">
        <v>8655.6151394922999</v>
      </c>
      <c r="AF171" s="18">
        <v>2.2434122144858099E-2</v>
      </c>
      <c r="AG171" s="17">
        <v>14870.6130131717</v>
      </c>
      <c r="AH171" s="18">
        <v>4.8004789410212897E-2</v>
      </c>
      <c r="AI171" s="17">
        <v>6928.0421846368699</v>
      </c>
      <c r="AJ171" s="18">
        <v>8.7217255889013606E-2</v>
      </c>
      <c r="AK171" s="17">
        <v>5192.1272387347899</v>
      </c>
      <c r="AL171" s="18">
        <v>9.6148951595329494E-3</v>
      </c>
      <c r="AM171" s="17">
        <v>32248.5662040235</v>
      </c>
      <c r="AN171" s="18">
        <v>7.2251732844683704E-3</v>
      </c>
      <c r="AO171" s="17">
        <v>11924.367802348601</v>
      </c>
      <c r="AP171" s="18">
        <v>2.1861499870691602E-2</v>
      </c>
      <c r="AQ171" s="17">
        <v>7435.2990917576899</v>
      </c>
      <c r="AR171" s="18">
        <v>-2.45115405699381E-4</v>
      </c>
      <c r="AS171" s="17">
        <v>13186.759047412899</v>
      </c>
      <c r="AT171" s="18">
        <v>1.2354668660924601E-2</v>
      </c>
      <c r="AU171" s="17">
        <v>1248.55916285075</v>
      </c>
      <c r="AV171" s="18">
        <v>-0.140466051091891</v>
      </c>
      <c r="AW171" s="17">
        <v>2336.1323383212298</v>
      </c>
      <c r="AX171" s="18">
        <v>-1.7421650125524699E-2</v>
      </c>
      <c r="AY171" s="17">
        <v>623.632530189063</v>
      </c>
      <c r="AZ171" s="18">
        <v>1.4430486450897499E-2</v>
      </c>
      <c r="BA171" s="17">
        <v>5208.66128910921</v>
      </c>
      <c r="BB171" s="18">
        <v>3.9075268871695502E-3</v>
      </c>
      <c r="BC171" s="17">
        <v>9255.6916659645594</v>
      </c>
      <c r="BD171" s="18">
        <v>1.0906611856111199E-2</v>
      </c>
      <c r="BE171" s="17">
        <v>-4051.9766078686998</v>
      </c>
      <c r="BF171" s="18">
        <v>2.0046943090684399E-2</v>
      </c>
      <c r="BG171" s="17"/>
      <c r="BH171" s="18"/>
    </row>
    <row r="172" spans="1:60" x14ac:dyDescent="0.2">
      <c r="A172" s="16">
        <v>2020</v>
      </c>
      <c r="B172" s="16">
        <v>1</v>
      </c>
      <c r="C172" s="17">
        <v>178060.847234513</v>
      </c>
      <c r="D172" s="18">
        <v>3.9149489274858998E-5</v>
      </c>
      <c r="E172" s="17">
        <v>173227.685479365</v>
      </c>
      <c r="F172" s="18">
        <v>8.77376485256542E-4</v>
      </c>
      <c r="G172" s="17">
        <v>1251.1952564272001</v>
      </c>
      <c r="H172" s="18">
        <v>-1.02915052929773E-2</v>
      </c>
      <c r="I172" s="17">
        <v>175.070778367267</v>
      </c>
      <c r="J172" s="18">
        <v>-3.093318026021E-2</v>
      </c>
      <c r="K172" s="17">
        <v>34261.399150500903</v>
      </c>
      <c r="L172" s="18">
        <v>-1.08145758425282E-3</v>
      </c>
      <c r="M172" s="17">
        <v>12519.264455561401</v>
      </c>
      <c r="N172" s="18">
        <v>9.3870083319023606E-2</v>
      </c>
      <c r="O172" s="17">
        <v>21751.904375283098</v>
      </c>
      <c r="P172" s="18">
        <v>-5.19923651339727E-2</v>
      </c>
      <c r="Q172" s="17">
        <v>2969.1763905447201</v>
      </c>
      <c r="R172" s="18">
        <v>1.78602269865267E-2</v>
      </c>
      <c r="S172" s="17">
        <v>558.49601664517002</v>
      </c>
      <c r="T172" s="18">
        <v>1.1970327718980199E-2</v>
      </c>
      <c r="U172" s="17">
        <v>8084.7706612625298</v>
      </c>
      <c r="V172" s="18">
        <v>-2.17737621050607E-3</v>
      </c>
      <c r="W172" s="17">
        <v>25272.230349074202</v>
      </c>
      <c r="X172" s="18">
        <v>1.53641161448075E-2</v>
      </c>
      <c r="Y172" s="17">
        <v>5757.8542175242801</v>
      </c>
      <c r="Z172" s="18">
        <v>-2.52640348193033E-2</v>
      </c>
      <c r="AA172" s="17">
        <v>6506.2318046455803</v>
      </c>
      <c r="AB172" s="18">
        <v>-6.9646823464630803E-2</v>
      </c>
      <c r="AC172" s="17">
        <v>2867.2176680835501</v>
      </c>
      <c r="AD172" s="18">
        <v>-0.17208481052462901</v>
      </c>
      <c r="AE172" s="17">
        <v>7977.0495035638996</v>
      </c>
      <c r="AF172" s="18">
        <v>1.6004067962166899E-2</v>
      </c>
      <c r="AG172" s="17">
        <v>15138.020368744301</v>
      </c>
      <c r="AH172" s="18">
        <v>7.1926083217067199E-2</v>
      </c>
      <c r="AI172" s="17">
        <v>7070.9031297935799</v>
      </c>
      <c r="AJ172" s="18">
        <v>0.10900953499406001</v>
      </c>
      <c r="AK172" s="17">
        <v>5278.4648659315499</v>
      </c>
      <c r="AL172" s="18">
        <v>3.2857368492804601E-2</v>
      </c>
      <c r="AM172" s="17">
        <v>32033.4069995055</v>
      </c>
      <c r="AN172" s="18">
        <v>-1.2605547804964701E-3</v>
      </c>
      <c r="AO172" s="17">
        <v>12037.6175449766</v>
      </c>
      <c r="AP172" s="18">
        <v>3.0303897716969602E-2</v>
      </c>
      <c r="AQ172" s="17">
        <v>7525.2704706566201</v>
      </c>
      <c r="AR172" s="18">
        <v>1.7495892932864601E-2</v>
      </c>
      <c r="AS172" s="17">
        <v>12922.311628842101</v>
      </c>
      <c r="AT172" s="18">
        <v>-2.4059787720523602E-2</v>
      </c>
      <c r="AU172" s="17">
        <v>1001.44860363753</v>
      </c>
      <c r="AV172" s="18">
        <v>-0.21582272996503099</v>
      </c>
      <c r="AW172" s="17">
        <v>2171.7538459008501</v>
      </c>
      <c r="AX172" s="18">
        <v>-9.9503602597786997E-2</v>
      </c>
      <c r="AY172" s="17">
        <v>578.14544141035901</v>
      </c>
      <c r="AZ172" s="18">
        <v>-6.9287185723732797E-2</v>
      </c>
      <c r="BA172" s="17">
        <v>4834.4432916380701</v>
      </c>
      <c r="BB172" s="18">
        <v>-2.97604347075314E-2</v>
      </c>
      <c r="BC172" s="17">
        <v>8938.2506158229808</v>
      </c>
      <c r="BD172" s="18">
        <v>2.56019215620196E-3</v>
      </c>
      <c r="BE172" s="17">
        <v>-4104.7655183911402</v>
      </c>
      <c r="BF172" s="18">
        <v>4.2492405124928002E-2</v>
      </c>
      <c r="BG172" s="17"/>
      <c r="BH172" s="18"/>
    </row>
    <row r="173" spans="1:60" x14ac:dyDescent="0.2">
      <c r="A173" s="16">
        <v>2020</v>
      </c>
      <c r="B173" s="16">
        <v>2</v>
      </c>
      <c r="C173" s="17">
        <v>168510.74941628301</v>
      </c>
      <c r="D173" s="18">
        <v>-6.9593937998586902E-2</v>
      </c>
      <c r="E173" s="17">
        <v>164073.94629208901</v>
      </c>
      <c r="F173" s="18">
        <v>-6.7936798625619702E-2</v>
      </c>
      <c r="G173" s="17">
        <v>1247.52301989177</v>
      </c>
      <c r="H173" s="18">
        <v>-3.2153585749937802E-3</v>
      </c>
      <c r="I173" s="17">
        <v>198.32206663314801</v>
      </c>
      <c r="J173" s="18">
        <v>-1.7753069810565899E-2</v>
      </c>
      <c r="K173" s="17">
        <v>31483.3053736035</v>
      </c>
      <c r="L173" s="18">
        <v>-0.107708299848522</v>
      </c>
      <c r="M173" s="17">
        <v>12578.0255579076</v>
      </c>
      <c r="N173" s="18">
        <v>7.2373370922166294E-2</v>
      </c>
      <c r="O173" s="17">
        <v>18840.487255394601</v>
      </c>
      <c r="P173" s="18">
        <v>-0.20351807541401701</v>
      </c>
      <c r="Q173" s="17">
        <v>2915.2742848306402</v>
      </c>
      <c r="R173" s="18">
        <v>-4.1790046145116402E-2</v>
      </c>
      <c r="S173" s="17">
        <v>581.10637361194495</v>
      </c>
      <c r="T173" s="18">
        <v>9.4695817211933597E-2</v>
      </c>
      <c r="U173" s="17">
        <v>7987.4449626511296</v>
      </c>
      <c r="V173" s="18">
        <v>-7.6940939263869704E-2</v>
      </c>
      <c r="W173" s="17">
        <v>25650.990124972301</v>
      </c>
      <c r="X173" s="18">
        <v>-1.35580329152497E-2</v>
      </c>
      <c r="Y173" s="17">
        <v>5921.8037320311296</v>
      </c>
      <c r="Z173" s="18">
        <v>-5.2240497548582801E-2</v>
      </c>
      <c r="AA173" s="17">
        <v>4828.3788748367997</v>
      </c>
      <c r="AB173" s="18">
        <v>-0.29493072489231797</v>
      </c>
      <c r="AC173" s="17">
        <v>934.34424204899403</v>
      </c>
      <c r="AD173" s="18">
        <v>-0.73705143866349698</v>
      </c>
      <c r="AE173" s="17">
        <v>7805.56832333487</v>
      </c>
      <c r="AF173" s="18">
        <v>8.2816952009974205E-3</v>
      </c>
      <c r="AG173" s="17">
        <v>14956.803517750999</v>
      </c>
      <c r="AH173" s="18">
        <v>4.5096211220675197E-2</v>
      </c>
      <c r="AI173" s="17">
        <v>6880.6433297570902</v>
      </c>
      <c r="AJ173" s="18">
        <v>5.4644567618395097E-2</v>
      </c>
      <c r="AK173" s="17">
        <v>5286.6332885474003</v>
      </c>
      <c r="AL173" s="18">
        <v>3.4870158702578598E-2</v>
      </c>
      <c r="AM173" s="17">
        <v>30504.434422138402</v>
      </c>
      <c r="AN173" s="18">
        <v>-4.8780016641226998E-2</v>
      </c>
      <c r="AO173" s="17">
        <v>12016.946125296499</v>
      </c>
      <c r="AP173" s="18">
        <v>2.7210761475652299E-2</v>
      </c>
      <c r="AQ173" s="17">
        <v>7334.1296591719802</v>
      </c>
      <c r="AR173" s="18">
        <v>-1.0467565592097799E-2</v>
      </c>
      <c r="AS173" s="17">
        <v>12502.1631592912</v>
      </c>
      <c r="AT173" s="18">
        <v>-5.7539318617314102E-2</v>
      </c>
      <c r="AU173" s="17">
        <v>628.20403795289201</v>
      </c>
      <c r="AV173" s="18">
        <v>-0.53288652501949596</v>
      </c>
      <c r="AW173" s="17">
        <v>1972.99463495545</v>
      </c>
      <c r="AX173" s="18">
        <v>-0.18869571035729199</v>
      </c>
      <c r="AY173" s="17">
        <v>417.933210475941</v>
      </c>
      <c r="AZ173" s="18">
        <v>-0.33086541571477901</v>
      </c>
      <c r="BA173" s="17">
        <v>4434.7945130982498</v>
      </c>
      <c r="BB173" s="18">
        <v>-0.12823413947502499</v>
      </c>
      <c r="BC173" s="17">
        <v>8536.3911924795302</v>
      </c>
      <c r="BD173" s="18">
        <v>-5.5510659645886203E-2</v>
      </c>
      <c r="BE173" s="17">
        <v>-4098.5828056759801</v>
      </c>
      <c r="BF173" s="18">
        <v>3.6096427009128199E-2</v>
      </c>
      <c r="BG173" s="17"/>
      <c r="BH173" s="18"/>
    </row>
    <row r="174" spans="1:60" x14ac:dyDescent="0.2">
      <c r="A174" s="16">
        <v>2020</v>
      </c>
      <c r="B174" s="16">
        <v>3</v>
      </c>
      <c r="C174" s="17">
        <v>178525.54487557901</v>
      </c>
      <c r="D174" s="18">
        <v>-1.41094877702339E-2</v>
      </c>
      <c r="E174" s="17">
        <v>173738.82964843101</v>
      </c>
      <c r="F174" s="18">
        <v>-1.30763286289786E-2</v>
      </c>
      <c r="G174" s="17">
        <v>1235.1590111604901</v>
      </c>
      <c r="H174" s="18">
        <v>-6.5354477460337597E-3</v>
      </c>
      <c r="I174" s="17">
        <v>195.36593713453701</v>
      </c>
      <c r="J174" s="18">
        <v>-1.1221996686501701E-2</v>
      </c>
      <c r="K174" s="17">
        <v>33461.438823798897</v>
      </c>
      <c r="L174" s="18">
        <v>-4.4684204899801301E-2</v>
      </c>
      <c r="M174" s="17">
        <v>12165.696923846401</v>
      </c>
      <c r="N174" s="18">
        <v>3.4387642313133998E-3</v>
      </c>
      <c r="O174" s="17">
        <v>21309.491585369899</v>
      </c>
      <c r="P174" s="18">
        <v>-7.0872135349161994E-2</v>
      </c>
      <c r="Q174" s="17">
        <v>2914.9397450680499</v>
      </c>
      <c r="R174" s="18">
        <v>-0.15160004188825099</v>
      </c>
      <c r="S174" s="17">
        <v>593.94760075018701</v>
      </c>
      <c r="T174" s="18">
        <v>0.11118959766174701</v>
      </c>
      <c r="U174" s="17">
        <v>8768.7767102971793</v>
      </c>
      <c r="V174" s="18">
        <v>-1.6659507400032E-3</v>
      </c>
      <c r="W174" s="17">
        <v>26187.777915832699</v>
      </c>
      <c r="X174" s="18">
        <v>4.29101726830763E-2</v>
      </c>
      <c r="Y174" s="17">
        <v>6034.5699414862602</v>
      </c>
      <c r="Z174" s="18">
        <v>-2.8733952475024099E-4</v>
      </c>
      <c r="AA174" s="17">
        <v>5848.6622698789697</v>
      </c>
      <c r="AB174" s="18">
        <v>-0.156806011098238</v>
      </c>
      <c r="AC174" s="17">
        <v>2865.01990788903</v>
      </c>
      <c r="AD174" s="18">
        <v>-0.27557742449410499</v>
      </c>
      <c r="AE174" s="17">
        <v>8030.0375140372498</v>
      </c>
      <c r="AF174" s="18">
        <v>3.4742831376182201E-3</v>
      </c>
      <c r="AG174" s="17">
        <v>15035.904756846599</v>
      </c>
      <c r="AH174" s="18">
        <v>5.1291947104044298E-2</v>
      </c>
      <c r="AI174" s="17">
        <v>6942.9762550651903</v>
      </c>
      <c r="AJ174" s="18">
        <v>7.3017310992275597E-2</v>
      </c>
      <c r="AK174" s="17">
        <v>5216.0733046350697</v>
      </c>
      <c r="AL174" s="18">
        <v>1.5647687186800499E-2</v>
      </c>
      <c r="AM174" s="17">
        <v>32242.123933436102</v>
      </c>
      <c r="AN174" s="18">
        <v>1.4935133574574E-3</v>
      </c>
      <c r="AO174" s="17">
        <v>12031.0716642352</v>
      </c>
      <c r="AP174" s="18">
        <v>2.07155378490806E-2</v>
      </c>
      <c r="AQ174" s="17">
        <v>7393.6028637292202</v>
      </c>
      <c r="AR174" s="18">
        <v>5.2875588108376396E-3</v>
      </c>
      <c r="AS174" s="17">
        <v>13235.3919663078</v>
      </c>
      <c r="AT174" s="18">
        <v>1.46446545611689E-3</v>
      </c>
      <c r="AU174" s="17">
        <v>976.10246772486403</v>
      </c>
      <c r="AV174" s="18">
        <v>-0.26828919166375598</v>
      </c>
      <c r="AW174" s="17">
        <v>2238.59219828808</v>
      </c>
      <c r="AX174" s="18">
        <v>-5.2254453915936097E-2</v>
      </c>
      <c r="AY174" s="17">
        <v>558.94280808117298</v>
      </c>
      <c r="AZ174" s="18">
        <v>-0.106449040976032</v>
      </c>
      <c r="BA174" s="17">
        <v>4786.6127645175202</v>
      </c>
      <c r="BB174" s="18">
        <v>-5.10779502883962E-2</v>
      </c>
      <c r="BC174" s="17">
        <v>8924.5243178161709</v>
      </c>
      <c r="BD174" s="18">
        <v>-1.2503281268824201E-2</v>
      </c>
      <c r="BE174" s="17">
        <v>-4137.9973990306898</v>
      </c>
      <c r="BF174" s="18">
        <v>3.4995196498997398E-2</v>
      </c>
      <c r="BG174" s="17"/>
      <c r="BH174" s="18"/>
    </row>
    <row r="175" spans="1:60" x14ac:dyDescent="0.2">
      <c r="A175" s="16">
        <v>2020</v>
      </c>
      <c r="B175" s="16">
        <v>4</v>
      </c>
      <c r="C175" s="17">
        <v>184757.456373539</v>
      </c>
      <c r="D175" s="18">
        <v>-6.5915610321362096E-3</v>
      </c>
      <c r="E175" s="17">
        <v>179763.82005473899</v>
      </c>
      <c r="F175" s="18">
        <v>-5.6191506965922499E-3</v>
      </c>
      <c r="G175" s="17">
        <v>1210.6479993943101</v>
      </c>
      <c r="H175" s="18">
        <v>-2.42605517819868E-2</v>
      </c>
      <c r="I175" s="17">
        <v>186.921534505203</v>
      </c>
      <c r="J175" s="18">
        <v>-1.5505089339377101E-2</v>
      </c>
      <c r="K175" s="17">
        <v>35997.134890061199</v>
      </c>
      <c r="L175" s="18">
        <v>1.63508841732312E-2</v>
      </c>
      <c r="M175" s="17">
        <v>12702.110641457501</v>
      </c>
      <c r="N175" s="18">
        <v>7.4822709814760899E-2</v>
      </c>
      <c r="O175" s="17">
        <v>23336.2974431439</v>
      </c>
      <c r="P175" s="18">
        <v>-1.51183739515729E-2</v>
      </c>
      <c r="Q175" s="17">
        <v>2659.3955334111902</v>
      </c>
      <c r="R175" s="18">
        <v>-0.14392705886274701</v>
      </c>
      <c r="S175" s="17">
        <v>578.17994022161702</v>
      </c>
      <c r="T175" s="18">
        <v>5.2002648686132198E-2</v>
      </c>
      <c r="U175" s="17">
        <v>8729.6529454746797</v>
      </c>
      <c r="V175" s="18">
        <v>-6.2109521474619199E-3</v>
      </c>
      <c r="W175" s="17">
        <v>28576.239182496702</v>
      </c>
      <c r="X175" s="18">
        <v>7.4290813702528897E-3</v>
      </c>
      <c r="Y175" s="17">
        <v>6918.7717980351299</v>
      </c>
      <c r="Z175" s="18">
        <v>1.8734097961027801E-2</v>
      </c>
      <c r="AA175" s="17">
        <v>6125.0767902048601</v>
      </c>
      <c r="AB175" s="18">
        <v>-0.15302019686853099</v>
      </c>
      <c r="AC175" s="17">
        <v>1801.33361853982</v>
      </c>
      <c r="AD175" s="18">
        <v>-0.47639778502123598</v>
      </c>
      <c r="AE175" s="17">
        <v>9170.7535972674796</v>
      </c>
      <c r="AF175" s="18">
        <v>5.9514944862185198E-2</v>
      </c>
      <c r="AG175" s="17">
        <v>15401.1094066968</v>
      </c>
      <c r="AH175" s="18">
        <v>3.5674144237042502E-2</v>
      </c>
      <c r="AI175" s="17">
        <v>7406.5694636656399</v>
      </c>
      <c r="AJ175" s="18">
        <v>6.9071068893015397E-2</v>
      </c>
      <c r="AK175" s="17">
        <v>5064.1417250156801</v>
      </c>
      <c r="AL175" s="18">
        <v>-2.4649918585257901E-2</v>
      </c>
      <c r="AM175" s="17">
        <v>32498.398086907899</v>
      </c>
      <c r="AN175" s="18">
        <v>7.7470694760124496E-3</v>
      </c>
      <c r="AO175" s="17">
        <v>12132.158498519901</v>
      </c>
      <c r="AP175" s="18">
        <v>1.7425720140097099E-2</v>
      </c>
      <c r="AQ175" s="17">
        <v>7465.5599665925702</v>
      </c>
      <c r="AR175" s="18">
        <v>4.0698934180640701E-3</v>
      </c>
      <c r="AS175" s="17">
        <v>13428.064606738</v>
      </c>
      <c r="AT175" s="18">
        <v>1.8299080043663801E-2</v>
      </c>
      <c r="AU175" s="17">
        <v>919.14733965665698</v>
      </c>
      <c r="AV175" s="18">
        <v>-0.26383357152413101</v>
      </c>
      <c r="AW175" s="17">
        <v>2259.8155411522498</v>
      </c>
      <c r="AX175" s="18">
        <v>-3.2668011104122298E-2</v>
      </c>
      <c r="AY175" s="17">
        <v>555.15500604977797</v>
      </c>
      <c r="AZ175" s="18">
        <v>-0.109804285094822</v>
      </c>
      <c r="BA175" s="17">
        <v>4994.4658560361504</v>
      </c>
      <c r="BB175" s="18">
        <v>-4.1122933741326702E-2</v>
      </c>
      <c r="BC175" s="17">
        <v>9149.2708261513308</v>
      </c>
      <c r="BD175" s="18">
        <v>-1.1497880834185801E-2</v>
      </c>
      <c r="BE175" s="17">
        <v>-4156.7748038822001</v>
      </c>
      <c r="BF175" s="18">
        <v>2.5863475077813902E-2</v>
      </c>
      <c r="BG175" s="17"/>
      <c r="BH175" s="18"/>
    </row>
    <row r="176" spans="1:60" x14ac:dyDescent="0.2">
      <c r="A176" s="16">
        <v>2021</v>
      </c>
      <c r="B176" s="16">
        <v>1</v>
      </c>
      <c r="C176" s="17">
        <v>179876.883582143</v>
      </c>
      <c r="D176" s="18">
        <v>1.01989649933445E-2</v>
      </c>
      <c r="E176" s="17">
        <v>175176.771927222</v>
      </c>
      <c r="F176" s="18">
        <v>1.1251587426474899E-2</v>
      </c>
      <c r="G176" s="17">
        <v>1152.3424548331</v>
      </c>
      <c r="H176" s="18">
        <v>-7.9006694667604002E-2</v>
      </c>
      <c r="I176" s="17">
        <v>171.02288417968199</v>
      </c>
      <c r="J176" s="18">
        <v>-2.3121472500075499E-2</v>
      </c>
      <c r="K176" s="17">
        <v>38116.429997105501</v>
      </c>
      <c r="L176" s="18">
        <v>0.112518196634951</v>
      </c>
      <c r="M176" s="17">
        <v>14737.6899805476</v>
      </c>
      <c r="N176" s="18">
        <v>0.17720094761643099</v>
      </c>
      <c r="O176" s="17">
        <v>23378.740016557898</v>
      </c>
      <c r="P176" s="18">
        <v>7.4790492510777601E-2</v>
      </c>
      <c r="Q176" s="17">
        <v>2444.8385280518901</v>
      </c>
      <c r="R176" s="18">
        <v>-0.17659370597266599</v>
      </c>
      <c r="S176" s="17">
        <v>548.87065846178905</v>
      </c>
      <c r="T176" s="18">
        <v>-1.7234425844610098E-2</v>
      </c>
      <c r="U176" s="17">
        <v>8133.2454171469099</v>
      </c>
      <c r="V176" s="18">
        <v>5.9958108789219802E-3</v>
      </c>
      <c r="W176" s="17">
        <v>24017.451744472899</v>
      </c>
      <c r="X176" s="18">
        <v>-4.9650489381806898E-2</v>
      </c>
      <c r="Y176" s="17">
        <v>5922.1961131338203</v>
      </c>
      <c r="Z176" s="18">
        <v>2.8542211977052E-2</v>
      </c>
      <c r="AA176" s="17">
        <v>5777.2410835236597</v>
      </c>
      <c r="AB176" s="18">
        <v>-0.112044996706297</v>
      </c>
      <c r="AC176" s="17">
        <v>986.57800662753698</v>
      </c>
      <c r="AD176" s="18">
        <v>-0.655911018682106</v>
      </c>
      <c r="AE176" s="17">
        <v>8491.9207068634405</v>
      </c>
      <c r="AF176" s="18">
        <v>6.4544065204749299E-2</v>
      </c>
      <c r="AG176" s="17">
        <v>15651.6507863929</v>
      </c>
      <c r="AH176" s="18">
        <v>3.39298273576829E-2</v>
      </c>
      <c r="AI176" s="17">
        <v>7796.8884968020002</v>
      </c>
      <c r="AJ176" s="18">
        <v>0.10267222640195101</v>
      </c>
      <c r="AK176" s="17">
        <v>4826.0414065063396</v>
      </c>
      <c r="AL176" s="18">
        <v>-8.5711181359804406E-2</v>
      </c>
      <c r="AM176" s="17">
        <v>32756.592634672001</v>
      </c>
      <c r="AN176" s="18">
        <v>2.25759824790914E-2</v>
      </c>
      <c r="AO176" s="17">
        <v>12174.5290340499</v>
      </c>
      <c r="AP176" s="18">
        <v>1.13736367318344E-2</v>
      </c>
      <c r="AQ176" s="17">
        <v>7470.2908475028698</v>
      </c>
      <c r="AR176" s="18">
        <v>-7.3059996139844801E-3</v>
      </c>
      <c r="AS176" s="17">
        <v>13505.456286457</v>
      </c>
      <c r="AT176" s="18">
        <v>4.5126961364508403E-2</v>
      </c>
      <c r="AU176" s="17">
        <v>1016.56372808035</v>
      </c>
      <c r="AV176" s="18">
        <v>1.50932602910629E-2</v>
      </c>
      <c r="AW176" s="17">
        <v>2250.9355956660102</v>
      </c>
      <c r="AX176" s="18">
        <v>3.64598179092048E-2</v>
      </c>
      <c r="AY176" s="17">
        <v>510.81153313499402</v>
      </c>
      <c r="AZ176" s="18">
        <v>-0.116465344967707</v>
      </c>
      <c r="BA176" s="17">
        <v>4700.11165492084</v>
      </c>
      <c r="BB176" s="18">
        <v>-2.7786371380047699E-2</v>
      </c>
      <c r="BC176" s="17">
        <v>8876.0744796778599</v>
      </c>
      <c r="BD176" s="18">
        <v>-6.9561862625614496E-3</v>
      </c>
      <c r="BE176" s="17">
        <v>-4175.9628247570199</v>
      </c>
      <c r="BF176" s="18">
        <v>1.7345036165131701E-2</v>
      </c>
      <c r="BG176" s="17"/>
      <c r="BH176" s="18"/>
    </row>
    <row r="177" spans="1:60" x14ac:dyDescent="0.2">
      <c r="A177" s="16">
        <v>2021</v>
      </c>
      <c r="B177" s="16">
        <v>2</v>
      </c>
      <c r="C177" s="17">
        <v>187227.87261297301</v>
      </c>
      <c r="D177" s="18">
        <v>0.111073763908387</v>
      </c>
      <c r="E177" s="17">
        <v>182243.82019382701</v>
      </c>
      <c r="F177" s="18">
        <v>0.11074198135876299</v>
      </c>
      <c r="G177" s="17">
        <v>1141.6234525090199</v>
      </c>
      <c r="H177" s="18">
        <v>-8.4887866351301799E-2</v>
      </c>
      <c r="I177" s="17">
        <v>195.80011202900499</v>
      </c>
      <c r="J177" s="18">
        <v>-1.27164598824391E-2</v>
      </c>
      <c r="K177" s="17">
        <v>40753.266342451003</v>
      </c>
      <c r="L177" s="18">
        <v>0.294440525187668</v>
      </c>
      <c r="M177" s="17">
        <v>16131.3868992056</v>
      </c>
      <c r="N177" s="18">
        <v>0.28250549539264302</v>
      </c>
      <c r="O177" s="17">
        <v>24621.879443245401</v>
      </c>
      <c r="P177" s="18">
        <v>0.30686001425973902</v>
      </c>
      <c r="Q177" s="17">
        <v>2352.79125584337</v>
      </c>
      <c r="R177" s="18">
        <v>-0.19294343311505899</v>
      </c>
      <c r="S177" s="17">
        <v>542.22511686010398</v>
      </c>
      <c r="T177" s="18">
        <v>-6.6909017896619002E-2</v>
      </c>
      <c r="U177" s="17">
        <v>8713.4602912520204</v>
      </c>
      <c r="V177" s="18">
        <v>9.0894564156085197E-2</v>
      </c>
      <c r="W177" s="17">
        <v>25046.456335285398</v>
      </c>
      <c r="X177" s="18">
        <v>-2.3567659054936602E-2</v>
      </c>
      <c r="Y177" s="17">
        <v>6519.1672058157401</v>
      </c>
      <c r="Z177" s="18">
        <v>0.10087525706964399</v>
      </c>
      <c r="AA177" s="17">
        <v>5918.9198992278298</v>
      </c>
      <c r="AB177" s="18">
        <v>0.22586069831313599</v>
      </c>
      <c r="AC177" s="17">
        <v>1681.3924459075399</v>
      </c>
      <c r="AD177" s="18">
        <v>0.79954279187324795</v>
      </c>
      <c r="AE177" s="17">
        <v>8319.2870479169305</v>
      </c>
      <c r="AF177" s="18">
        <v>6.5814390868412301E-2</v>
      </c>
      <c r="AG177" s="17">
        <v>16081.851237000001</v>
      </c>
      <c r="AH177" s="18">
        <v>7.5219796657339799E-2</v>
      </c>
      <c r="AI177" s="17">
        <v>8158.5192532405599</v>
      </c>
      <c r="AJ177" s="18">
        <v>0.18572041337428</v>
      </c>
      <c r="AK177" s="17">
        <v>4734.4210275324904</v>
      </c>
      <c r="AL177" s="18">
        <v>-0.104454428910586</v>
      </c>
      <c r="AM177" s="17">
        <v>33588.591455326503</v>
      </c>
      <c r="AN177" s="18">
        <v>0.10110520295205901</v>
      </c>
      <c r="AO177" s="17">
        <v>12119.573025453101</v>
      </c>
      <c r="AP177" s="18">
        <v>8.5401814310008799E-3</v>
      </c>
      <c r="AQ177" s="17">
        <v>7443.4346587465798</v>
      </c>
      <c r="AR177" s="18">
        <v>1.4903608833517301E-2</v>
      </c>
      <c r="AS177" s="17">
        <v>13834.0321382701</v>
      </c>
      <c r="AT177" s="18">
        <v>0.106531082822183</v>
      </c>
      <c r="AU177" s="17">
        <v>1575.45716266979</v>
      </c>
      <c r="AV177" s="18">
        <v>1.5078749379002401</v>
      </c>
      <c r="AW177" s="17">
        <v>2378.4878876947701</v>
      </c>
      <c r="AX177" s="18">
        <v>0.20552172091866</v>
      </c>
      <c r="AY177" s="17">
        <v>557.17032938359205</v>
      </c>
      <c r="AZ177" s="18">
        <v>0.333156388192001</v>
      </c>
      <c r="BA177" s="17">
        <v>4984.05241914626</v>
      </c>
      <c r="BB177" s="18">
        <v>0.123851940473403</v>
      </c>
      <c r="BC177" s="17">
        <v>9129.0433234015909</v>
      </c>
      <c r="BD177" s="18">
        <v>6.9426543085815598E-2</v>
      </c>
      <c r="BE177" s="17">
        <v>-4144.9909042553199</v>
      </c>
      <c r="BF177" s="18">
        <v>1.13229622968882E-2</v>
      </c>
      <c r="BG177" s="17"/>
      <c r="BH177" s="18"/>
    </row>
    <row r="178" spans="1:60" x14ac:dyDescent="0.2">
      <c r="A178" s="16">
        <v>2021</v>
      </c>
      <c r="B178" s="16">
        <v>3</v>
      </c>
      <c r="C178" s="17">
        <v>190469.988696416</v>
      </c>
      <c r="D178" s="18">
        <v>6.6906076825932206E-2</v>
      </c>
      <c r="E178" s="17">
        <v>185395.79059290199</v>
      </c>
      <c r="F178" s="18">
        <v>6.7094736208704694E-2</v>
      </c>
      <c r="G178" s="17">
        <v>1155.74029086768</v>
      </c>
      <c r="H178" s="18">
        <v>-6.4298377435788603E-2</v>
      </c>
      <c r="I178" s="17">
        <v>189.81699825262001</v>
      </c>
      <c r="J178" s="18">
        <v>-2.8402796123540502E-2</v>
      </c>
      <c r="K178" s="17">
        <v>41586.850469721001</v>
      </c>
      <c r="L178" s="18">
        <v>0.24282911708336499</v>
      </c>
      <c r="M178" s="17">
        <v>16985.482766417801</v>
      </c>
      <c r="N178" s="18">
        <v>0.39617835893346498</v>
      </c>
      <c r="O178" s="17">
        <v>24601.3677033032</v>
      </c>
      <c r="P178" s="18">
        <v>0.15447933634387501</v>
      </c>
      <c r="Q178" s="17">
        <v>2558.0316166904199</v>
      </c>
      <c r="R178" s="18">
        <v>-0.122440996930213</v>
      </c>
      <c r="S178" s="17">
        <v>542.204063046702</v>
      </c>
      <c r="T178" s="18">
        <v>-8.7118017882603996E-2</v>
      </c>
      <c r="U178" s="17">
        <v>8896.7564269734303</v>
      </c>
      <c r="V178" s="18">
        <v>1.45949339234475E-2</v>
      </c>
      <c r="W178" s="17">
        <v>22826.901113877</v>
      </c>
      <c r="X178" s="18">
        <v>-0.12833760897001301</v>
      </c>
      <c r="Y178" s="17">
        <v>6136.7231591718701</v>
      </c>
      <c r="Z178" s="18">
        <v>1.6928002935774601E-2</v>
      </c>
      <c r="AA178" s="17">
        <v>6519.2243351869702</v>
      </c>
      <c r="AB178" s="18">
        <v>0.11465221179917499</v>
      </c>
      <c r="AC178" s="17">
        <v>3022.6212222303802</v>
      </c>
      <c r="AD178" s="18">
        <v>5.5008802524334002E-2</v>
      </c>
      <c r="AE178" s="17">
        <v>8535.7938115663692</v>
      </c>
      <c r="AF178" s="18">
        <v>6.2983055389842293E-2</v>
      </c>
      <c r="AG178" s="17">
        <v>16326.488040198001</v>
      </c>
      <c r="AH178" s="18">
        <v>8.5833430327081406E-2</v>
      </c>
      <c r="AI178" s="17">
        <v>8193.7564042948397</v>
      </c>
      <c r="AJ178" s="18">
        <v>0.18015042876131901</v>
      </c>
      <c r="AK178" s="17">
        <v>4786.0799178694897</v>
      </c>
      <c r="AL178" s="18">
        <v>-8.2436223889623197E-2</v>
      </c>
      <c r="AM178" s="17">
        <v>34448.4891857326</v>
      </c>
      <c r="AN178" s="18">
        <v>6.8431138620131698E-2</v>
      </c>
      <c r="AO178" s="17">
        <v>12180.1961753961</v>
      </c>
      <c r="AP178" s="18">
        <v>1.2394948290785499E-2</v>
      </c>
      <c r="AQ178" s="17">
        <v>7419.2588858080599</v>
      </c>
      <c r="AR178" s="18">
        <v>3.4700297746175202E-3</v>
      </c>
      <c r="AS178" s="17">
        <v>14036.974026321799</v>
      </c>
      <c r="AT178" s="18">
        <v>6.0563530120944002E-2</v>
      </c>
      <c r="AU178" s="17">
        <v>2083.7412866423601</v>
      </c>
      <c r="AV178" s="18">
        <v>1.13475670387272</v>
      </c>
      <c r="AW178" s="17">
        <v>2476.4516993430798</v>
      </c>
      <c r="AX178" s="18">
        <v>0.10625405611477599</v>
      </c>
      <c r="AY178" s="17">
        <v>590.25094504710705</v>
      </c>
      <c r="AZ178" s="18">
        <v>5.6013131421108801E-2</v>
      </c>
      <c r="BA178" s="17">
        <v>5074.1981035138897</v>
      </c>
      <c r="BB178" s="18">
        <v>6.00811791436726E-2</v>
      </c>
      <c r="BC178" s="17">
        <v>9237.0052188367608</v>
      </c>
      <c r="BD178" s="18">
        <v>3.5013731812773702E-2</v>
      </c>
      <c r="BE178" s="17">
        <v>-4162.8071153228702</v>
      </c>
      <c r="BF178" s="18">
        <v>5.9955852794855201E-3</v>
      </c>
      <c r="BG178" s="17"/>
      <c r="BH178" s="18"/>
    </row>
    <row r="179" spans="1:60" x14ac:dyDescent="0.2">
      <c r="A179" s="16">
        <v>2021</v>
      </c>
      <c r="B179" s="16">
        <v>4</v>
      </c>
      <c r="C179" s="17">
        <v>196122.09418057601</v>
      </c>
      <c r="D179" s="18">
        <v>6.15111185773181E-2</v>
      </c>
      <c r="E179" s="17">
        <v>190818.93075073499</v>
      </c>
      <c r="F179" s="18">
        <v>6.1497973800459502E-2</v>
      </c>
      <c r="G179" s="17">
        <v>1188.74378986171</v>
      </c>
      <c r="H179" s="18">
        <v>-1.80929630607446E-2</v>
      </c>
      <c r="I179" s="17">
        <v>176.59287323158401</v>
      </c>
      <c r="J179" s="18">
        <v>-5.5256668531852002E-2</v>
      </c>
      <c r="K179" s="17">
        <v>44060.7082642518</v>
      </c>
      <c r="L179" s="18">
        <v>0.22400597710949999</v>
      </c>
      <c r="M179" s="17">
        <v>17770.012915109401</v>
      </c>
      <c r="N179" s="18">
        <v>0.39898111555658999</v>
      </c>
      <c r="O179" s="17">
        <v>26290.695349142399</v>
      </c>
      <c r="P179" s="18">
        <v>0.12660097057798</v>
      </c>
      <c r="Q179" s="17">
        <v>2222.0466046382098</v>
      </c>
      <c r="R179" s="18">
        <v>-0.164454261608839</v>
      </c>
      <c r="S179" s="17">
        <v>557.45562712339404</v>
      </c>
      <c r="T179" s="18">
        <v>-3.58440541715783E-2</v>
      </c>
      <c r="U179" s="17">
        <v>8713.12246352888</v>
      </c>
      <c r="V179" s="18">
        <v>-1.89360127476379E-3</v>
      </c>
      <c r="W179" s="17">
        <v>25070.1862356764</v>
      </c>
      <c r="X179" s="18">
        <v>-0.122691195451912</v>
      </c>
      <c r="Y179" s="17">
        <v>7159.0376651750803</v>
      </c>
      <c r="Z179" s="18">
        <v>3.4726664522766397E-2</v>
      </c>
      <c r="AA179" s="17">
        <v>6884.5473324410796</v>
      </c>
      <c r="AB179" s="18">
        <v>0.123993636039104</v>
      </c>
      <c r="AC179" s="17">
        <v>2589.0165531978</v>
      </c>
      <c r="AD179" s="18">
        <v>0.437277651708119</v>
      </c>
      <c r="AE179" s="17">
        <v>9437.8351066513806</v>
      </c>
      <c r="AF179" s="18">
        <v>2.91231801782879E-2</v>
      </c>
      <c r="AG179" s="17">
        <v>16499.969081076801</v>
      </c>
      <c r="AH179" s="18">
        <v>7.1349384343842595E-2</v>
      </c>
      <c r="AI179" s="17">
        <v>8087.9836083240698</v>
      </c>
      <c r="AJ179" s="18">
        <v>9.2001316939135394E-2</v>
      </c>
      <c r="AK179" s="17">
        <v>4981.6100938332902</v>
      </c>
      <c r="AL179" s="18">
        <v>-1.6297259370665299E-2</v>
      </c>
      <c r="AM179" s="17">
        <v>34732.770766036898</v>
      </c>
      <c r="AN179" s="18">
        <v>6.8753317414410806E-2</v>
      </c>
      <c r="AO179" s="17">
        <v>12286.582504570701</v>
      </c>
      <c r="AP179" s="18">
        <v>1.27284857076011E-2</v>
      </c>
      <c r="AQ179" s="17">
        <v>7475.5637712756297</v>
      </c>
      <c r="AR179" s="18">
        <v>1.33999388228334E-3</v>
      </c>
      <c r="AS179" s="17">
        <v>14206.673314473701</v>
      </c>
      <c r="AT179" s="18">
        <v>5.7983687935567303E-2</v>
      </c>
      <c r="AU179" s="17">
        <v>1615.21438900626</v>
      </c>
      <c r="AV179" s="18">
        <v>0.75729648481560596</v>
      </c>
      <c r="AW179" s="17">
        <v>2509.8282815062598</v>
      </c>
      <c r="AX179" s="18">
        <v>0.11063413619437699</v>
      </c>
      <c r="AY179" s="17">
        <v>592.07379218677602</v>
      </c>
      <c r="AZ179" s="18">
        <v>6.65017620928883E-2</v>
      </c>
      <c r="BA179" s="17">
        <v>5303.1634298404997</v>
      </c>
      <c r="BB179" s="18">
        <v>6.1807925552490997E-2</v>
      </c>
      <c r="BC179" s="17">
        <v>9516.9853660495992</v>
      </c>
      <c r="BD179" s="18">
        <v>4.0190584242760299E-2</v>
      </c>
      <c r="BE179" s="17">
        <v>-4213.8219362091004</v>
      </c>
      <c r="BF179" s="18">
        <v>1.3723892926222E-2</v>
      </c>
      <c r="BG179" s="17"/>
      <c r="BH179" s="18"/>
    </row>
    <row r="180" spans="1:60" x14ac:dyDescent="0.2">
      <c r="A180" s="16">
        <v>2022</v>
      </c>
      <c r="B180" s="16">
        <v>1</v>
      </c>
      <c r="C180" s="17">
        <v>191241.776406894</v>
      </c>
      <c r="D180" s="18">
        <v>6.3181508365196801E-2</v>
      </c>
      <c r="E180" s="17">
        <v>186166.67246299001</v>
      </c>
      <c r="F180" s="18">
        <v>6.2736060351272299E-2</v>
      </c>
      <c r="G180" s="17">
        <v>1247.73239755589</v>
      </c>
      <c r="H180" s="18">
        <v>8.2779161978029106E-2</v>
      </c>
      <c r="I180" s="17">
        <v>159.06217347145801</v>
      </c>
      <c r="J180" s="18">
        <v>-6.9936317385789995E-2</v>
      </c>
      <c r="K180" s="17">
        <v>43628.497828107596</v>
      </c>
      <c r="L180" s="18">
        <v>0.14461133509672</v>
      </c>
      <c r="M180" s="17">
        <v>17908.104903584499</v>
      </c>
      <c r="N180" s="18">
        <v>0.21512292138195299</v>
      </c>
      <c r="O180" s="17">
        <v>25732.461319802402</v>
      </c>
      <c r="P180" s="18">
        <v>0.10067785096961999</v>
      </c>
      <c r="Q180" s="17">
        <v>2570.2851763666599</v>
      </c>
      <c r="R180" s="18">
        <v>5.1310811276657202E-2</v>
      </c>
      <c r="S180" s="17">
        <v>560.21289308942698</v>
      </c>
      <c r="T180" s="18">
        <v>2.06646765549909E-2</v>
      </c>
      <c r="U180" s="17">
        <v>8048.6963776248804</v>
      </c>
      <c r="V180" s="18">
        <v>-1.0395486080351899E-2</v>
      </c>
      <c r="W180" s="17">
        <v>21600.1501874936</v>
      </c>
      <c r="X180" s="18">
        <v>-0.1006477116181</v>
      </c>
      <c r="Y180" s="17">
        <v>6114.1195024619601</v>
      </c>
      <c r="Z180" s="18">
        <v>3.2407469401848799E-2</v>
      </c>
      <c r="AA180" s="17">
        <v>6851.9755416710896</v>
      </c>
      <c r="AB180" s="18">
        <v>0.18602901326249</v>
      </c>
      <c r="AC180" s="17">
        <v>2865.4244518667401</v>
      </c>
      <c r="AD180" s="18">
        <v>1.9044073885872901</v>
      </c>
      <c r="AE180" s="17">
        <v>8845.0358519117399</v>
      </c>
      <c r="AF180" s="18">
        <v>4.1582482601715702E-2</v>
      </c>
      <c r="AG180" s="17">
        <v>16801.511405278601</v>
      </c>
      <c r="AH180" s="18">
        <v>7.3465772689316006E-2</v>
      </c>
      <c r="AI180" s="17">
        <v>7977.64574591153</v>
      </c>
      <c r="AJ180" s="18">
        <v>2.3183254343533102E-2</v>
      </c>
      <c r="AK180" s="17">
        <v>5325.4119293005697</v>
      </c>
      <c r="AL180" s="18">
        <v>0.103474148008964</v>
      </c>
      <c r="AM180" s="17">
        <v>34641.385647370502</v>
      </c>
      <c r="AN180" s="18">
        <v>5.75393489096774E-2</v>
      </c>
      <c r="AO180" s="17">
        <v>12336.2999963027</v>
      </c>
      <c r="AP180" s="18">
        <v>1.32876566970557E-2</v>
      </c>
      <c r="AQ180" s="17">
        <v>7528.1762272932301</v>
      </c>
      <c r="AR180" s="18">
        <v>7.7487451254598704E-3</v>
      </c>
      <c r="AS180" s="17">
        <v>14370.755551172801</v>
      </c>
      <c r="AT180" s="18">
        <v>6.4070346559377003E-2</v>
      </c>
      <c r="AU180" s="17">
        <v>1710.73228891238</v>
      </c>
      <c r="AV180" s="18">
        <v>0.68285788845022599</v>
      </c>
      <c r="AW180" s="17">
        <v>2521.0825484550001</v>
      </c>
      <c r="AX180" s="18">
        <v>0.120015407508387</v>
      </c>
      <c r="AY180" s="17">
        <v>589.72659022865002</v>
      </c>
      <c r="AZ180" s="18">
        <v>0.154489575850672</v>
      </c>
      <c r="BA180" s="17">
        <v>5075.6014538947502</v>
      </c>
      <c r="BB180" s="18">
        <v>7.9889548704825702E-2</v>
      </c>
      <c r="BC180" s="17">
        <v>9350.2944603460292</v>
      </c>
      <c r="BD180" s="18">
        <v>5.3426768979228302E-2</v>
      </c>
      <c r="BE180" s="17">
        <v>-4276.1169091887596</v>
      </c>
      <c r="BF180" s="18">
        <v>2.3983471269902499E-2</v>
      </c>
      <c r="BG180" s="17"/>
      <c r="BH180" s="18"/>
    </row>
    <row r="181" spans="1:60" x14ac:dyDescent="0.2">
      <c r="A181" s="16">
        <v>2022</v>
      </c>
      <c r="B181" s="16">
        <v>2</v>
      </c>
      <c r="C181" s="17">
        <v>194726.76704075499</v>
      </c>
      <c r="D181" s="18">
        <v>4.0052233265946299E-2</v>
      </c>
      <c r="E181" s="17">
        <v>189527.45145736399</v>
      </c>
      <c r="F181" s="18">
        <v>3.9966410141045502E-2</v>
      </c>
      <c r="G181" s="17">
        <v>1287.6961534423499</v>
      </c>
      <c r="H181" s="18">
        <v>0.127951734534094</v>
      </c>
      <c r="I181" s="17">
        <v>171.60105447818799</v>
      </c>
      <c r="J181" s="18">
        <v>-0.123590621578562</v>
      </c>
      <c r="K181" s="17">
        <v>44055.394927206602</v>
      </c>
      <c r="L181" s="18">
        <v>8.1027335502574599E-2</v>
      </c>
      <c r="M181" s="17">
        <v>17309.831426790701</v>
      </c>
      <c r="N181" s="18">
        <v>7.3052895882319099E-2</v>
      </c>
      <c r="O181" s="17">
        <v>26739.267118017699</v>
      </c>
      <c r="P181" s="18">
        <v>8.5996183989650393E-2</v>
      </c>
      <c r="Q181" s="17">
        <v>2877.1719798775398</v>
      </c>
      <c r="R181" s="18">
        <v>0.22287600854169501</v>
      </c>
      <c r="S181" s="17">
        <v>567.56957591120795</v>
      </c>
      <c r="T181" s="18">
        <v>4.6741580688602499E-2</v>
      </c>
      <c r="U181" s="17">
        <v>8347.2189423133295</v>
      </c>
      <c r="V181" s="18">
        <v>-4.2031677048713099E-2</v>
      </c>
      <c r="W181" s="17">
        <v>22336.139652849099</v>
      </c>
      <c r="X181" s="18">
        <v>-0.108211582754643</v>
      </c>
      <c r="Y181" s="17">
        <v>6398.59764484268</v>
      </c>
      <c r="Z181" s="18">
        <v>-1.8494626256173E-2</v>
      </c>
      <c r="AA181" s="17">
        <v>6784.40543840792</v>
      </c>
      <c r="AB181" s="18">
        <v>0.146223560027057</v>
      </c>
      <c r="AC181" s="17">
        <v>3315.7219838012102</v>
      </c>
      <c r="AD181" s="18">
        <v>0.97200956378243397</v>
      </c>
      <c r="AE181" s="17">
        <v>8936.0529104953002</v>
      </c>
      <c r="AF181" s="18">
        <v>7.4136865217651296E-2</v>
      </c>
      <c r="AG181" s="17">
        <v>16919.891283298399</v>
      </c>
      <c r="AH181" s="18">
        <v>5.2110918945093197E-2</v>
      </c>
      <c r="AI181" s="17">
        <v>7782.1161740089101</v>
      </c>
      <c r="AJ181" s="18">
        <v>-4.6136200399617203E-2</v>
      </c>
      <c r="AK181" s="17">
        <v>5584.2947416546003</v>
      </c>
      <c r="AL181" s="18">
        <v>0.179509534361176</v>
      </c>
      <c r="AM181" s="17">
        <v>34789.206939142197</v>
      </c>
      <c r="AN181" s="18">
        <v>3.5744740454882497E-2</v>
      </c>
      <c r="AO181" s="17">
        <v>12310.279985867901</v>
      </c>
      <c r="AP181" s="18">
        <v>1.5735452067018998E-2</v>
      </c>
      <c r="AQ181" s="17">
        <v>7570.1921988798604</v>
      </c>
      <c r="AR181" s="18">
        <v>1.70294421788642E-2</v>
      </c>
      <c r="AS181" s="17">
        <v>14469.648349069499</v>
      </c>
      <c r="AT181" s="18">
        <v>4.5945838815927502E-2</v>
      </c>
      <c r="AU181" s="17">
        <v>2317.0678358666401</v>
      </c>
      <c r="AV181" s="18">
        <v>0.47072728524088298</v>
      </c>
      <c r="AW181" s="17">
        <v>2568.1725427023698</v>
      </c>
      <c r="AX181" s="18">
        <v>7.9750103411894993E-2</v>
      </c>
      <c r="AY181" s="17">
        <v>600.05991979291196</v>
      </c>
      <c r="AZ181" s="18">
        <v>7.6977520423187298E-2</v>
      </c>
      <c r="BA181" s="17">
        <v>5198.7886989037897</v>
      </c>
      <c r="BB181" s="18">
        <v>4.3084675219829498E-2</v>
      </c>
      <c r="BC181" s="17">
        <v>9494.8213973513593</v>
      </c>
      <c r="BD181" s="18">
        <v>4.0067514304826801E-2</v>
      </c>
      <c r="BE181" s="17">
        <v>-4295.1524953801099</v>
      </c>
      <c r="BF181" s="18">
        <v>3.6227242614845598E-2</v>
      </c>
      <c r="BG181" s="17"/>
      <c r="BH181" s="18"/>
    </row>
    <row r="182" spans="1:60" x14ac:dyDescent="0.2">
      <c r="A182" s="16">
        <v>2022</v>
      </c>
      <c r="B182" s="16">
        <v>3</v>
      </c>
      <c r="C182" s="17">
        <v>194855.53374121501</v>
      </c>
      <c r="D182" s="18">
        <v>2.3024861159567998E-2</v>
      </c>
      <c r="E182" s="17">
        <v>189650.42591157701</v>
      </c>
      <c r="F182" s="18">
        <v>2.2948931607718E-2</v>
      </c>
      <c r="G182" s="17">
        <v>1308.4097768077399</v>
      </c>
      <c r="H182" s="18">
        <v>0.132096706454218</v>
      </c>
      <c r="I182" s="17">
        <v>161.89106684578201</v>
      </c>
      <c r="J182" s="18">
        <v>-0.14712028777145</v>
      </c>
      <c r="K182" s="17">
        <v>43119.010383920897</v>
      </c>
      <c r="L182" s="18">
        <v>3.6842412851520803E-2</v>
      </c>
      <c r="M182" s="17">
        <v>17259.983687346001</v>
      </c>
      <c r="N182" s="18">
        <v>1.6160913687478101E-2</v>
      </c>
      <c r="O182" s="17">
        <v>25860.464391895799</v>
      </c>
      <c r="P182" s="18">
        <v>5.1179946732128799E-2</v>
      </c>
      <c r="Q182" s="17">
        <v>3050.56644329755</v>
      </c>
      <c r="R182" s="18">
        <v>0.19254446402987799</v>
      </c>
      <c r="S182" s="17">
        <v>605.23209986869995</v>
      </c>
      <c r="T182" s="18">
        <v>0.116244124892455</v>
      </c>
      <c r="U182" s="17">
        <v>8274.5894200105195</v>
      </c>
      <c r="V182" s="18">
        <v>-6.9931891703431198E-2</v>
      </c>
      <c r="W182" s="17">
        <v>21706.516160803199</v>
      </c>
      <c r="X182" s="18">
        <v>-4.9081780636125297E-2</v>
      </c>
      <c r="Y182" s="17">
        <v>6196.1849060001196</v>
      </c>
      <c r="Z182" s="18">
        <v>9.6894947492260908E-3</v>
      </c>
      <c r="AA182" s="17">
        <v>6838.0687508738702</v>
      </c>
      <c r="AB182" s="18">
        <v>4.8908336221221697E-2</v>
      </c>
      <c r="AC182" s="17">
        <v>3865.19749537591</v>
      </c>
      <c r="AD182" s="18">
        <v>0.27875681774105898</v>
      </c>
      <c r="AE182" s="17">
        <v>9329.2200836808606</v>
      </c>
      <c r="AF182" s="18">
        <v>9.2952839493307196E-2</v>
      </c>
      <c r="AG182" s="17">
        <v>16795.181257164899</v>
      </c>
      <c r="AH182" s="18">
        <v>2.87075343952088E-2</v>
      </c>
      <c r="AI182" s="17">
        <v>7467.2678604806297</v>
      </c>
      <c r="AJ182" s="18">
        <v>-8.8663673651979399E-2</v>
      </c>
      <c r="AK182" s="17">
        <v>5764.3358863235699</v>
      </c>
      <c r="AL182" s="18">
        <v>0.204396078887365</v>
      </c>
      <c r="AM182" s="17">
        <v>35136.039667337798</v>
      </c>
      <c r="AN182" s="18">
        <v>1.9958799293004099E-2</v>
      </c>
      <c r="AO182" s="17">
        <v>12364.2550533947</v>
      </c>
      <c r="AP182" s="18">
        <v>1.51113229498194E-2</v>
      </c>
      <c r="AQ182" s="17">
        <v>7643.5244423306203</v>
      </c>
      <c r="AR182" s="18">
        <v>3.02274876742137E-2</v>
      </c>
      <c r="AS182" s="17">
        <v>14657.819647455601</v>
      </c>
      <c r="AT182" s="18">
        <v>4.4229306114670998E-2</v>
      </c>
      <c r="AU182" s="17">
        <v>2437.0814490282901</v>
      </c>
      <c r="AV182" s="18">
        <v>0.169570073142467</v>
      </c>
      <c r="AW182" s="17">
        <v>2555.00229120935</v>
      </c>
      <c r="AX182" s="18">
        <v>3.1719008243572301E-2</v>
      </c>
      <c r="AY182" s="17">
        <v>607.10246912569301</v>
      </c>
      <c r="AZ182" s="18">
        <v>2.8549762130818401E-2</v>
      </c>
      <c r="BA182" s="17">
        <v>5204.5039183079098</v>
      </c>
      <c r="BB182" s="18">
        <v>2.5680080307424899E-2</v>
      </c>
      <c r="BC182" s="17">
        <v>9490.9516062105395</v>
      </c>
      <c r="BD182" s="18">
        <v>2.74922857958242E-2</v>
      </c>
      <c r="BE182" s="17">
        <v>-4285.1604803895498</v>
      </c>
      <c r="BF182" s="18">
        <v>2.9392033230728701E-2</v>
      </c>
      <c r="BG182" s="17"/>
      <c r="BH182" s="18"/>
    </row>
    <row r="183" spans="1:60" x14ac:dyDescent="0.2">
      <c r="A183" s="16">
        <v>2022</v>
      </c>
      <c r="B183" s="16">
        <v>4</v>
      </c>
      <c r="C183" s="17">
        <v>199510.69123441901</v>
      </c>
      <c r="D183" s="18">
        <v>1.7277997504569601E-2</v>
      </c>
      <c r="E183" s="17">
        <v>194184.60121384799</v>
      </c>
      <c r="F183" s="18">
        <v>1.7638032295178799E-2</v>
      </c>
      <c r="G183" s="17">
        <v>1312.6168179455799</v>
      </c>
      <c r="H183" s="18">
        <v>0.10420498440482601</v>
      </c>
      <c r="I183" s="17">
        <v>153.96249646970401</v>
      </c>
      <c r="J183" s="18">
        <v>-0.12815000032420801</v>
      </c>
      <c r="K183" s="17">
        <v>43803.488038552503</v>
      </c>
      <c r="L183" s="18">
        <v>-5.8378595313675098E-3</v>
      </c>
      <c r="M183" s="17">
        <v>17077.5491703683</v>
      </c>
      <c r="N183" s="18">
        <v>-3.8968105878659398E-2</v>
      </c>
      <c r="O183" s="17">
        <v>26716.493146750599</v>
      </c>
      <c r="P183" s="18">
        <v>1.6195760209215301E-2</v>
      </c>
      <c r="Q183" s="17">
        <v>2778.0229408495502</v>
      </c>
      <c r="R183" s="18">
        <v>0.25020912480000101</v>
      </c>
      <c r="S183" s="17">
        <v>624.82184102736005</v>
      </c>
      <c r="T183" s="18">
        <v>0.120845876561677</v>
      </c>
      <c r="U183" s="17">
        <v>8275.8268443007892</v>
      </c>
      <c r="V183" s="18">
        <v>-5.0188164008770797E-2</v>
      </c>
      <c r="W183" s="17">
        <v>24296.842573390601</v>
      </c>
      <c r="X183" s="18">
        <v>-3.0847144692739002E-2</v>
      </c>
      <c r="Y183" s="17">
        <v>6973.6161810476897</v>
      </c>
      <c r="Z183" s="18">
        <v>-2.59003364417776E-2</v>
      </c>
      <c r="AA183" s="17">
        <v>7201.3433703148003</v>
      </c>
      <c r="AB183" s="18">
        <v>4.6015521802127902E-2</v>
      </c>
      <c r="AC183" s="17">
        <v>3351.5879607636398</v>
      </c>
      <c r="AD183" s="18">
        <v>0.29454095479766301</v>
      </c>
      <c r="AE183" s="17">
        <v>10098.0921787145</v>
      </c>
      <c r="AF183" s="18">
        <v>6.9958530171586805E-2</v>
      </c>
      <c r="AG183" s="17">
        <v>17023.806923125601</v>
      </c>
      <c r="AH183" s="18">
        <v>3.1747807494354199E-2</v>
      </c>
      <c r="AI183" s="17">
        <v>7542.3684849543897</v>
      </c>
      <c r="AJ183" s="18">
        <v>-6.7459968985116595E-2</v>
      </c>
      <c r="AK183" s="17">
        <v>5869.5257334145599</v>
      </c>
      <c r="AL183" s="18">
        <v>0.17823868646011001</v>
      </c>
      <c r="AM183" s="17">
        <v>35051.668584789397</v>
      </c>
      <c r="AN183" s="18">
        <v>9.1814678679269495E-3</v>
      </c>
      <c r="AO183" s="17">
        <v>12431.4416935135</v>
      </c>
      <c r="AP183" s="18">
        <v>1.17900310268457E-2</v>
      </c>
      <c r="AQ183" s="17">
        <v>7759.0684588000304</v>
      </c>
      <c r="AR183" s="18">
        <v>3.7924188221596197E-2</v>
      </c>
      <c r="AS183" s="17">
        <v>14710.9687092696</v>
      </c>
      <c r="AT183" s="18">
        <v>3.5497078283774498E-2</v>
      </c>
      <c r="AU183" s="17">
        <v>2502.9797175161698</v>
      </c>
      <c r="AV183" s="18">
        <v>0.54962693160262099</v>
      </c>
      <c r="AW183" s="17">
        <v>2559.1388982178401</v>
      </c>
      <c r="AX183" s="18">
        <v>1.96470081538744E-2</v>
      </c>
      <c r="AY183" s="17">
        <v>614.864559214834</v>
      </c>
      <c r="AZ183" s="18">
        <v>3.8493119149696699E-2</v>
      </c>
      <c r="BA183" s="17">
        <v>5325.5814307843402</v>
      </c>
      <c r="BB183" s="18">
        <v>4.2272883422176397E-3</v>
      </c>
      <c r="BC183" s="17">
        <v>9661.3883314740597</v>
      </c>
      <c r="BD183" s="18">
        <v>1.5173183510358099E-2</v>
      </c>
      <c r="BE183" s="17">
        <v>-4333.0605773454899</v>
      </c>
      <c r="BF183" s="18">
        <v>2.82970289066522E-2</v>
      </c>
      <c r="BG183" s="17"/>
      <c r="BH183" s="18"/>
    </row>
    <row r="184" spans="1:60" x14ac:dyDescent="0.2">
      <c r="A184" s="16">
        <v>2023</v>
      </c>
      <c r="B184" s="16">
        <v>1</v>
      </c>
      <c r="C184" s="17">
        <v>194701.643072159</v>
      </c>
      <c r="D184" s="18">
        <v>1.8091584016157701E-2</v>
      </c>
      <c r="E184" s="17">
        <v>189641.722713967</v>
      </c>
      <c r="F184" s="18">
        <v>1.86663391733994E-2</v>
      </c>
      <c r="G184" s="17">
        <v>1305.94118628773</v>
      </c>
      <c r="H184" s="18">
        <v>4.66516609217369E-2</v>
      </c>
      <c r="I184" s="17">
        <v>151.475728273708</v>
      </c>
      <c r="J184" s="18">
        <v>-4.7694841785319797E-2</v>
      </c>
      <c r="K184" s="17">
        <v>43486.381976915698</v>
      </c>
      <c r="L184" s="18">
        <v>-3.2574087641471499E-3</v>
      </c>
      <c r="M184" s="17">
        <v>17745.834739252401</v>
      </c>
      <c r="N184" s="18">
        <v>-9.0612694757910006E-3</v>
      </c>
      <c r="O184" s="17">
        <v>25772.6400218204</v>
      </c>
      <c r="P184" s="18">
        <v>1.56140143450045E-3</v>
      </c>
      <c r="Q184" s="17">
        <v>2467.0215587081598</v>
      </c>
      <c r="R184" s="18">
        <v>-4.0175937910699601E-2</v>
      </c>
      <c r="S184" s="17">
        <v>644.32350322421303</v>
      </c>
      <c r="T184" s="18">
        <v>0.150140439772706</v>
      </c>
      <c r="U184" s="17">
        <v>7892.6024116435101</v>
      </c>
      <c r="V184" s="18">
        <v>-1.9393695408277699E-2</v>
      </c>
      <c r="W184" s="17">
        <v>22412.027460716901</v>
      </c>
      <c r="X184" s="18">
        <v>3.7586649452712E-2</v>
      </c>
      <c r="Y184" s="17">
        <v>6018.2286700696905</v>
      </c>
      <c r="Z184" s="18">
        <v>-1.5683506407366599E-2</v>
      </c>
      <c r="AA184" s="17">
        <v>7337.2927369591298</v>
      </c>
      <c r="AB184" s="18">
        <v>7.0828798546715796E-2</v>
      </c>
      <c r="AC184" s="17">
        <v>3469.2973327322502</v>
      </c>
      <c r="AD184" s="18">
        <v>0.21074465267165099</v>
      </c>
      <c r="AE184" s="17">
        <v>9499.5197634624292</v>
      </c>
      <c r="AF184" s="18">
        <v>7.3994489395905E-2</v>
      </c>
      <c r="AG184" s="17">
        <v>16670.728499141002</v>
      </c>
      <c r="AH184" s="18">
        <v>-7.7839965097732397E-3</v>
      </c>
      <c r="AI184" s="17">
        <v>7101.4142060083204</v>
      </c>
      <c r="AJ184" s="18">
        <v>-0.10983585481371801</v>
      </c>
      <c r="AK184" s="17">
        <v>5901.8732951576003</v>
      </c>
      <c r="AL184" s="18">
        <v>0.10824728180844299</v>
      </c>
      <c r="AM184" s="17">
        <v>35164.628605609701</v>
      </c>
      <c r="AN184" s="18">
        <v>1.51045620277872E-2</v>
      </c>
      <c r="AO184" s="17">
        <v>12381.155538266499</v>
      </c>
      <c r="AP184" s="18">
        <v>3.6360612158610199E-3</v>
      </c>
      <c r="AQ184" s="17">
        <v>7848.4433717668899</v>
      </c>
      <c r="AR184" s="18">
        <v>4.2542461122594001E-2</v>
      </c>
      <c r="AS184" s="17">
        <v>14669.2986107416</v>
      </c>
      <c r="AT184" s="18">
        <v>2.0774346797958199E-2</v>
      </c>
      <c r="AU184" s="17">
        <v>1574.17628949757</v>
      </c>
      <c r="AV184" s="18">
        <v>-7.9823126213177997E-2</v>
      </c>
      <c r="AW184" s="17">
        <v>2607.7272788861401</v>
      </c>
      <c r="AX184" s="18">
        <v>3.4368065609054803E-2</v>
      </c>
      <c r="AY184" s="17">
        <v>626.23715583820001</v>
      </c>
      <c r="AZ184" s="18">
        <v>6.1911004547706899E-2</v>
      </c>
      <c r="BA184" s="17">
        <v>5058.1494698169599</v>
      </c>
      <c r="BB184" s="18">
        <v>-3.43840710038512E-3</v>
      </c>
      <c r="BC184" s="17">
        <v>9442.6973097425107</v>
      </c>
      <c r="BD184" s="18">
        <v>9.8823464638844206E-3</v>
      </c>
      <c r="BE184" s="17">
        <v>-4387.2747441416004</v>
      </c>
      <c r="BF184" s="18">
        <v>2.5995041135097301E-2</v>
      </c>
      <c r="BG184" s="17"/>
      <c r="BH184" s="18"/>
    </row>
    <row r="185" spans="1:60" x14ac:dyDescent="0.2">
      <c r="A185" s="16">
        <v>2023</v>
      </c>
      <c r="B185" s="16">
        <v>2</v>
      </c>
      <c r="C185" s="17">
        <v>195826.892769511</v>
      </c>
      <c r="D185" s="18">
        <v>5.6495865744343697E-3</v>
      </c>
      <c r="E185" s="17">
        <v>190786.23880944101</v>
      </c>
      <c r="F185" s="18">
        <v>6.6417151837234699E-3</v>
      </c>
      <c r="G185" s="17">
        <v>1299.6254369006599</v>
      </c>
      <c r="H185" s="18">
        <v>9.2640514817257102E-3</v>
      </c>
      <c r="I185" s="17">
        <v>169.86612756362001</v>
      </c>
      <c r="J185" s="18">
        <v>-1.01102345777754E-2</v>
      </c>
      <c r="K185" s="17">
        <v>42756.082533295797</v>
      </c>
      <c r="L185" s="18">
        <v>-2.9492696548463E-2</v>
      </c>
      <c r="M185" s="17">
        <v>17543.736435986499</v>
      </c>
      <c r="N185" s="18">
        <v>1.35128415423944E-2</v>
      </c>
      <c r="O185" s="17">
        <v>25251.307481373398</v>
      </c>
      <c r="P185" s="18">
        <v>-5.5646986511523402E-2</v>
      </c>
      <c r="Q185" s="17">
        <v>2482.9340067148</v>
      </c>
      <c r="R185" s="18">
        <v>-0.137022734796519</v>
      </c>
      <c r="S185" s="17">
        <v>665.34494371821904</v>
      </c>
      <c r="T185" s="18">
        <v>0.172270276556028</v>
      </c>
      <c r="U185" s="17">
        <v>8212.8547211378991</v>
      </c>
      <c r="V185" s="18">
        <v>-1.60968847353841E-2</v>
      </c>
      <c r="W185" s="17">
        <v>23436.536577020299</v>
      </c>
      <c r="X185" s="18">
        <v>4.9265313580309597E-2</v>
      </c>
      <c r="Y185" s="17">
        <v>6313.5519843449201</v>
      </c>
      <c r="Z185" s="18">
        <v>-1.32912968150617E-2</v>
      </c>
      <c r="AA185" s="17">
        <v>7159.5025221635397</v>
      </c>
      <c r="AB185" s="18">
        <v>5.5288129101501E-2</v>
      </c>
      <c r="AC185" s="17">
        <v>3553.8996979288399</v>
      </c>
      <c r="AD185" s="18">
        <v>7.1832836194120495E-2</v>
      </c>
      <c r="AE185" s="17">
        <v>9416.7014601994197</v>
      </c>
      <c r="AF185" s="18">
        <v>5.378756756684E-2</v>
      </c>
      <c r="AG185" s="17">
        <v>16558.767176630099</v>
      </c>
      <c r="AH185" s="18">
        <v>-2.13431694460521E-2</v>
      </c>
      <c r="AI185" s="17">
        <v>6846.53137492525</v>
      </c>
      <c r="AJ185" s="18">
        <v>-0.120222414850137</v>
      </c>
      <c r="AK185" s="17">
        <v>5963.0617225372198</v>
      </c>
      <c r="AL185" s="18">
        <v>6.7827182913054798E-2</v>
      </c>
      <c r="AM185" s="17">
        <v>35479.974321493901</v>
      </c>
      <c r="AN185" s="18">
        <v>1.9855795608105999E-2</v>
      </c>
      <c r="AO185" s="17">
        <v>12271.5051690653</v>
      </c>
      <c r="AP185" s="18">
        <v>-3.1497916251385098E-3</v>
      </c>
      <c r="AQ185" s="17">
        <v>7836.8699780836896</v>
      </c>
      <c r="AR185" s="18">
        <v>3.52273459111501E-2</v>
      </c>
      <c r="AS185" s="17">
        <v>14729.963685475699</v>
      </c>
      <c r="AT185" s="18">
        <v>1.7990439720879901E-2</v>
      </c>
      <c r="AU185" s="17">
        <v>1611.3747299040001</v>
      </c>
      <c r="AV185" s="18">
        <v>-0.30456298906703899</v>
      </c>
      <c r="AW185" s="17">
        <v>2633.9329228189099</v>
      </c>
      <c r="AX185" s="18">
        <v>2.5605904207408599E-2</v>
      </c>
      <c r="AY185" s="17">
        <v>631.72715535018699</v>
      </c>
      <c r="AZ185" s="18">
        <v>5.2773455637903602E-2</v>
      </c>
      <c r="BA185" s="17">
        <v>5038.3238247020499</v>
      </c>
      <c r="BB185" s="18">
        <v>-3.08658196159367E-2</v>
      </c>
      <c r="BC185" s="17">
        <v>9452.4112075940993</v>
      </c>
      <c r="BD185" s="18">
        <v>-4.4666653518197199E-3</v>
      </c>
      <c r="BE185" s="17">
        <v>-4417.62070052744</v>
      </c>
      <c r="BF185" s="18">
        <v>2.8513121543194901E-2</v>
      </c>
      <c r="BG185" s="17"/>
      <c r="BH185" s="18"/>
    </row>
    <row r="186" spans="1:60" x14ac:dyDescent="0.2">
      <c r="A186" s="16">
        <v>2023</v>
      </c>
      <c r="B186" s="16">
        <v>3</v>
      </c>
      <c r="C186" s="17">
        <v>195485.905346935</v>
      </c>
      <c r="D186" s="18">
        <v>3.2350716123754602E-3</v>
      </c>
      <c r="E186" s="17">
        <v>190461.44620005201</v>
      </c>
      <c r="F186" s="18">
        <v>4.2763958191844899E-3</v>
      </c>
      <c r="G186" s="17">
        <v>1291.8548379262199</v>
      </c>
      <c r="H186" s="18">
        <v>-1.26527171953057E-2</v>
      </c>
      <c r="I186" s="17">
        <v>164.45708826653899</v>
      </c>
      <c r="J186" s="18">
        <v>1.5850296565168599E-2</v>
      </c>
      <c r="K186" s="17">
        <v>42162.035363153002</v>
      </c>
      <c r="L186" s="18">
        <v>-2.21938076093872E-2</v>
      </c>
      <c r="M186" s="17">
        <v>18211.282490600199</v>
      </c>
      <c r="N186" s="18">
        <v>5.5115857609507199E-2</v>
      </c>
      <c r="O186" s="17">
        <v>24059.5484865209</v>
      </c>
      <c r="P186" s="18">
        <v>-6.9639735701701205E-2</v>
      </c>
      <c r="Q186" s="17">
        <v>2725.1703536268101</v>
      </c>
      <c r="R186" s="18">
        <v>-0.10666743233397701</v>
      </c>
      <c r="S186" s="17">
        <v>686.14303531891699</v>
      </c>
      <c r="T186" s="18">
        <v>0.133685796684891</v>
      </c>
      <c r="U186" s="17">
        <v>8230.8213802270093</v>
      </c>
      <c r="V186" s="18">
        <v>-5.2894515439832999E-3</v>
      </c>
      <c r="W186" s="17">
        <v>22715.6447055055</v>
      </c>
      <c r="X186" s="18">
        <v>4.6489659474909802E-2</v>
      </c>
      <c r="Y186" s="17">
        <v>6101.4883792748196</v>
      </c>
      <c r="Z186" s="18">
        <v>-1.5283037572620801E-2</v>
      </c>
      <c r="AA186" s="17">
        <v>7137.1940588058496</v>
      </c>
      <c r="AB186" s="18">
        <v>4.3744121159026199E-2</v>
      </c>
      <c r="AC186" s="17">
        <v>3995.3856219338199</v>
      </c>
      <c r="AD186" s="18">
        <v>3.3682140877317801E-2</v>
      </c>
      <c r="AE186" s="17">
        <v>9669.35654314782</v>
      </c>
      <c r="AF186" s="18">
        <v>3.6459259875533098E-2</v>
      </c>
      <c r="AG186" s="17">
        <v>16388.834714105498</v>
      </c>
      <c r="AH186" s="18">
        <v>-2.4194233860148202E-2</v>
      </c>
      <c r="AI186" s="17">
        <v>6636.2309856245802</v>
      </c>
      <c r="AJ186" s="18">
        <v>-0.111290620663842</v>
      </c>
      <c r="AK186" s="17">
        <v>6053.9352843204897</v>
      </c>
      <c r="AL186" s="18">
        <v>5.02398548086029E-2</v>
      </c>
      <c r="AM186" s="17">
        <v>35686.606312973097</v>
      </c>
      <c r="AN186" s="18">
        <v>1.56695703570435E-2</v>
      </c>
      <c r="AO186" s="17">
        <v>12334.4216934329</v>
      </c>
      <c r="AP186" s="18">
        <v>-2.4128716071396502E-3</v>
      </c>
      <c r="AQ186" s="17">
        <v>7834.0663270305304</v>
      </c>
      <c r="AR186" s="18">
        <v>2.4928537370099601E-2</v>
      </c>
      <c r="AS186" s="17">
        <v>14957.064140486</v>
      </c>
      <c r="AT186" s="18">
        <v>2.0415348273321102E-2</v>
      </c>
      <c r="AU186" s="17">
        <v>1623.98051590625</v>
      </c>
      <c r="AV186" s="18">
        <v>-0.33363715990954601</v>
      </c>
      <c r="AW186" s="17">
        <v>2615.0582102500398</v>
      </c>
      <c r="AX186" s="18">
        <v>2.35052309922852E-2</v>
      </c>
      <c r="AY186" s="17">
        <v>631.55177357889897</v>
      </c>
      <c r="AZ186" s="18">
        <v>4.0272121588330601E-2</v>
      </c>
      <c r="BA186" s="17">
        <v>5022.0491183742897</v>
      </c>
      <c r="BB186" s="18">
        <v>-3.5057097236837802E-2</v>
      </c>
      <c r="BC186" s="17">
        <v>9411.1658397699102</v>
      </c>
      <c r="BD186" s="18">
        <v>-8.4065086148392698E-3</v>
      </c>
      <c r="BE186" s="17">
        <v>-4392.4512938135904</v>
      </c>
      <c r="BF186" s="18">
        <v>2.5037758542542098E-2</v>
      </c>
      <c r="BG186" s="17"/>
      <c r="BH186" s="18"/>
    </row>
    <row r="187" spans="1:60" x14ac:dyDescent="0.2">
      <c r="A187" s="16">
        <v>2023</v>
      </c>
      <c r="B187" s="16">
        <v>4</v>
      </c>
      <c r="C187" s="17">
        <v>200762.465759821</v>
      </c>
      <c r="D187" s="18">
        <v>6.2742227880487897E-3</v>
      </c>
      <c r="E187" s="17">
        <v>195600.38486296299</v>
      </c>
      <c r="F187" s="18">
        <v>7.2909161708241098E-3</v>
      </c>
      <c r="G187" s="17">
        <v>1285.0306971728501</v>
      </c>
      <c r="H187" s="18">
        <v>-2.10161262567913E-2</v>
      </c>
      <c r="I187" s="17">
        <v>160.21666017465699</v>
      </c>
      <c r="J187" s="18">
        <v>4.0621345122082299E-2</v>
      </c>
      <c r="K187" s="17">
        <v>43249.098018563702</v>
      </c>
      <c r="L187" s="18">
        <v>-1.26562985007237E-2</v>
      </c>
      <c r="M187" s="17">
        <v>17938.922639066699</v>
      </c>
      <c r="N187" s="18">
        <v>5.0438939458184999E-2</v>
      </c>
      <c r="O187" s="17">
        <v>25364.482207458001</v>
      </c>
      <c r="P187" s="18">
        <v>-5.06058535402166E-2</v>
      </c>
      <c r="Q187" s="17">
        <v>2364.1671635479302</v>
      </c>
      <c r="R187" s="18">
        <v>-0.14897493149392799</v>
      </c>
      <c r="S187" s="17">
        <v>684.85252902351397</v>
      </c>
      <c r="T187" s="18">
        <v>9.6076487815228706E-2</v>
      </c>
      <c r="U187" s="17">
        <v>8201.5280859344693</v>
      </c>
      <c r="V187" s="18">
        <v>-8.9778048482832603E-3</v>
      </c>
      <c r="W187" s="17">
        <v>24964.1176584762</v>
      </c>
      <c r="X187" s="18">
        <v>2.7463448514763799E-2</v>
      </c>
      <c r="Y187" s="17">
        <v>6899.3066331018599</v>
      </c>
      <c r="Z187" s="18">
        <v>-1.0655812711313E-2</v>
      </c>
      <c r="AA187" s="17">
        <v>7299.4263238253398</v>
      </c>
      <c r="AB187" s="18">
        <v>1.36200912061559E-2</v>
      </c>
      <c r="AC187" s="17">
        <v>3369.8097377545901</v>
      </c>
      <c r="AD187" s="18">
        <v>5.4367592926893903E-3</v>
      </c>
      <c r="AE187" s="17">
        <v>10666.132024021301</v>
      </c>
      <c r="AF187" s="18">
        <v>5.6252194499093702E-2</v>
      </c>
      <c r="AG187" s="17">
        <v>16513.439285667901</v>
      </c>
      <c r="AH187" s="18">
        <v>-2.99796420249849E-2</v>
      </c>
      <c r="AI187" s="17">
        <v>6721.3854481498502</v>
      </c>
      <c r="AJ187" s="18">
        <v>-0.10884949978806401</v>
      </c>
      <c r="AK187" s="17">
        <v>6176.1240322439899</v>
      </c>
      <c r="AL187" s="18">
        <v>5.2235617110254901E-2</v>
      </c>
      <c r="AM187" s="17">
        <v>36033.028328893299</v>
      </c>
      <c r="AN187" s="18">
        <v>2.7997518626823498E-2</v>
      </c>
      <c r="AO187" s="17">
        <v>12467.6101243593</v>
      </c>
      <c r="AP187" s="18">
        <v>2.9094317246205498E-3</v>
      </c>
      <c r="AQ187" s="17">
        <v>7950.2537675665499</v>
      </c>
      <c r="AR187" s="18">
        <v>2.4640239969746298E-2</v>
      </c>
      <c r="AS187" s="17">
        <v>15289.290028499399</v>
      </c>
      <c r="AT187" s="18">
        <v>3.9312252691112499E-2</v>
      </c>
      <c r="AU187" s="17">
        <v>1610.58736425764</v>
      </c>
      <c r="AV187" s="18">
        <v>-0.35653199545064701</v>
      </c>
      <c r="AW187" s="17">
        <v>2596.3297695139099</v>
      </c>
      <c r="AX187" s="18">
        <v>1.45325723906484E-2</v>
      </c>
      <c r="AY187" s="17">
        <v>625.84056629815404</v>
      </c>
      <c r="AZ187" s="18">
        <v>1.78510973170019E-2</v>
      </c>
      <c r="BA187" s="17">
        <v>5159.6284681816096</v>
      </c>
      <c r="BB187" s="18">
        <v>-3.1161473119806202E-2</v>
      </c>
      <c r="BC187" s="17">
        <v>9627.6475311954891</v>
      </c>
      <c r="BD187" s="18">
        <v>-3.4923345507863498E-3</v>
      </c>
      <c r="BE187" s="17">
        <v>-4470.72209294397</v>
      </c>
      <c r="BF187" s="18">
        <v>3.1770041784834099E-2</v>
      </c>
      <c r="BG187" s="17"/>
      <c r="BH187" s="18"/>
    </row>
    <row r="188" spans="1:60" x14ac:dyDescent="0.2">
      <c r="A188" s="16">
        <v>2024</v>
      </c>
      <c r="B188" s="16">
        <v>1</v>
      </c>
      <c r="C188" s="17">
        <v>195068.63945977599</v>
      </c>
      <c r="D188" s="18">
        <v>1.8849167466004099E-3</v>
      </c>
      <c r="E188" s="17">
        <v>190208.29933244601</v>
      </c>
      <c r="F188" s="18">
        <v>2.9876158598993699E-3</v>
      </c>
      <c r="G188" s="17">
        <v>1277.26012439327</v>
      </c>
      <c r="H188" s="18">
        <v>-2.1961985880847201E-2</v>
      </c>
      <c r="I188" s="17">
        <v>156.070091439507</v>
      </c>
      <c r="J188" s="18">
        <v>3.0330688739102201E-2</v>
      </c>
      <c r="K188" s="17">
        <v>42175.696937695699</v>
      </c>
      <c r="L188" s="18">
        <v>-3.0140126164456899E-2</v>
      </c>
      <c r="M188" s="17">
        <v>19128.3436730592</v>
      </c>
      <c r="N188" s="18">
        <v>7.7906108905027499E-2</v>
      </c>
      <c r="O188" s="17">
        <v>23416.062698625301</v>
      </c>
      <c r="P188" s="18">
        <v>-9.1437172179484896E-2</v>
      </c>
      <c r="Q188" s="17">
        <v>1979.60747240298</v>
      </c>
      <c r="R188" s="18">
        <v>-0.19757187957466099</v>
      </c>
      <c r="S188" s="17">
        <v>672.77238875530099</v>
      </c>
      <c r="T188" s="18">
        <v>4.41531084753677E-2</v>
      </c>
      <c r="U188" s="17">
        <v>7816.5233731209601</v>
      </c>
      <c r="V188" s="18">
        <v>-9.6392843012488294E-3</v>
      </c>
      <c r="W188" s="17">
        <v>22375.893649475402</v>
      </c>
      <c r="X188" s="18">
        <v>-1.61225089094774E-3</v>
      </c>
      <c r="Y188" s="17">
        <v>6236.0110837297398</v>
      </c>
      <c r="Z188" s="18">
        <v>3.6187128405928699E-2</v>
      </c>
      <c r="AA188" s="17">
        <v>7217.3457244811098</v>
      </c>
      <c r="AB188" s="18">
        <v>-1.6347584426313899E-2</v>
      </c>
      <c r="AC188" s="17">
        <v>3529.4411909958799</v>
      </c>
      <c r="AD188" s="18">
        <v>1.73360345036386E-2</v>
      </c>
      <c r="AE188" s="17">
        <v>10002.1214093096</v>
      </c>
      <c r="AF188" s="18">
        <v>5.2908110974227297E-2</v>
      </c>
      <c r="AG188" s="17">
        <v>16551.061039256001</v>
      </c>
      <c r="AH188" s="18">
        <v>-7.1782981704245899E-3</v>
      </c>
      <c r="AI188" s="17">
        <v>6609.0743420975004</v>
      </c>
      <c r="AJ188" s="18">
        <v>-6.9329833414626202E-2</v>
      </c>
      <c r="AK188" s="17">
        <v>6332.0869494421604</v>
      </c>
      <c r="AL188" s="18">
        <v>7.28944239852687E-2</v>
      </c>
      <c r="AM188" s="17">
        <v>36093.2562034168</v>
      </c>
      <c r="AN188" s="18">
        <v>2.64080024339821E-2</v>
      </c>
      <c r="AO188" s="17">
        <v>12452.7285464246</v>
      </c>
      <c r="AP188" s="18">
        <v>5.7808019563949696E-3</v>
      </c>
      <c r="AQ188" s="17">
        <v>7955.8780623899102</v>
      </c>
      <c r="AR188" s="18">
        <v>1.36886622651187E-2</v>
      </c>
      <c r="AS188" s="17">
        <v>15484.093833750199</v>
      </c>
      <c r="AT188" s="18">
        <v>5.5544252293834501E-2</v>
      </c>
      <c r="AU188" s="17">
        <v>1900.1726472610801</v>
      </c>
      <c r="AV188" s="18">
        <v>0.20709012067991101</v>
      </c>
      <c r="AW188" s="17">
        <v>2589.95940541659</v>
      </c>
      <c r="AX188" s="18">
        <v>-6.8135474186311598E-3</v>
      </c>
      <c r="AY188" s="17">
        <v>614.09732374210205</v>
      </c>
      <c r="AZ188" s="18">
        <v>-1.93853590176221E-2</v>
      </c>
      <c r="BA188" s="17">
        <v>4850.8108974933702</v>
      </c>
      <c r="BB188" s="18">
        <v>-4.0990993556205599E-2</v>
      </c>
      <c r="BC188" s="17">
        <v>9377.4355054540702</v>
      </c>
      <c r="BD188" s="18">
        <v>-6.9113519313076504E-3</v>
      </c>
      <c r="BE188" s="17">
        <v>-4528.7963155054704</v>
      </c>
      <c r="BF188" s="18">
        <v>3.22572849017135E-2</v>
      </c>
      <c r="BG188" s="17"/>
      <c r="BH188" s="18"/>
    </row>
    <row r="189" spans="1:60" x14ac:dyDescent="0.2">
      <c r="A189" s="16">
        <v>2024</v>
      </c>
      <c r="B189" s="16">
        <v>2</v>
      </c>
      <c r="C189" s="17">
        <v>199505.412075784</v>
      </c>
      <c r="D189" s="18">
        <v>1.8784546158336701E-2</v>
      </c>
      <c r="E189" s="17">
        <v>194501.869969689</v>
      </c>
      <c r="F189" s="18">
        <v>1.94753624969723E-2</v>
      </c>
      <c r="G189" s="17">
        <v>1271.99018345181</v>
      </c>
      <c r="H189" s="18">
        <v>-2.1264013972177E-2</v>
      </c>
      <c r="I189" s="17">
        <v>172.14306955401099</v>
      </c>
      <c r="J189" s="18">
        <v>1.34043321234698E-2</v>
      </c>
      <c r="K189" s="17">
        <v>44275.524808928698</v>
      </c>
      <c r="L189" s="18">
        <v>3.5537453050092899E-2</v>
      </c>
      <c r="M189" s="17">
        <v>20396.825987439901</v>
      </c>
      <c r="N189" s="18">
        <v>0.162627246588191</v>
      </c>
      <c r="O189" s="17">
        <v>24328.206815466699</v>
      </c>
      <c r="P189" s="18">
        <v>-3.6556549263344798E-2</v>
      </c>
      <c r="Q189" s="17">
        <v>1934.6150720202299</v>
      </c>
      <c r="R189" s="18">
        <v>-0.220835081887681</v>
      </c>
      <c r="S189" s="17">
        <v>667.530155790668</v>
      </c>
      <c r="T189" s="18">
        <v>3.2843295693165699E-3</v>
      </c>
      <c r="U189" s="17">
        <v>8172.9847404390102</v>
      </c>
      <c r="V189" s="18">
        <v>-4.85458248716819E-3</v>
      </c>
      <c r="W189" s="17">
        <v>23088.9632293252</v>
      </c>
      <c r="X189" s="18">
        <v>-1.4830405787683699E-2</v>
      </c>
      <c r="Y189" s="17">
        <v>6443.0538587626297</v>
      </c>
      <c r="Z189" s="18">
        <v>2.0511730122570598E-2</v>
      </c>
      <c r="AA189" s="17">
        <v>7167.8008315064999</v>
      </c>
      <c r="AB189" s="18">
        <v>1.1590622836252799E-3</v>
      </c>
      <c r="AC189" s="17">
        <v>3533.8277566869601</v>
      </c>
      <c r="AD189" s="18">
        <v>-5.6478637406628396E-3</v>
      </c>
      <c r="AE189" s="17">
        <v>10089.1357878495</v>
      </c>
      <c r="AF189" s="18">
        <v>7.1408691301534599E-2</v>
      </c>
      <c r="AG189" s="17">
        <v>16786.407808384</v>
      </c>
      <c r="AH189" s="18">
        <v>1.3747438400799001E-2</v>
      </c>
      <c r="AI189" s="17">
        <v>6694.2491639521204</v>
      </c>
      <c r="AJ189" s="18">
        <v>-2.2242242477825899E-2</v>
      </c>
      <c r="AK189" s="17">
        <v>6436.4554371743498</v>
      </c>
      <c r="AL189" s="18">
        <v>7.9387693212691304E-2</v>
      </c>
      <c r="AM189" s="17">
        <v>36505.365757146399</v>
      </c>
      <c r="AN189" s="18">
        <v>2.89005687084514E-2</v>
      </c>
      <c r="AO189" s="17">
        <v>12401.5293769164</v>
      </c>
      <c r="AP189" s="18">
        <v>1.05956201834887E-2</v>
      </c>
      <c r="AQ189" s="17">
        <v>7939.0767205745296</v>
      </c>
      <c r="AR189" s="18">
        <v>1.30417810652301E-2</v>
      </c>
      <c r="AS189" s="17">
        <v>15716.6874783395</v>
      </c>
      <c r="AT189" s="18">
        <v>6.6987523793877998E-2</v>
      </c>
      <c r="AU189" s="17">
        <v>2391.62496077275</v>
      </c>
      <c r="AV189" s="18">
        <v>0.48421401700598299</v>
      </c>
      <c r="AW189" s="17">
        <v>2563.5156093731498</v>
      </c>
      <c r="AX189" s="18">
        <v>-2.6734664666552801E-2</v>
      </c>
      <c r="AY189" s="17">
        <v>606.86647838879401</v>
      </c>
      <c r="AZ189" s="18">
        <v>-3.9353503725215698E-2</v>
      </c>
      <c r="BA189" s="17">
        <v>4995.2036611501298</v>
      </c>
      <c r="BB189" s="18">
        <v>-8.5584343230396005E-3</v>
      </c>
      <c r="BC189" s="17">
        <v>9550.5971728451805</v>
      </c>
      <c r="BD189" s="18">
        <v>1.03873988440324E-2</v>
      </c>
      <c r="BE189" s="17">
        <v>-4557.8990963429696</v>
      </c>
      <c r="BF189" s="18">
        <v>3.1754287052933303E-2</v>
      </c>
      <c r="BG189" s="17"/>
      <c r="BH189" s="18"/>
    </row>
    <row r="190" spans="1:60" x14ac:dyDescent="0.2">
      <c r="A190" s="16">
        <v>2024</v>
      </c>
      <c r="B190" s="16">
        <v>3</v>
      </c>
      <c r="C190" s="17">
        <v>199389.03016882201</v>
      </c>
      <c r="D190" s="18">
        <v>1.9966272325157498E-2</v>
      </c>
      <c r="E190" s="17">
        <v>194433.645219395</v>
      </c>
      <c r="F190" s="18">
        <v>2.0855659234944899E-2</v>
      </c>
      <c r="G190" s="17">
        <v>1264.9278793318399</v>
      </c>
      <c r="H190" s="18">
        <v>-2.0843641099491401E-2</v>
      </c>
      <c r="I190" s="17">
        <v>167.18562962393801</v>
      </c>
      <c r="J190" s="18">
        <v>1.6591205561030199E-2</v>
      </c>
      <c r="K190" s="17">
        <v>42552.195057942197</v>
      </c>
      <c r="L190" s="18">
        <v>9.2538154628594195E-3</v>
      </c>
      <c r="M190" s="17">
        <v>20620.671337508498</v>
      </c>
      <c r="N190" s="18">
        <v>0.132301986318203</v>
      </c>
      <c r="O190" s="17">
        <v>22564.560826257501</v>
      </c>
      <c r="P190" s="18">
        <v>-6.2136979050166199E-2</v>
      </c>
      <c r="Q190" s="17">
        <v>2362.0385610578701</v>
      </c>
      <c r="R190" s="18">
        <v>-0.133251043218513</v>
      </c>
      <c r="S190" s="17">
        <v>669.85388034177299</v>
      </c>
      <c r="T190" s="18">
        <v>-2.3740173897666101E-2</v>
      </c>
      <c r="U190" s="17">
        <v>8345.5119771358095</v>
      </c>
      <c r="V190" s="18">
        <v>1.39342833006095E-2</v>
      </c>
      <c r="W190" s="17">
        <v>22451.634652368801</v>
      </c>
      <c r="X190" s="18">
        <v>-1.16223887351422E-2</v>
      </c>
      <c r="Y190" s="17">
        <v>6389.2272832097497</v>
      </c>
      <c r="Z190" s="18">
        <v>4.7158805532156803E-2</v>
      </c>
      <c r="AA190" s="17">
        <v>7282.3908871951799</v>
      </c>
      <c r="AB190" s="18">
        <v>2.03436850943115E-2</v>
      </c>
      <c r="AC190" s="17">
        <v>3881.2863152172899</v>
      </c>
      <c r="AD190" s="18">
        <v>-2.85577707668936E-2</v>
      </c>
      <c r="AE190" s="17">
        <v>10327.8523383307</v>
      </c>
      <c r="AF190" s="18">
        <v>6.8101304595033205E-2</v>
      </c>
      <c r="AG190" s="17">
        <v>16689.66244964</v>
      </c>
      <c r="AH190" s="18">
        <v>1.8355651318854499E-2</v>
      </c>
      <c r="AI190" s="17">
        <v>6531.3894787580602</v>
      </c>
      <c r="AJ190" s="18">
        <v>-1.57983510660837E-2</v>
      </c>
      <c r="AK190" s="17">
        <v>6491.2167658052103</v>
      </c>
      <c r="AL190" s="18">
        <v>7.2230947466066703E-2</v>
      </c>
      <c r="AM190" s="17">
        <v>36856.103664020702</v>
      </c>
      <c r="AN190" s="18">
        <v>3.2771324367217899E-2</v>
      </c>
      <c r="AO190" s="17">
        <v>12491.281324806499</v>
      </c>
      <c r="AP190" s="18">
        <v>1.2717226252863201E-2</v>
      </c>
      <c r="AQ190" s="17">
        <v>7941.1071254588596</v>
      </c>
      <c r="AR190" s="18">
        <v>1.36635042339375E-2</v>
      </c>
      <c r="AS190" s="17">
        <v>15907.155407894899</v>
      </c>
      <c r="AT190" s="18">
        <v>6.3521240430952405E-2</v>
      </c>
      <c r="AU190" s="17">
        <v>2765.1060515233899</v>
      </c>
      <c r="AV190" s="18">
        <v>0.70267193752651103</v>
      </c>
      <c r="AW190" s="17">
        <v>2582.7577371140601</v>
      </c>
      <c r="AX190" s="18">
        <v>-1.2351722424141299E-2</v>
      </c>
      <c r="AY190" s="17">
        <v>604.64119699550997</v>
      </c>
      <c r="AZ190" s="18">
        <v>-4.2610246236647602E-2</v>
      </c>
      <c r="BA190" s="17">
        <v>4945.10147460809</v>
      </c>
      <c r="BB190" s="18">
        <v>-1.53219616042114E-2</v>
      </c>
      <c r="BC190" s="17">
        <v>9533.9047659010994</v>
      </c>
      <c r="BD190" s="18">
        <v>1.30418407475639E-2</v>
      </c>
      <c r="BE190" s="17">
        <v>-4591.0827852653301</v>
      </c>
      <c r="BF190" s="18">
        <v>4.5221102788662197E-2</v>
      </c>
      <c r="BG190" s="17"/>
      <c r="BH190" s="18"/>
    </row>
    <row r="191" spans="1:60" x14ac:dyDescent="0.2">
      <c r="A191" s="16">
        <v>2024</v>
      </c>
      <c r="B191" s="16">
        <v>4</v>
      </c>
      <c r="C191" s="17">
        <v>203752.64934668699</v>
      </c>
      <c r="D191" s="18">
        <v>1.48941365884769E-2</v>
      </c>
      <c r="E191" s="17">
        <v>198605.19766994001</v>
      </c>
      <c r="F191" s="18">
        <v>1.5361998439225E-2</v>
      </c>
      <c r="G191" s="17">
        <v>1257.6729872814301</v>
      </c>
      <c r="H191" s="18">
        <v>-2.1289538025515899E-2</v>
      </c>
      <c r="I191" s="17">
        <v>164.84398713816699</v>
      </c>
      <c r="J191" s="18">
        <v>2.8881684079959499E-2</v>
      </c>
      <c r="K191" s="17">
        <v>44275.496880022802</v>
      </c>
      <c r="L191" s="18">
        <v>2.37322605206347E-2</v>
      </c>
      <c r="M191" s="17">
        <v>20859.141074775001</v>
      </c>
      <c r="N191" s="18">
        <v>0.162786723286759</v>
      </c>
      <c r="O191" s="17">
        <v>23957.182377696201</v>
      </c>
      <c r="P191" s="18">
        <v>-5.5483089236805103E-2</v>
      </c>
      <c r="Q191" s="17">
        <v>1743.8950994683801</v>
      </c>
      <c r="R191" s="18">
        <v>-0.26236387749701301</v>
      </c>
      <c r="S191" s="17">
        <v>675.99390074318399</v>
      </c>
      <c r="T191" s="18">
        <v>-1.29350888036599E-2</v>
      </c>
      <c r="U191" s="17">
        <v>8304.89194909459</v>
      </c>
      <c r="V191" s="18">
        <v>1.26030005722206E-2</v>
      </c>
      <c r="W191" s="17">
        <v>24925.5642421511</v>
      </c>
      <c r="X191" s="18">
        <v>-1.54435325343905E-3</v>
      </c>
      <c r="Y191" s="17">
        <v>7194.6288335120998</v>
      </c>
      <c r="Z191" s="18">
        <v>4.2804620248841699E-2</v>
      </c>
      <c r="AA191" s="17">
        <v>7441.3745825884198</v>
      </c>
      <c r="AB191" s="18">
        <v>1.9446495171786302E-2</v>
      </c>
      <c r="AC191" s="17">
        <v>3413.48789402897</v>
      </c>
      <c r="AD191" s="18">
        <v>1.29616090146052E-2</v>
      </c>
      <c r="AE191" s="17">
        <v>11163.8603741389</v>
      </c>
      <c r="AF191" s="18">
        <v>4.6664371770070302E-2</v>
      </c>
      <c r="AG191" s="17">
        <v>17024.9617241507</v>
      </c>
      <c r="AH191" s="18">
        <v>3.0976129783382801E-2</v>
      </c>
      <c r="AI191" s="17">
        <v>6878.2535720537599</v>
      </c>
      <c r="AJ191" s="18">
        <v>2.3338659137170901E-2</v>
      </c>
      <c r="AK191" s="17">
        <v>6497.0450750172904</v>
      </c>
      <c r="AL191" s="18">
        <v>5.19615605350294E-2</v>
      </c>
      <c r="AM191" s="17">
        <v>36757.091672805203</v>
      </c>
      <c r="AN191" s="18">
        <v>2.00944349529266E-2</v>
      </c>
      <c r="AO191" s="17">
        <v>12654.932076470101</v>
      </c>
      <c r="AP191" s="18">
        <v>1.50246879909024E-2</v>
      </c>
      <c r="AQ191" s="17">
        <v>8047.3415669293399</v>
      </c>
      <c r="AR191" s="18">
        <v>1.22119119969304E-2</v>
      </c>
      <c r="AS191" s="17">
        <v>15973.883534881699</v>
      </c>
      <c r="AT191" s="18">
        <v>4.4776016748072599E-2</v>
      </c>
      <c r="AU191" s="17">
        <v>2022.3893943880801</v>
      </c>
      <c r="AV191" s="18">
        <v>0.255684379046556</v>
      </c>
      <c r="AW191" s="17">
        <v>2570.80760596146</v>
      </c>
      <c r="AX191" s="18">
        <v>-9.8300931769662592E-3</v>
      </c>
      <c r="AY191" s="17">
        <v>606.399374309275</v>
      </c>
      <c r="AZ191" s="18">
        <v>-3.10641288465432E-2</v>
      </c>
      <c r="BA191" s="17">
        <v>5140.5473260426397</v>
      </c>
      <c r="BB191" s="18">
        <v>-3.69816203950313E-3</v>
      </c>
      <c r="BC191" s="17">
        <v>9747.5920830667492</v>
      </c>
      <c r="BD191" s="18">
        <v>1.24583447288256E-2</v>
      </c>
      <c r="BE191" s="17">
        <v>-4609.8287650173297</v>
      </c>
      <c r="BF191" s="18">
        <v>3.11150344802038E-2</v>
      </c>
      <c r="BG191" s="17"/>
      <c r="BH191" s="18"/>
    </row>
    <row r="192" spans="1:60" x14ac:dyDescent="0.2">
      <c r="A192" s="16">
        <v>2025</v>
      </c>
      <c r="B192" s="16">
        <v>1</v>
      </c>
      <c r="C192" s="17">
        <v>200020.267804242</v>
      </c>
      <c r="D192" s="18">
        <v>2.53840307605506E-2</v>
      </c>
      <c r="E192" s="17">
        <v>195012.07483115399</v>
      </c>
      <c r="F192" s="18">
        <v>2.5255341199973899E-2</v>
      </c>
      <c r="G192" s="17">
        <v>1251.0287353737299</v>
      </c>
      <c r="H192" s="18">
        <v>-2.0537233190458099E-2</v>
      </c>
      <c r="I192" s="17">
        <v>157.200240876858</v>
      </c>
      <c r="J192" s="18">
        <v>7.2412941321939898E-3</v>
      </c>
      <c r="K192" s="17">
        <v>44424.727063181199</v>
      </c>
      <c r="L192" s="18">
        <v>5.3325262859506201E-2</v>
      </c>
      <c r="M192" s="17">
        <v>22724.3157150892</v>
      </c>
      <c r="N192" s="18">
        <v>0.18799181484253</v>
      </c>
      <c r="O192" s="17">
        <v>22667.379447307201</v>
      </c>
      <c r="P192" s="18">
        <v>-3.1973063147034401E-2</v>
      </c>
      <c r="Q192" s="17">
        <v>1675.0219862342601</v>
      </c>
      <c r="R192" s="18">
        <v>-0.15386155609878999</v>
      </c>
      <c r="S192" s="17">
        <v>674.35952619543502</v>
      </c>
      <c r="T192" s="18">
        <v>2.35910014540086E-3</v>
      </c>
      <c r="U192" s="17">
        <v>7965.6465155368696</v>
      </c>
      <c r="V192" s="18">
        <v>1.9077937248766198E-2</v>
      </c>
      <c r="W192" s="17">
        <v>22961.592987356202</v>
      </c>
      <c r="X192" s="18">
        <v>2.6175461282395202E-2</v>
      </c>
      <c r="Y192" s="17">
        <v>6345.0322644694897</v>
      </c>
      <c r="Z192" s="18">
        <v>1.7482518756933001E-2</v>
      </c>
      <c r="AA192" s="17">
        <v>7278.8744546013304</v>
      </c>
      <c r="AB192" s="18">
        <v>8.5251188551924706E-3</v>
      </c>
      <c r="AC192" s="17">
        <v>3472.9809253798398</v>
      </c>
      <c r="AD192" s="18">
        <v>-1.5996941884192501E-2</v>
      </c>
      <c r="AE192" s="17">
        <v>10273.4285200711</v>
      </c>
      <c r="AF192" s="18">
        <v>2.7124956762577299E-2</v>
      </c>
      <c r="AG192" s="17">
        <v>17217.3224022338</v>
      </c>
      <c r="AH192" s="18">
        <v>4.0254903380372298E-2</v>
      </c>
      <c r="AI192" s="17">
        <v>7011.6999513031096</v>
      </c>
      <c r="AJ192" s="18">
        <v>6.09201210888222E-2</v>
      </c>
      <c r="AK192" s="17">
        <v>6453.3192186850101</v>
      </c>
      <c r="AL192" s="18">
        <v>1.9145705074932601E-2</v>
      </c>
      <c r="AM192" s="17">
        <v>36810.653479827801</v>
      </c>
      <c r="AN192" s="18">
        <v>1.9876213782648301E-2</v>
      </c>
      <c r="AO192" s="17">
        <v>12642.309596868399</v>
      </c>
      <c r="AP192" s="18">
        <v>1.5224057100179199E-2</v>
      </c>
      <c r="AQ192" s="17">
        <v>8060.9790915723297</v>
      </c>
      <c r="AR192" s="18">
        <v>1.32104876869918E-2</v>
      </c>
      <c r="AS192" s="17">
        <v>16058.632741393099</v>
      </c>
      <c r="AT192" s="18">
        <v>3.7105103715571901E-2</v>
      </c>
      <c r="AU192" s="17">
        <v>1854.9414350643499</v>
      </c>
      <c r="AV192" s="18">
        <v>-2.3803738182384002E-2</v>
      </c>
      <c r="AW192" s="17">
        <v>2557.0823950162899</v>
      </c>
      <c r="AX192" s="18">
        <v>-1.26940253702595E-2</v>
      </c>
      <c r="AY192" s="17">
        <v>612.29531144076805</v>
      </c>
      <c r="AZ192" s="18">
        <v>-2.9344083285584E-3</v>
      </c>
      <c r="BA192" s="17">
        <v>4999.3874212707497</v>
      </c>
      <c r="BB192" s="18">
        <v>3.0629213737059E-2</v>
      </c>
      <c r="BC192" s="17">
        <v>9594.1984932643009</v>
      </c>
      <c r="BD192" s="18">
        <v>2.31153802853841E-2</v>
      </c>
      <c r="BE192" s="17">
        <v>-4597.5054358100397</v>
      </c>
      <c r="BF192" s="18">
        <v>1.5171607534947101E-2</v>
      </c>
      <c r="BG192" s="17"/>
      <c r="BH192" s="18"/>
    </row>
    <row r="193" spans="1:60" x14ac:dyDescent="0.2">
      <c r="A193" s="16">
        <v>2025</v>
      </c>
      <c r="B193" s="16">
        <v>2</v>
      </c>
      <c r="C193" s="17">
        <v>202074.73632990499</v>
      </c>
      <c r="D193" s="18">
        <v>1.28784689467245E-2</v>
      </c>
      <c r="E193" s="17">
        <v>196971.19417004299</v>
      </c>
      <c r="F193" s="18">
        <v>1.26956321846101E-2</v>
      </c>
      <c r="G193" s="17">
        <v>1244.7297396551</v>
      </c>
      <c r="H193" s="18">
        <v>-2.1431331901271E-2</v>
      </c>
      <c r="I193" s="17">
        <v>169.76039498602401</v>
      </c>
      <c r="J193" s="18">
        <v>-1.38412459715022E-2</v>
      </c>
      <c r="K193" s="17">
        <v>44112.105455181802</v>
      </c>
      <c r="L193" s="18">
        <v>-3.6909636746741401E-3</v>
      </c>
      <c r="M193" s="17">
        <v>21891.013438065202</v>
      </c>
      <c r="N193" s="18">
        <v>7.3255880672090906E-2</v>
      </c>
      <c r="O193" s="17">
        <v>23024.225285141201</v>
      </c>
      <c r="P193" s="18">
        <v>-5.3599574363060197E-2</v>
      </c>
      <c r="Q193" s="17">
        <v>1842.53718441916</v>
      </c>
      <c r="R193" s="18">
        <v>-4.7594939651182701E-2</v>
      </c>
      <c r="S193" s="17">
        <v>673.30254628183297</v>
      </c>
      <c r="T193" s="18">
        <v>8.6473853519439797E-3</v>
      </c>
      <c r="U193" s="17">
        <v>8269.1129735078903</v>
      </c>
      <c r="V193" s="18">
        <v>1.1761704704189101E-2</v>
      </c>
      <c r="W193" s="17">
        <v>24238.5421715712</v>
      </c>
      <c r="X193" s="18">
        <v>4.9789110529916199E-2</v>
      </c>
      <c r="Y193" s="17">
        <v>6614.9687772110001</v>
      </c>
      <c r="Z193" s="18">
        <v>2.6682210364355599E-2</v>
      </c>
      <c r="AA193" s="17">
        <v>7315.8179674145304</v>
      </c>
      <c r="AB193" s="18">
        <v>2.0650285825104302E-2</v>
      </c>
      <c r="AC193" s="17">
        <v>3575.4421069106402</v>
      </c>
      <c r="AD193" s="18">
        <v>1.1775998460856999E-2</v>
      </c>
      <c r="AE193" s="17">
        <v>10219.704263251901</v>
      </c>
      <c r="AF193" s="18">
        <v>1.29414925270057E-2</v>
      </c>
      <c r="AG193" s="17">
        <v>17237.090829093799</v>
      </c>
      <c r="AH193" s="18">
        <v>2.68480919714504E-2</v>
      </c>
      <c r="AI193" s="17">
        <v>7073.2454787219704</v>
      </c>
      <c r="AJ193" s="18">
        <v>5.6615208888653602E-2</v>
      </c>
      <c r="AK193" s="17">
        <v>6420.5463152293896</v>
      </c>
      <c r="AL193" s="18">
        <v>-2.47172098062987E-3</v>
      </c>
      <c r="AM193" s="17">
        <v>36792.454077733797</v>
      </c>
      <c r="AN193" s="18">
        <v>7.8642773365797895E-3</v>
      </c>
      <c r="AO193" s="17">
        <v>12710.4511006719</v>
      </c>
      <c r="AP193" s="18">
        <v>2.4909969921168101E-2</v>
      </c>
      <c r="AQ193" s="17">
        <v>8074.4821350846396</v>
      </c>
      <c r="AR193" s="18">
        <v>1.70555619092576E-2</v>
      </c>
      <c r="AS193" s="17">
        <v>16050.436427406399</v>
      </c>
      <c r="AT193" s="18">
        <v>2.1235323889136098E-2</v>
      </c>
      <c r="AU193" s="17">
        <v>1781.1840341649299</v>
      </c>
      <c r="AV193" s="18">
        <v>-0.25524107526064099</v>
      </c>
      <c r="AW193" s="17">
        <v>2550.4268843736299</v>
      </c>
      <c r="AX193" s="18">
        <v>-5.1057715239424296E-3</v>
      </c>
      <c r="AY193" s="17">
        <v>619.17967081799804</v>
      </c>
      <c r="AZ193" s="18">
        <v>2.02897883928208E-2</v>
      </c>
      <c r="BA193" s="17">
        <v>5094.2437904491599</v>
      </c>
      <c r="BB193" s="18">
        <v>1.98270453053404E-2</v>
      </c>
      <c r="BC193" s="17">
        <v>9684.2325036990896</v>
      </c>
      <c r="BD193" s="18">
        <v>1.39923534031847E-2</v>
      </c>
      <c r="BE193" s="17">
        <v>-4590.4779462311199</v>
      </c>
      <c r="BF193" s="18">
        <v>7.1477777808417499E-3</v>
      </c>
      <c r="BG193" s="17"/>
      <c r="BH193" s="18"/>
    </row>
    <row r="194" spans="1:60" x14ac:dyDescent="0.2">
      <c r="A194" s="16"/>
      <c r="B194" s="16"/>
      <c r="C194" s="17"/>
      <c r="D194" s="18"/>
      <c r="E194" s="17"/>
      <c r="F194" s="18"/>
      <c r="G194" s="17"/>
      <c r="H194" s="18"/>
      <c r="I194" s="17"/>
      <c r="J194" s="18"/>
      <c r="K194" s="17"/>
      <c r="L194" s="18"/>
      <c r="M194" s="17"/>
      <c r="N194" s="18"/>
      <c r="O194" s="17"/>
      <c r="P194" s="18"/>
      <c r="Q194" s="17"/>
      <c r="R194" s="18"/>
      <c r="S194" s="17"/>
      <c r="T194" s="18"/>
      <c r="U194" s="17"/>
      <c r="V194" s="18"/>
      <c r="W194" s="17"/>
      <c r="X194" s="18"/>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K6:AL6"/>
    <mergeCell ref="AK7:AL7"/>
    <mergeCell ref="AK8:AL10"/>
    <mergeCell ref="AI6:AJ6"/>
    <mergeCell ref="AI7:AJ7"/>
    <mergeCell ref="AI8:AJ10"/>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le05"/>
  <dimension ref="A1:BH194"/>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11"/>
      <c r="E1" s="11"/>
      <c r="G1" s="11"/>
      <c r="I1" s="11"/>
      <c r="K1" s="11"/>
      <c r="M1" s="11"/>
      <c r="Q1" s="11"/>
      <c r="S1" s="11"/>
      <c r="U1" s="11"/>
      <c r="W1" s="11"/>
      <c r="Y1" s="11"/>
      <c r="AA1" s="11"/>
      <c r="AG1" s="11"/>
      <c r="AI1" s="11"/>
      <c r="AM1" s="11"/>
      <c r="AO1" s="11"/>
      <c r="AQ1" s="11"/>
      <c r="AS1" s="11"/>
      <c r="AU1" s="11"/>
      <c r="AW1" s="11"/>
    </row>
    <row r="2" spans="1:60" ht="11.25" customHeight="1" x14ac:dyDescent="0.2">
      <c r="A2" s="4" t="str">
        <f ca="1">INDIRECT("beschriftung!"&amp;ADDRESS(beschriftung!$C$1*12+ROW(beschriftung!$A4)-1,COLUMN(beschriftung!A$1)))</f>
        <v>Implicit chain price indexes, year-on-year growth rates</v>
      </c>
      <c r="C2" s="11"/>
      <c r="E2" s="11"/>
      <c r="G2" s="11"/>
      <c r="I2" s="11"/>
      <c r="K2" s="11"/>
      <c r="M2" s="11"/>
      <c r="Q2" s="11"/>
      <c r="S2" s="11"/>
      <c r="U2" s="11"/>
      <c r="W2" s="11"/>
      <c r="Y2" s="11"/>
      <c r="AA2" s="11"/>
      <c r="AG2" s="11"/>
      <c r="AI2" s="11"/>
      <c r="AM2" s="11"/>
      <c r="AO2" s="11"/>
      <c r="AQ2" s="11"/>
      <c r="AS2" s="11"/>
      <c r="AU2" s="11"/>
      <c r="AW2" s="11"/>
    </row>
    <row r="3" spans="1:60" ht="11.25" customHeight="1" x14ac:dyDescent="0.2">
      <c r="C3" s="11"/>
      <c r="E3" s="11"/>
      <c r="G3" s="11"/>
      <c r="I3" s="11"/>
      <c r="K3" s="11"/>
      <c r="M3" s="11"/>
      <c r="Q3" s="11"/>
      <c r="S3" s="11"/>
      <c r="U3" s="11"/>
      <c r="W3" s="11"/>
      <c r="Y3" s="11"/>
      <c r="AA3" s="11"/>
      <c r="AG3" s="11"/>
      <c r="AI3" s="11"/>
      <c r="AM3" s="11"/>
      <c r="AO3" s="11"/>
      <c r="AQ3" s="11"/>
      <c r="AS3" s="11"/>
      <c r="AU3" s="11"/>
      <c r="AW3" s="11"/>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v>1</v>
      </c>
      <c r="C12" s="19">
        <v>55.995715332356397</v>
      </c>
      <c r="D12" s="18"/>
      <c r="E12" s="19"/>
      <c r="F12" s="18"/>
      <c r="G12" s="19"/>
      <c r="H12" s="18"/>
      <c r="I12" s="19"/>
      <c r="J12" s="18"/>
      <c r="K12" s="19"/>
      <c r="L12" s="18"/>
      <c r="M12" s="19"/>
      <c r="N12" s="18"/>
      <c r="O12" s="19"/>
      <c r="P12" s="18"/>
      <c r="Q12" s="19"/>
      <c r="R12" s="18"/>
      <c r="S12" s="19"/>
      <c r="T12" s="18"/>
      <c r="U12" s="19"/>
      <c r="V12" s="18"/>
      <c r="W12" s="19"/>
      <c r="X12" s="18"/>
      <c r="Y12" s="19"/>
      <c r="Z12" s="18"/>
      <c r="AA12" s="19"/>
      <c r="AB12" s="18"/>
      <c r="AC12" s="19"/>
      <c r="AD12" s="18"/>
      <c r="AE12" s="19"/>
      <c r="AF12" s="18"/>
      <c r="AG12" s="19"/>
      <c r="AH12" s="18"/>
      <c r="AI12" s="19"/>
      <c r="AJ12" s="18"/>
      <c r="AK12" s="19"/>
      <c r="AL12" s="18"/>
      <c r="AM12" s="19"/>
      <c r="AN12" s="18"/>
      <c r="AO12" s="19"/>
      <c r="AP12" s="18"/>
      <c r="AQ12" s="19"/>
      <c r="AR12" s="18"/>
      <c r="AS12" s="19"/>
      <c r="AT12" s="18"/>
      <c r="AU12" s="19"/>
      <c r="AV12" s="18"/>
      <c r="AW12" s="19"/>
      <c r="AX12" s="18"/>
      <c r="AY12" s="19"/>
      <c r="AZ12" s="18"/>
      <c r="BA12" s="19"/>
      <c r="BB12" s="18"/>
      <c r="BC12" s="19"/>
      <c r="BD12" s="18"/>
      <c r="BE12" s="19"/>
      <c r="BF12" s="18"/>
      <c r="BG12" s="19"/>
      <c r="BH12" s="18"/>
    </row>
    <row r="13" spans="1:60" x14ac:dyDescent="0.2">
      <c r="A13" s="16">
        <v>1980</v>
      </c>
      <c r="B13" s="16">
        <v>2</v>
      </c>
      <c r="C13" s="19">
        <v>56.314137891584998</v>
      </c>
      <c r="D13" s="18"/>
      <c r="E13" s="19"/>
      <c r="F13" s="18"/>
      <c r="G13" s="19"/>
      <c r="H13" s="18"/>
      <c r="I13" s="19"/>
      <c r="J13" s="18"/>
      <c r="K13" s="19"/>
      <c r="L13" s="18"/>
      <c r="M13" s="19"/>
      <c r="N13" s="18"/>
      <c r="O13" s="19"/>
      <c r="P13" s="18"/>
      <c r="Q13" s="19"/>
      <c r="R13" s="18"/>
      <c r="S13" s="19"/>
      <c r="T13" s="18"/>
      <c r="U13" s="19"/>
      <c r="V13" s="18"/>
      <c r="W13" s="19"/>
      <c r="X13" s="18"/>
      <c r="Y13" s="19"/>
      <c r="Z13" s="18"/>
      <c r="AA13" s="19"/>
      <c r="AB13" s="18"/>
      <c r="AC13" s="19"/>
      <c r="AD13" s="18"/>
      <c r="AE13" s="19"/>
      <c r="AF13" s="18"/>
      <c r="AG13" s="19"/>
      <c r="AH13" s="18"/>
      <c r="AI13" s="19"/>
      <c r="AJ13" s="18"/>
      <c r="AK13" s="19"/>
      <c r="AL13" s="18"/>
      <c r="AM13" s="19"/>
      <c r="AN13" s="18"/>
      <c r="AO13" s="19"/>
      <c r="AP13" s="18"/>
      <c r="AQ13" s="19"/>
      <c r="AR13" s="18"/>
      <c r="AS13" s="19"/>
      <c r="AT13" s="18"/>
      <c r="AU13" s="19"/>
      <c r="AV13" s="18"/>
      <c r="AW13" s="19"/>
      <c r="AX13" s="18"/>
      <c r="AY13" s="19"/>
      <c r="AZ13" s="18"/>
      <c r="BA13" s="19"/>
      <c r="BB13" s="18"/>
      <c r="BC13" s="19"/>
      <c r="BD13" s="18"/>
      <c r="BE13" s="19"/>
      <c r="BF13" s="18"/>
      <c r="BG13" s="19"/>
      <c r="BH13" s="18"/>
    </row>
    <row r="14" spans="1:60" x14ac:dyDescent="0.2">
      <c r="A14" s="16">
        <v>1980</v>
      </c>
      <c r="B14" s="16">
        <v>3</v>
      </c>
      <c r="C14" s="19">
        <v>57.096980183908798</v>
      </c>
      <c r="D14" s="18"/>
      <c r="E14" s="19"/>
      <c r="F14" s="18"/>
      <c r="G14" s="19"/>
      <c r="H14" s="18"/>
      <c r="I14" s="19"/>
      <c r="J14" s="18"/>
      <c r="K14" s="19"/>
      <c r="L14" s="18"/>
      <c r="M14" s="19"/>
      <c r="N14" s="18"/>
      <c r="O14" s="19"/>
      <c r="P14" s="18"/>
      <c r="Q14" s="19"/>
      <c r="R14" s="18"/>
      <c r="S14" s="19"/>
      <c r="T14" s="18"/>
      <c r="U14" s="19"/>
      <c r="V14" s="18"/>
      <c r="W14" s="19"/>
      <c r="X14" s="18"/>
      <c r="Y14" s="19"/>
      <c r="Z14" s="18"/>
      <c r="AA14" s="19"/>
      <c r="AB14" s="18"/>
      <c r="AC14" s="19"/>
      <c r="AD14" s="18"/>
      <c r="AE14" s="19"/>
      <c r="AF14" s="18"/>
      <c r="AG14" s="19"/>
      <c r="AH14" s="18"/>
      <c r="AI14" s="19"/>
      <c r="AJ14" s="18"/>
      <c r="AK14" s="19"/>
      <c r="AL14" s="18"/>
      <c r="AM14" s="19"/>
      <c r="AN14" s="18"/>
      <c r="AO14" s="19"/>
      <c r="AP14" s="18"/>
      <c r="AQ14" s="19"/>
      <c r="AR14" s="18"/>
      <c r="AS14" s="19"/>
      <c r="AT14" s="18"/>
      <c r="AU14" s="19"/>
      <c r="AV14" s="18"/>
      <c r="AW14" s="19"/>
      <c r="AX14" s="18"/>
      <c r="AY14" s="19"/>
      <c r="AZ14" s="18"/>
      <c r="BA14" s="19"/>
      <c r="BB14" s="18"/>
      <c r="BC14" s="19"/>
      <c r="BD14" s="18"/>
      <c r="BE14" s="19"/>
      <c r="BF14" s="18"/>
      <c r="BG14" s="19"/>
      <c r="BH14" s="18"/>
    </row>
    <row r="15" spans="1:60" x14ac:dyDescent="0.2">
      <c r="A15" s="16">
        <v>1980</v>
      </c>
      <c r="B15" s="16">
        <v>4</v>
      </c>
      <c r="C15" s="19">
        <v>57.313436679533901</v>
      </c>
      <c r="D15" s="18"/>
      <c r="E15" s="19"/>
      <c r="F15" s="18"/>
      <c r="G15" s="19"/>
      <c r="H15" s="18"/>
      <c r="I15" s="19"/>
      <c r="J15" s="18"/>
      <c r="K15" s="19"/>
      <c r="L15" s="18"/>
      <c r="M15" s="19"/>
      <c r="N15" s="18"/>
      <c r="O15" s="19"/>
      <c r="P15" s="18"/>
      <c r="Q15" s="19"/>
      <c r="R15" s="18"/>
      <c r="S15" s="19"/>
      <c r="T15" s="18"/>
      <c r="U15" s="19"/>
      <c r="V15" s="18"/>
      <c r="W15" s="19"/>
      <c r="X15" s="18"/>
      <c r="Y15" s="19"/>
      <c r="Z15" s="18"/>
      <c r="AA15" s="19"/>
      <c r="AB15" s="18"/>
      <c r="AC15" s="19"/>
      <c r="AD15" s="18"/>
      <c r="AE15" s="19"/>
      <c r="AF15" s="18"/>
      <c r="AG15" s="19"/>
      <c r="AH15" s="18"/>
      <c r="AI15" s="19"/>
      <c r="AJ15" s="18"/>
      <c r="AK15" s="19"/>
      <c r="AL15" s="18"/>
      <c r="AM15" s="19"/>
      <c r="AN15" s="18"/>
      <c r="AO15" s="19"/>
      <c r="AP15" s="18"/>
      <c r="AQ15" s="19"/>
      <c r="AR15" s="18"/>
      <c r="AS15" s="19"/>
      <c r="AT15" s="18"/>
      <c r="AU15" s="19"/>
      <c r="AV15" s="18"/>
      <c r="AW15" s="19"/>
      <c r="AX15" s="18"/>
      <c r="AY15" s="19"/>
      <c r="AZ15" s="18"/>
      <c r="BA15" s="19"/>
      <c r="BB15" s="18"/>
      <c r="BC15" s="19"/>
      <c r="BD15" s="18"/>
      <c r="BE15" s="19"/>
      <c r="BF15" s="18"/>
      <c r="BG15" s="19"/>
      <c r="BH15" s="18"/>
    </row>
    <row r="16" spans="1:60" x14ac:dyDescent="0.2">
      <c r="A16" s="16">
        <v>1981</v>
      </c>
      <c r="B16" s="16">
        <v>1</v>
      </c>
      <c r="C16" s="19">
        <v>58.744226524787997</v>
      </c>
      <c r="D16" s="18">
        <v>4.9084312542809497E-2</v>
      </c>
      <c r="E16" s="19"/>
      <c r="F16" s="18"/>
      <c r="G16" s="19"/>
      <c r="H16" s="18"/>
      <c r="I16" s="19"/>
      <c r="J16" s="18"/>
      <c r="K16" s="19"/>
      <c r="L16" s="18"/>
      <c r="M16" s="19"/>
      <c r="N16" s="18"/>
      <c r="O16" s="19"/>
      <c r="P16" s="18"/>
      <c r="Q16" s="19"/>
      <c r="R16" s="18"/>
      <c r="S16" s="19"/>
      <c r="T16" s="18"/>
      <c r="U16" s="19"/>
      <c r="V16" s="18"/>
      <c r="W16" s="19"/>
      <c r="X16" s="18"/>
      <c r="Y16" s="19"/>
      <c r="Z16" s="18"/>
      <c r="AA16" s="19"/>
      <c r="AB16" s="18"/>
      <c r="AC16" s="19"/>
      <c r="AD16" s="18"/>
      <c r="AE16" s="19"/>
      <c r="AF16" s="18"/>
      <c r="AG16" s="19"/>
      <c r="AH16" s="18"/>
      <c r="AI16" s="19"/>
      <c r="AJ16" s="18"/>
      <c r="AK16" s="19"/>
      <c r="AL16" s="18"/>
      <c r="AM16" s="19"/>
      <c r="AN16" s="18"/>
      <c r="AO16" s="19"/>
      <c r="AP16" s="18"/>
      <c r="AQ16" s="19"/>
      <c r="AR16" s="18"/>
      <c r="AS16" s="19"/>
      <c r="AT16" s="18"/>
      <c r="AU16" s="19"/>
      <c r="AV16" s="18"/>
      <c r="AW16" s="19"/>
      <c r="AX16" s="18"/>
      <c r="AY16" s="19"/>
      <c r="AZ16" s="18"/>
      <c r="BA16" s="19"/>
      <c r="BB16" s="18"/>
      <c r="BC16" s="19"/>
      <c r="BD16" s="18"/>
      <c r="BE16" s="19"/>
      <c r="BF16" s="18"/>
      <c r="BG16" s="19"/>
      <c r="BH16" s="18"/>
    </row>
    <row r="17" spans="1:60" x14ac:dyDescent="0.2">
      <c r="A17" s="16">
        <v>1981</v>
      </c>
      <c r="B17" s="16">
        <v>2</v>
      </c>
      <c r="C17" s="19">
        <v>59.244674698050297</v>
      </c>
      <c r="D17" s="18">
        <v>5.2039095619417698E-2</v>
      </c>
      <c r="E17" s="19"/>
      <c r="F17" s="18"/>
      <c r="G17" s="19"/>
      <c r="H17" s="18"/>
      <c r="I17" s="19"/>
      <c r="J17" s="18"/>
      <c r="K17" s="19"/>
      <c r="L17" s="18"/>
      <c r="M17" s="19"/>
      <c r="N17" s="18"/>
      <c r="O17" s="19"/>
      <c r="P17" s="18"/>
      <c r="Q17" s="19"/>
      <c r="R17" s="18"/>
      <c r="S17" s="19"/>
      <c r="T17" s="18"/>
      <c r="U17" s="19"/>
      <c r="V17" s="18"/>
      <c r="W17" s="19"/>
      <c r="X17" s="18"/>
      <c r="Y17" s="19"/>
      <c r="Z17" s="18"/>
      <c r="AA17" s="19"/>
      <c r="AB17" s="18"/>
      <c r="AC17" s="19"/>
      <c r="AD17" s="18"/>
      <c r="AE17" s="19"/>
      <c r="AF17" s="18"/>
      <c r="AG17" s="19"/>
      <c r="AH17" s="18"/>
      <c r="AI17" s="19"/>
      <c r="AJ17" s="18"/>
      <c r="AK17" s="19"/>
      <c r="AL17" s="18"/>
      <c r="AM17" s="19"/>
      <c r="AN17" s="18"/>
      <c r="AO17" s="19"/>
      <c r="AP17" s="18"/>
      <c r="AQ17" s="19"/>
      <c r="AR17" s="18"/>
      <c r="AS17" s="19"/>
      <c r="AT17" s="18"/>
      <c r="AU17" s="19"/>
      <c r="AV17" s="18"/>
      <c r="AW17" s="19"/>
      <c r="AX17" s="18"/>
      <c r="AY17" s="19"/>
      <c r="AZ17" s="18"/>
      <c r="BA17" s="19"/>
      <c r="BB17" s="18"/>
      <c r="BC17" s="19"/>
      <c r="BD17" s="18"/>
      <c r="BE17" s="19"/>
      <c r="BF17" s="18"/>
      <c r="BG17" s="19"/>
      <c r="BH17" s="18"/>
    </row>
    <row r="18" spans="1:60" x14ac:dyDescent="0.2">
      <c r="A18" s="16">
        <v>1981</v>
      </c>
      <c r="B18" s="16">
        <v>3</v>
      </c>
      <c r="C18" s="19">
        <v>60.301481888671901</v>
      </c>
      <c r="D18" s="18">
        <v>5.6123838676606801E-2</v>
      </c>
      <c r="E18" s="19"/>
      <c r="F18" s="18"/>
      <c r="G18" s="19"/>
      <c r="H18" s="18"/>
      <c r="I18" s="19"/>
      <c r="J18" s="18"/>
      <c r="K18" s="19"/>
      <c r="L18" s="18"/>
      <c r="M18" s="19"/>
      <c r="N18" s="18"/>
      <c r="O18" s="19"/>
      <c r="P18" s="18"/>
      <c r="Q18" s="19"/>
      <c r="R18" s="18"/>
      <c r="S18" s="19"/>
      <c r="T18" s="18"/>
      <c r="U18" s="19"/>
      <c r="V18" s="18"/>
      <c r="W18" s="19"/>
      <c r="X18" s="18"/>
      <c r="Y18" s="19"/>
      <c r="Z18" s="18"/>
      <c r="AA18" s="19"/>
      <c r="AB18" s="18"/>
      <c r="AC18" s="19"/>
      <c r="AD18" s="18"/>
      <c r="AE18" s="19"/>
      <c r="AF18" s="18"/>
      <c r="AG18" s="19"/>
      <c r="AH18" s="18"/>
      <c r="AI18" s="19"/>
      <c r="AJ18" s="18"/>
      <c r="AK18" s="19"/>
      <c r="AL18" s="18"/>
      <c r="AM18" s="19"/>
      <c r="AN18" s="18"/>
      <c r="AO18" s="19"/>
      <c r="AP18" s="18"/>
      <c r="AQ18" s="19"/>
      <c r="AR18" s="18"/>
      <c r="AS18" s="19"/>
      <c r="AT18" s="18"/>
      <c r="AU18" s="19"/>
      <c r="AV18" s="18"/>
      <c r="AW18" s="19"/>
      <c r="AX18" s="18"/>
      <c r="AY18" s="19"/>
      <c r="AZ18" s="18"/>
      <c r="BA18" s="19"/>
      <c r="BB18" s="18"/>
      <c r="BC18" s="19"/>
      <c r="BD18" s="18"/>
      <c r="BE18" s="19"/>
      <c r="BF18" s="18"/>
      <c r="BG18" s="19"/>
      <c r="BH18" s="18"/>
    </row>
    <row r="19" spans="1:60" x14ac:dyDescent="0.2">
      <c r="A19" s="16">
        <v>1981</v>
      </c>
      <c r="B19" s="16">
        <v>4</v>
      </c>
      <c r="C19" s="19">
        <v>61.2258999770199</v>
      </c>
      <c r="D19" s="18">
        <v>6.8264328997795803E-2</v>
      </c>
      <c r="E19" s="19"/>
      <c r="F19" s="18"/>
      <c r="G19" s="19"/>
      <c r="H19" s="18"/>
      <c r="I19" s="19"/>
      <c r="J19" s="18"/>
      <c r="K19" s="19"/>
      <c r="L19" s="18"/>
      <c r="M19" s="19"/>
      <c r="N19" s="18"/>
      <c r="O19" s="19"/>
      <c r="P19" s="18"/>
      <c r="Q19" s="19"/>
      <c r="R19" s="18"/>
      <c r="S19" s="19"/>
      <c r="T19" s="18"/>
      <c r="U19" s="19"/>
      <c r="V19" s="18"/>
      <c r="W19" s="19"/>
      <c r="X19" s="18"/>
      <c r="Y19" s="19"/>
      <c r="Z19" s="18"/>
      <c r="AA19" s="19"/>
      <c r="AB19" s="18"/>
      <c r="AC19" s="19"/>
      <c r="AD19" s="18"/>
      <c r="AE19" s="19"/>
      <c r="AF19" s="18"/>
      <c r="AG19" s="19"/>
      <c r="AH19" s="18"/>
      <c r="AI19" s="19"/>
      <c r="AJ19" s="18"/>
      <c r="AK19" s="19"/>
      <c r="AL19" s="18"/>
      <c r="AM19" s="19"/>
      <c r="AN19" s="18"/>
      <c r="AO19" s="19"/>
      <c r="AP19" s="18"/>
      <c r="AQ19" s="19"/>
      <c r="AR19" s="18"/>
      <c r="AS19" s="19"/>
      <c r="AT19" s="18"/>
      <c r="AU19" s="19"/>
      <c r="AV19" s="18"/>
      <c r="AW19" s="19"/>
      <c r="AX19" s="18"/>
      <c r="AY19" s="19"/>
      <c r="AZ19" s="18"/>
      <c r="BA19" s="19"/>
      <c r="BB19" s="18"/>
      <c r="BC19" s="19"/>
      <c r="BD19" s="18"/>
      <c r="BE19" s="19"/>
      <c r="BF19" s="18"/>
      <c r="BG19" s="19"/>
      <c r="BH19" s="18"/>
    </row>
    <row r="20" spans="1:60" x14ac:dyDescent="0.2">
      <c r="A20" s="16">
        <v>1982</v>
      </c>
      <c r="B20" s="16">
        <v>1</v>
      </c>
      <c r="C20" s="19">
        <v>62.909002350599302</v>
      </c>
      <c r="D20" s="18">
        <v>7.0896768451856204E-2</v>
      </c>
      <c r="E20" s="19"/>
      <c r="F20" s="18"/>
      <c r="G20" s="19"/>
      <c r="H20" s="18"/>
      <c r="I20" s="19"/>
      <c r="J20" s="18"/>
      <c r="K20" s="19"/>
      <c r="L20" s="18"/>
      <c r="M20" s="19"/>
      <c r="N20" s="18"/>
      <c r="O20" s="19"/>
      <c r="P20" s="18"/>
      <c r="Q20" s="19"/>
      <c r="R20" s="18"/>
      <c r="S20" s="19"/>
      <c r="T20" s="18"/>
      <c r="U20" s="19"/>
      <c r="V20" s="18"/>
      <c r="W20" s="19"/>
      <c r="X20" s="18"/>
      <c r="Y20" s="19"/>
      <c r="Z20" s="18"/>
      <c r="AA20" s="19"/>
      <c r="AB20" s="18"/>
      <c r="AC20" s="19"/>
      <c r="AD20" s="18"/>
      <c r="AE20" s="19"/>
      <c r="AF20" s="18"/>
      <c r="AG20" s="19"/>
      <c r="AH20" s="18"/>
      <c r="AI20" s="19"/>
      <c r="AJ20" s="18"/>
      <c r="AK20" s="19"/>
      <c r="AL20" s="18"/>
      <c r="AM20" s="19"/>
      <c r="AN20" s="18"/>
      <c r="AO20" s="19"/>
      <c r="AP20" s="18"/>
      <c r="AQ20" s="19"/>
      <c r="AR20" s="18"/>
      <c r="AS20" s="19"/>
      <c r="AT20" s="18"/>
      <c r="AU20" s="19"/>
      <c r="AV20" s="18"/>
      <c r="AW20" s="19"/>
      <c r="AX20" s="18"/>
      <c r="AY20" s="19"/>
      <c r="AZ20" s="18"/>
      <c r="BA20" s="19"/>
      <c r="BB20" s="18"/>
      <c r="BC20" s="19"/>
      <c r="BD20" s="18"/>
      <c r="BE20" s="19"/>
      <c r="BF20" s="18"/>
      <c r="BG20" s="19"/>
      <c r="BH20" s="18"/>
    </row>
    <row r="21" spans="1:60" x14ac:dyDescent="0.2">
      <c r="A21" s="16">
        <v>1982</v>
      </c>
      <c r="B21" s="16">
        <v>2</v>
      </c>
      <c r="C21" s="19">
        <v>64.113540915971996</v>
      </c>
      <c r="D21" s="18">
        <v>8.2182343691421994E-2</v>
      </c>
      <c r="E21" s="19"/>
      <c r="F21" s="18"/>
      <c r="G21" s="19"/>
      <c r="H21" s="18"/>
      <c r="I21" s="19"/>
      <c r="J21" s="18"/>
      <c r="K21" s="19"/>
      <c r="L21" s="18"/>
      <c r="M21" s="19"/>
      <c r="N21" s="18"/>
      <c r="O21" s="19"/>
      <c r="P21" s="18"/>
      <c r="Q21" s="19"/>
      <c r="R21" s="18"/>
      <c r="S21" s="19"/>
      <c r="T21" s="18"/>
      <c r="U21" s="19"/>
      <c r="V21" s="18"/>
      <c r="W21" s="19"/>
      <c r="X21" s="18"/>
      <c r="Y21" s="19"/>
      <c r="Z21" s="18"/>
      <c r="AA21" s="19"/>
      <c r="AB21" s="18"/>
      <c r="AC21" s="19"/>
      <c r="AD21" s="18"/>
      <c r="AE21" s="19"/>
      <c r="AF21" s="18"/>
      <c r="AG21" s="19"/>
      <c r="AH21" s="18"/>
      <c r="AI21" s="19"/>
      <c r="AJ21" s="18"/>
      <c r="AK21" s="19"/>
      <c r="AL21" s="18"/>
      <c r="AM21" s="19"/>
      <c r="AN21" s="18"/>
      <c r="AO21" s="19"/>
      <c r="AP21" s="18"/>
      <c r="AQ21" s="19"/>
      <c r="AR21" s="18"/>
      <c r="AS21" s="19"/>
      <c r="AT21" s="18"/>
      <c r="AU21" s="19"/>
      <c r="AV21" s="18"/>
      <c r="AW21" s="19"/>
      <c r="AX21" s="18"/>
      <c r="AY21" s="19"/>
      <c r="AZ21" s="18"/>
      <c r="BA21" s="19"/>
      <c r="BB21" s="18"/>
      <c r="BC21" s="19"/>
      <c r="BD21" s="18"/>
      <c r="BE21" s="19"/>
      <c r="BF21" s="18"/>
      <c r="BG21" s="19"/>
      <c r="BH21" s="18"/>
    </row>
    <row r="22" spans="1:60" x14ac:dyDescent="0.2">
      <c r="A22" s="16">
        <v>1982</v>
      </c>
      <c r="B22" s="16">
        <v>3</v>
      </c>
      <c r="C22" s="19">
        <v>64.971202552662106</v>
      </c>
      <c r="D22" s="18">
        <v>7.74395672831278E-2</v>
      </c>
      <c r="E22" s="19"/>
      <c r="F22" s="18"/>
      <c r="G22" s="19"/>
      <c r="H22" s="18"/>
      <c r="I22" s="19"/>
      <c r="J22" s="18"/>
      <c r="K22" s="19"/>
      <c r="L22" s="18"/>
      <c r="M22" s="19"/>
      <c r="N22" s="18"/>
      <c r="O22" s="19"/>
      <c r="P22" s="18"/>
      <c r="Q22" s="19"/>
      <c r="R22" s="18"/>
      <c r="S22" s="19"/>
      <c r="T22" s="18"/>
      <c r="U22" s="19"/>
      <c r="V22" s="18"/>
      <c r="W22" s="19"/>
      <c r="X22" s="18"/>
      <c r="Y22" s="19"/>
      <c r="Z22" s="18"/>
      <c r="AA22" s="19"/>
      <c r="AB22" s="18"/>
      <c r="AC22" s="19"/>
      <c r="AD22" s="18"/>
      <c r="AE22" s="19"/>
      <c r="AF22" s="18"/>
      <c r="AG22" s="19"/>
      <c r="AH22" s="18"/>
      <c r="AI22" s="19"/>
      <c r="AJ22" s="18"/>
      <c r="AK22" s="19"/>
      <c r="AL22" s="18"/>
      <c r="AM22" s="19"/>
      <c r="AN22" s="18"/>
      <c r="AO22" s="19"/>
      <c r="AP22" s="18"/>
      <c r="AQ22" s="19"/>
      <c r="AR22" s="18"/>
      <c r="AS22" s="19"/>
      <c r="AT22" s="18"/>
      <c r="AU22" s="19"/>
      <c r="AV22" s="18"/>
      <c r="AW22" s="19"/>
      <c r="AX22" s="18"/>
      <c r="AY22" s="19"/>
      <c r="AZ22" s="18"/>
      <c r="BA22" s="19"/>
      <c r="BB22" s="18"/>
      <c r="BC22" s="19"/>
      <c r="BD22" s="18"/>
      <c r="BE22" s="19"/>
      <c r="BF22" s="18"/>
      <c r="BG22" s="19"/>
      <c r="BH22" s="18"/>
    </row>
    <row r="23" spans="1:60" x14ac:dyDescent="0.2">
      <c r="A23" s="16">
        <v>1982</v>
      </c>
      <c r="B23" s="16">
        <v>4</v>
      </c>
      <c r="C23" s="19">
        <v>65.176478233707996</v>
      </c>
      <c r="D23" s="18">
        <v>6.4524625332920596E-2</v>
      </c>
      <c r="E23" s="19"/>
      <c r="F23" s="18"/>
      <c r="G23" s="19"/>
      <c r="H23" s="18"/>
      <c r="I23" s="19"/>
      <c r="J23" s="18"/>
      <c r="K23" s="19"/>
      <c r="L23" s="18"/>
      <c r="M23" s="19"/>
      <c r="N23" s="18"/>
      <c r="O23" s="19"/>
      <c r="P23" s="18"/>
      <c r="Q23" s="19"/>
      <c r="R23" s="18"/>
      <c r="S23" s="19"/>
      <c r="T23" s="18"/>
      <c r="U23" s="19"/>
      <c r="V23" s="18"/>
      <c r="W23" s="19"/>
      <c r="X23" s="18"/>
      <c r="Y23" s="19"/>
      <c r="Z23" s="18"/>
      <c r="AA23" s="19"/>
      <c r="AB23" s="18"/>
      <c r="AC23" s="19"/>
      <c r="AD23" s="18"/>
      <c r="AE23" s="19"/>
      <c r="AF23" s="18"/>
      <c r="AG23" s="19"/>
      <c r="AH23" s="18"/>
      <c r="AI23" s="19"/>
      <c r="AJ23" s="18"/>
      <c r="AK23" s="19"/>
      <c r="AL23" s="18"/>
      <c r="AM23" s="19"/>
      <c r="AN23" s="18"/>
      <c r="AO23" s="19"/>
      <c r="AP23" s="18"/>
      <c r="AQ23" s="19"/>
      <c r="AR23" s="18"/>
      <c r="AS23" s="19"/>
      <c r="AT23" s="18"/>
      <c r="AU23" s="19"/>
      <c r="AV23" s="18"/>
      <c r="AW23" s="19"/>
      <c r="AX23" s="18"/>
      <c r="AY23" s="19"/>
      <c r="AZ23" s="18"/>
      <c r="BA23" s="19"/>
      <c r="BB23" s="18"/>
      <c r="BC23" s="19"/>
      <c r="BD23" s="18"/>
      <c r="BE23" s="19"/>
      <c r="BF23" s="18"/>
      <c r="BG23" s="19"/>
      <c r="BH23" s="18"/>
    </row>
    <row r="24" spans="1:60" x14ac:dyDescent="0.2">
      <c r="A24" s="16">
        <v>1983</v>
      </c>
      <c r="B24" s="16">
        <v>1</v>
      </c>
      <c r="C24" s="19">
        <v>65.581997143598898</v>
      </c>
      <c r="D24" s="18">
        <v>4.24898614367255E-2</v>
      </c>
      <c r="E24" s="19"/>
      <c r="F24" s="18"/>
      <c r="G24" s="19"/>
      <c r="H24" s="18"/>
      <c r="I24" s="19"/>
      <c r="J24" s="18"/>
      <c r="K24" s="19"/>
      <c r="L24" s="18"/>
      <c r="M24" s="19"/>
      <c r="N24" s="18"/>
      <c r="O24" s="19"/>
      <c r="P24" s="18"/>
      <c r="Q24" s="19"/>
      <c r="R24" s="18"/>
      <c r="S24" s="19"/>
      <c r="T24" s="18"/>
      <c r="U24" s="19"/>
      <c r="V24" s="18"/>
      <c r="W24" s="19"/>
      <c r="X24" s="18"/>
      <c r="Y24" s="19"/>
      <c r="Z24" s="18"/>
      <c r="AA24" s="19"/>
      <c r="AB24" s="18"/>
      <c r="AC24" s="19"/>
      <c r="AD24" s="18"/>
      <c r="AE24" s="19"/>
      <c r="AF24" s="18"/>
      <c r="AG24" s="19"/>
      <c r="AH24" s="18"/>
      <c r="AI24" s="19"/>
      <c r="AJ24" s="18"/>
      <c r="AK24" s="19"/>
      <c r="AL24" s="18"/>
      <c r="AM24" s="19"/>
      <c r="AN24" s="18"/>
      <c r="AO24" s="19"/>
      <c r="AP24" s="18"/>
      <c r="AQ24" s="19"/>
      <c r="AR24" s="18"/>
      <c r="AS24" s="19"/>
      <c r="AT24" s="18"/>
      <c r="AU24" s="19"/>
      <c r="AV24" s="18"/>
      <c r="AW24" s="19"/>
      <c r="AX24" s="18"/>
      <c r="AY24" s="19"/>
      <c r="AZ24" s="18"/>
      <c r="BA24" s="19"/>
      <c r="BB24" s="18"/>
      <c r="BC24" s="19"/>
      <c r="BD24" s="18"/>
      <c r="BE24" s="19"/>
      <c r="BF24" s="18"/>
      <c r="BG24" s="19"/>
      <c r="BH24" s="18"/>
    </row>
    <row r="25" spans="1:60" x14ac:dyDescent="0.2">
      <c r="A25" s="16">
        <v>1983</v>
      </c>
      <c r="B25" s="16">
        <v>2</v>
      </c>
      <c r="C25" s="19">
        <v>65.602406648941795</v>
      </c>
      <c r="D25" s="18">
        <v>2.32223288824609E-2</v>
      </c>
      <c r="E25" s="19"/>
      <c r="F25" s="18"/>
      <c r="G25" s="19"/>
      <c r="H25" s="18"/>
      <c r="I25" s="19"/>
      <c r="J25" s="18"/>
      <c r="K25" s="19"/>
      <c r="L25" s="18"/>
      <c r="M25" s="19"/>
      <c r="N25" s="18"/>
      <c r="O25" s="19"/>
      <c r="P25" s="18"/>
      <c r="Q25" s="19"/>
      <c r="R25" s="18"/>
      <c r="S25" s="19"/>
      <c r="T25" s="18"/>
      <c r="U25" s="19"/>
      <c r="V25" s="18"/>
      <c r="W25" s="19"/>
      <c r="X25" s="18"/>
      <c r="Y25" s="19"/>
      <c r="Z25" s="18"/>
      <c r="AA25" s="19"/>
      <c r="AB25" s="18"/>
      <c r="AC25" s="19"/>
      <c r="AD25" s="18"/>
      <c r="AE25" s="19"/>
      <c r="AF25" s="18"/>
      <c r="AG25" s="19"/>
      <c r="AH25" s="18"/>
      <c r="AI25" s="19"/>
      <c r="AJ25" s="18"/>
      <c r="AK25" s="19"/>
      <c r="AL25" s="18"/>
      <c r="AM25" s="19"/>
      <c r="AN25" s="18"/>
      <c r="AO25" s="19"/>
      <c r="AP25" s="18"/>
      <c r="AQ25" s="19"/>
      <c r="AR25" s="18"/>
      <c r="AS25" s="19"/>
      <c r="AT25" s="18"/>
      <c r="AU25" s="19"/>
      <c r="AV25" s="18"/>
      <c r="AW25" s="19"/>
      <c r="AX25" s="18"/>
      <c r="AY25" s="19"/>
      <c r="AZ25" s="18"/>
      <c r="BA25" s="19"/>
      <c r="BB25" s="18"/>
      <c r="BC25" s="19"/>
      <c r="BD25" s="18"/>
      <c r="BE25" s="19"/>
      <c r="BF25" s="18"/>
      <c r="BG25" s="19"/>
      <c r="BH25" s="18"/>
    </row>
    <row r="26" spans="1:60" x14ac:dyDescent="0.2">
      <c r="A26" s="16">
        <v>1983</v>
      </c>
      <c r="B26" s="16">
        <v>3</v>
      </c>
      <c r="C26" s="19">
        <v>65.845568372234595</v>
      </c>
      <c r="D26" s="18">
        <v>1.3457744126928101E-2</v>
      </c>
      <c r="E26" s="19"/>
      <c r="F26" s="18"/>
      <c r="G26" s="19"/>
      <c r="H26" s="18"/>
      <c r="I26" s="19"/>
      <c r="J26" s="18"/>
      <c r="K26" s="19"/>
      <c r="L26" s="18"/>
      <c r="M26" s="19"/>
      <c r="N26" s="18"/>
      <c r="O26" s="19"/>
      <c r="P26" s="18"/>
      <c r="Q26" s="19"/>
      <c r="R26" s="18"/>
      <c r="S26" s="19"/>
      <c r="T26" s="18"/>
      <c r="U26" s="19"/>
      <c r="V26" s="18"/>
      <c r="W26" s="19"/>
      <c r="X26" s="18"/>
      <c r="Y26" s="19"/>
      <c r="Z26" s="18"/>
      <c r="AA26" s="19"/>
      <c r="AB26" s="18"/>
      <c r="AC26" s="19"/>
      <c r="AD26" s="18"/>
      <c r="AE26" s="19"/>
      <c r="AF26" s="18"/>
      <c r="AG26" s="19"/>
      <c r="AH26" s="18"/>
      <c r="AI26" s="19"/>
      <c r="AJ26" s="18"/>
      <c r="AK26" s="19"/>
      <c r="AL26" s="18"/>
      <c r="AM26" s="19"/>
      <c r="AN26" s="18"/>
      <c r="AO26" s="19"/>
      <c r="AP26" s="18"/>
      <c r="AQ26" s="19"/>
      <c r="AR26" s="18"/>
      <c r="AS26" s="19"/>
      <c r="AT26" s="18"/>
      <c r="AU26" s="19"/>
      <c r="AV26" s="18"/>
      <c r="AW26" s="19"/>
      <c r="AX26" s="18"/>
      <c r="AY26" s="19"/>
      <c r="AZ26" s="18"/>
      <c r="BA26" s="19"/>
      <c r="BB26" s="18"/>
      <c r="BC26" s="19"/>
      <c r="BD26" s="18"/>
      <c r="BE26" s="19"/>
      <c r="BF26" s="18"/>
      <c r="BG26" s="19"/>
      <c r="BH26" s="18"/>
    </row>
    <row r="27" spans="1:60" x14ac:dyDescent="0.2">
      <c r="A27" s="16">
        <v>1983</v>
      </c>
      <c r="B27" s="16">
        <v>4</v>
      </c>
      <c r="C27" s="19">
        <v>66.241148734578999</v>
      </c>
      <c r="D27" s="18">
        <v>1.6335195299342201E-2</v>
      </c>
      <c r="E27" s="19"/>
      <c r="F27" s="18"/>
      <c r="G27" s="19"/>
      <c r="H27" s="18"/>
      <c r="I27" s="19"/>
      <c r="J27" s="18"/>
      <c r="K27" s="19"/>
      <c r="L27" s="18"/>
      <c r="M27" s="19"/>
      <c r="N27" s="18"/>
      <c r="O27" s="19"/>
      <c r="P27" s="18"/>
      <c r="Q27" s="19"/>
      <c r="R27" s="18"/>
      <c r="S27" s="19"/>
      <c r="T27" s="18"/>
      <c r="U27" s="19"/>
      <c r="V27" s="18"/>
      <c r="W27" s="19"/>
      <c r="X27" s="18"/>
      <c r="Y27" s="19"/>
      <c r="Z27" s="18"/>
      <c r="AA27" s="19"/>
      <c r="AB27" s="18"/>
      <c r="AC27" s="19"/>
      <c r="AD27" s="18"/>
      <c r="AE27" s="19"/>
      <c r="AF27" s="18"/>
      <c r="AG27" s="19"/>
      <c r="AH27" s="18"/>
      <c r="AI27" s="19"/>
      <c r="AJ27" s="18"/>
      <c r="AK27" s="19"/>
      <c r="AL27" s="18"/>
      <c r="AM27" s="19"/>
      <c r="AN27" s="18"/>
      <c r="AO27" s="19"/>
      <c r="AP27" s="18"/>
      <c r="AQ27" s="19"/>
      <c r="AR27" s="18"/>
      <c r="AS27" s="19"/>
      <c r="AT27" s="18"/>
      <c r="AU27" s="19"/>
      <c r="AV27" s="18"/>
      <c r="AW27" s="19"/>
      <c r="AX27" s="18"/>
      <c r="AY27" s="19"/>
      <c r="AZ27" s="18"/>
      <c r="BA27" s="19"/>
      <c r="BB27" s="18"/>
      <c r="BC27" s="19"/>
      <c r="BD27" s="18"/>
      <c r="BE27" s="19"/>
      <c r="BF27" s="18"/>
      <c r="BG27" s="19"/>
      <c r="BH27" s="18"/>
    </row>
    <row r="28" spans="1:60" x14ac:dyDescent="0.2">
      <c r="A28" s="16">
        <v>1984</v>
      </c>
      <c r="B28" s="16">
        <v>1</v>
      </c>
      <c r="C28" s="19">
        <v>67.748284450912493</v>
      </c>
      <c r="D28" s="18">
        <v>3.3031737392356798E-2</v>
      </c>
      <c r="E28" s="19"/>
      <c r="F28" s="18"/>
      <c r="G28" s="19"/>
      <c r="H28" s="18"/>
      <c r="I28" s="19"/>
      <c r="J28" s="18"/>
      <c r="K28" s="19"/>
      <c r="L28" s="18"/>
      <c r="M28" s="19"/>
      <c r="N28" s="18"/>
      <c r="O28" s="19"/>
      <c r="P28" s="18"/>
      <c r="Q28" s="19"/>
      <c r="R28" s="18"/>
      <c r="S28" s="19"/>
      <c r="T28" s="18"/>
      <c r="U28" s="19"/>
      <c r="V28" s="18"/>
      <c r="W28" s="19"/>
      <c r="X28" s="18"/>
      <c r="Y28" s="19"/>
      <c r="Z28" s="18"/>
      <c r="AA28" s="19"/>
      <c r="AB28" s="18"/>
      <c r="AC28" s="19"/>
      <c r="AD28" s="18"/>
      <c r="AE28" s="19"/>
      <c r="AF28" s="18"/>
      <c r="AG28" s="19"/>
      <c r="AH28" s="18"/>
      <c r="AI28" s="19"/>
      <c r="AJ28" s="18"/>
      <c r="AK28" s="19"/>
      <c r="AL28" s="18"/>
      <c r="AM28" s="19"/>
      <c r="AN28" s="18"/>
      <c r="AO28" s="19"/>
      <c r="AP28" s="18"/>
      <c r="AQ28" s="19"/>
      <c r="AR28" s="18"/>
      <c r="AS28" s="19"/>
      <c r="AT28" s="18"/>
      <c r="AU28" s="19"/>
      <c r="AV28" s="18"/>
      <c r="AW28" s="19"/>
      <c r="AX28" s="18"/>
      <c r="AY28" s="19"/>
      <c r="AZ28" s="18"/>
      <c r="BA28" s="19"/>
      <c r="BB28" s="18"/>
      <c r="BC28" s="19"/>
      <c r="BD28" s="18"/>
      <c r="BE28" s="19"/>
      <c r="BF28" s="18"/>
      <c r="BG28" s="19"/>
      <c r="BH28" s="18"/>
    </row>
    <row r="29" spans="1:60" x14ac:dyDescent="0.2">
      <c r="A29" s="16">
        <v>1984</v>
      </c>
      <c r="B29" s="16">
        <v>2</v>
      </c>
      <c r="C29" s="19">
        <v>68.293994716316007</v>
      </c>
      <c r="D29" s="18">
        <v>4.1028800692902698E-2</v>
      </c>
      <c r="E29" s="19"/>
      <c r="F29" s="18"/>
      <c r="G29" s="19"/>
      <c r="H29" s="18"/>
      <c r="I29" s="19"/>
      <c r="J29" s="18"/>
      <c r="K29" s="19"/>
      <c r="L29" s="18"/>
      <c r="M29" s="19"/>
      <c r="N29" s="18"/>
      <c r="O29" s="19"/>
      <c r="P29" s="18"/>
      <c r="Q29" s="19"/>
      <c r="R29" s="18"/>
      <c r="S29" s="19"/>
      <c r="T29" s="18"/>
      <c r="U29" s="19"/>
      <c r="V29" s="18"/>
      <c r="W29" s="19"/>
      <c r="X29" s="18"/>
      <c r="Y29" s="19"/>
      <c r="Z29" s="18"/>
      <c r="AA29" s="19"/>
      <c r="AB29" s="18"/>
      <c r="AC29" s="19"/>
      <c r="AD29" s="18"/>
      <c r="AE29" s="19"/>
      <c r="AF29" s="18"/>
      <c r="AG29" s="19"/>
      <c r="AH29" s="18"/>
      <c r="AI29" s="19"/>
      <c r="AJ29" s="18"/>
      <c r="AK29" s="19"/>
      <c r="AL29" s="18"/>
      <c r="AM29" s="19"/>
      <c r="AN29" s="18"/>
      <c r="AO29" s="19"/>
      <c r="AP29" s="18"/>
      <c r="AQ29" s="19"/>
      <c r="AR29" s="18"/>
      <c r="AS29" s="19"/>
      <c r="AT29" s="18"/>
      <c r="AU29" s="19"/>
      <c r="AV29" s="18"/>
      <c r="AW29" s="19"/>
      <c r="AX29" s="18"/>
      <c r="AY29" s="19"/>
      <c r="AZ29" s="18"/>
      <c r="BA29" s="19"/>
      <c r="BB29" s="18"/>
      <c r="BC29" s="19"/>
      <c r="BD29" s="18"/>
      <c r="BE29" s="19"/>
      <c r="BF29" s="18"/>
      <c r="BG29" s="19"/>
      <c r="BH29" s="18"/>
    </row>
    <row r="30" spans="1:60" x14ac:dyDescent="0.2">
      <c r="A30" s="16">
        <v>1984</v>
      </c>
      <c r="B30" s="16">
        <v>3</v>
      </c>
      <c r="C30" s="19">
        <v>68.429401464839998</v>
      </c>
      <c r="D30" s="18">
        <v>3.9240804756951901E-2</v>
      </c>
      <c r="E30" s="19"/>
      <c r="F30" s="18"/>
      <c r="G30" s="19"/>
      <c r="H30" s="18"/>
      <c r="I30" s="19"/>
      <c r="J30" s="18"/>
      <c r="K30" s="19"/>
      <c r="L30" s="18"/>
      <c r="M30" s="19"/>
      <c r="N30" s="18"/>
      <c r="O30" s="19"/>
      <c r="P30" s="18"/>
      <c r="Q30" s="19"/>
      <c r="R30" s="18"/>
      <c r="S30" s="19"/>
      <c r="T30" s="18"/>
      <c r="U30" s="19"/>
      <c r="V30" s="18"/>
      <c r="W30" s="19"/>
      <c r="X30" s="18"/>
      <c r="Y30" s="19"/>
      <c r="Z30" s="18"/>
      <c r="AA30" s="19"/>
      <c r="AB30" s="18"/>
      <c r="AC30" s="19"/>
      <c r="AD30" s="18"/>
      <c r="AE30" s="19"/>
      <c r="AF30" s="18"/>
      <c r="AG30" s="19"/>
      <c r="AH30" s="18"/>
      <c r="AI30" s="19"/>
      <c r="AJ30" s="18"/>
      <c r="AK30" s="19"/>
      <c r="AL30" s="18"/>
      <c r="AM30" s="19"/>
      <c r="AN30" s="18"/>
      <c r="AO30" s="19"/>
      <c r="AP30" s="18"/>
      <c r="AQ30" s="19"/>
      <c r="AR30" s="18"/>
      <c r="AS30" s="19"/>
      <c r="AT30" s="18"/>
      <c r="AU30" s="19"/>
      <c r="AV30" s="18"/>
      <c r="AW30" s="19"/>
      <c r="AX30" s="18"/>
      <c r="AY30" s="19"/>
      <c r="AZ30" s="18"/>
      <c r="BA30" s="19"/>
      <c r="BB30" s="18"/>
      <c r="BC30" s="19"/>
      <c r="BD30" s="18"/>
      <c r="BE30" s="19"/>
      <c r="BF30" s="18"/>
      <c r="BG30" s="19"/>
      <c r="BH30" s="18"/>
    </row>
    <row r="31" spans="1:60" x14ac:dyDescent="0.2">
      <c r="A31" s="16">
        <v>1984</v>
      </c>
      <c r="B31" s="16">
        <v>4</v>
      </c>
      <c r="C31" s="19">
        <v>68.6864098769789</v>
      </c>
      <c r="D31" s="18">
        <v>3.6914534079078902E-2</v>
      </c>
      <c r="E31" s="19"/>
      <c r="F31" s="18"/>
      <c r="G31" s="19"/>
      <c r="H31" s="18"/>
      <c r="I31" s="19"/>
      <c r="J31" s="18"/>
      <c r="K31" s="19"/>
      <c r="L31" s="18"/>
      <c r="M31" s="19"/>
      <c r="N31" s="18"/>
      <c r="O31" s="19"/>
      <c r="P31" s="18"/>
      <c r="Q31" s="19"/>
      <c r="R31" s="18"/>
      <c r="S31" s="19"/>
      <c r="T31" s="18"/>
      <c r="U31" s="19"/>
      <c r="V31" s="18"/>
      <c r="W31" s="19"/>
      <c r="X31" s="18"/>
      <c r="Y31" s="19"/>
      <c r="Z31" s="18"/>
      <c r="AA31" s="19"/>
      <c r="AB31" s="18"/>
      <c r="AC31" s="19"/>
      <c r="AD31" s="18"/>
      <c r="AE31" s="19"/>
      <c r="AF31" s="18"/>
      <c r="AG31" s="19"/>
      <c r="AH31" s="18"/>
      <c r="AI31" s="19"/>
      <c r="AJ31" s="18"/>
      <c r="AK31" s="19"/>
      <c r="AL31" s="18"/>
      <c r="AM31" s="19"/>
      <c r="AN31" s="18"/>
      <c r="AO31" s="19"/>
      <c r="AP31" s="18"/>
      <c r="AQ31" s="19"/>
      <c r="AR31" s="18"/>
      <c r="AS31" s="19"/>
      <c r="AT31" s="18"/>
      <c r="AU31" s="19"/>
      <c r="AV31" s="18"/>
      <c r="AW31" s="19"/>
      <c r="AX31" s="18"/>
      <c r="AY31" s="19"/>
      <c r="AZ31" s="18"/>
      <c r="BA31" s="19"/>
      <c r="BB31" s="18"/>
      <c r="BC31" s="19"/>
      <c r="BD31" s="18"/>
      <c r="BE31" s="19"/>
      <c r="BF31" s="18"/>
      <c r="BG31" s="19"/>
      <c r="BH31" s="18"/>
    </row>
    <row r="32" spans="1:60" x14ac:dyDescent="0.2">
      <c r="A32" s="16">
        <v>1985</v>
      </c>
      <c r="B32" s="16">
        <v>1</v>
      </c>
      <c r="C32" s="19">
        <v>69.4121438219005</v>
      </c>
      <c r="D32" s="18">
        <v>2.4559431791863401E-2</v>
      </c>
      <c r="E32" s="19"/>
      <c r="F32" s="18"/>
      <c r="G32" s="19"/>
      <c r="H32" s="18"/>
      <c r="I32" s="19"/>
      <c r="J32" s="18"/>
      <c r="K32" s="19"/>
      <c r="L32" s="18"/>
      <c r="M32" s="19"/>
      <c r="N32" s="18"/>
      <c r="O32" s="19"/>
      <c r="P32" s="18"/>
      <c r="Q32" s="19"/>
      <c r="R32" s="18"/>
      <c r="S32" s="19"/>
      <c r="T32" s="18"/>
      <c r="U32" s="19"/>
      <c r="V32" s="18"/>
      <c r="W32" s="19"/>
      <c r="X32" s="18"/>
      <c r="Y32" s="19"/>
      <c r="Z32" s="18"/>
      <c r="AA32" s="19"/>
      <c r="AB32" s="18"/>
      <c r="AC32" s="19"/>
      <c r="AD32" s="18"/>
      <c r="AE32" s="19"/>
      <c r="AF32" s="18"/>
      <c r="AG32" s="19"/>
      <c r="AH32" s="18"/>
      <c r="AI32" s="19"/>
      <c r="AJ32" s="18"/>
      <c r="AK32" s="19"/>
      <c r="AL32" s="18"/>
      <c r="AM32" s="19"/>
      <c r="AN32" s="18"/>
      <c r="AO32" s="19"/>
      <c r="AP32" s="18"/>
      <c r="AQ32" s="19"/>
      <c r="AR32" s="18"/>
      <c r="AS32" s="19"/>
      <c r="AT32" s="18"/>
      <c r="AU32" s="19"/>
      <c r="AV32" s="18"/>
      <c r="AW32" s="19"/>
      <c r="AX32" s="18"/>
      <c r="AY32" s="19"/>
      <c r="AZ32" s="18"/>
      <c r="BA32" s="19"/>
      <c r="BB32" s="18"/>
      <c r="BC32" s="19"/>
      <c r="BD32" s="18"/>
      <c r="BE32" s="19"/>
      <c r="BF32" s="18"/>
      <c r="BG32" s="19"/>
      <c r="BH32" s="18"/>
    </row>
    <row r="33" spans="1:60" x14ac:dyDescent="0.2">
      <c r="A33" s="16">
        <v>1985</v>
      </c>
      <c r="B33" s="16">
        <v>2</v>
      </c>
      <c r="C33" s="19">
        <v>69.780918233967199</v>
      </c>
      <c r="D33" s="18">
        <v>2.17723904397111E-2</v>
      </c>
      <c r="E33" s="19"/>
      <c r="F33" s="18"/>
      <c r="G33" s="19"/>
      <c r="H33" s="18"/>
      <c r="I33" s="19"/>
      <c r="J33" s="18"/>
      <c r="K33" s="19"/>
      <c r="L33" s="18"/>
      <c r="M33" s="19"/>
      <c r="N33" s="18"/>
      <c r="O33" s="19"/>
      <c r="P33" s="18"/>
      <c r="Q33" s="19"/>
      <c r="R33" s="18"/>
      <c r="S33" s="19"/>
      <c r="T33" s="18"/>
      <c r="U33" s="19"/>
      <c r="V33" s="18"/>
      <c r="W33" s="19"/>
      <c r="X33" s="18"/>
      <c r="Y33" s="19"/>
      <c r="Z33" s="18"/>
      <c r="AA33" s="19"/>
      <c r="AB33" s="18"/>
      <c r="AC33" s="19"/>
      <c r="AD33" s="18"/>
      <c r="AE33" s="19"/>
      <c r="AF33" s="18"/>
      <c r="AG33" s="19"/>
      <c r="AH33" s="18"/>
      <c r="AI33" s="19"/>
      <c r="AJ33" s="18"/>
      <c r="AK33" s="19"/>
      <c r="AL33" s="18"/>
      <c r="AM33" s="19"/>
      <c r="AN33" s="18"/>
      <c r="AO33" s="19"/>
      <c r="AP33" s="18"/>
      <c r="AQ33" s="19"/>
      <c r="AR33" s="18"/>
      <c r="AS33" s="19"/>
      <c r="AT33" s="18"/>
      <c r="AU33" s="19"/>
      <c r="AV33" s="18"/>
      <c r="AW33" s="19"/>
      <c r="AX33" s="18"/>
      <c r="AY33" s="19"/>
      <c r="AZ33" s="18"/>
      <c r="BA33" s="19"/>
      <c r="BB33" s="18"/>
      <c r="BC33" s="19"/>
      <c r="BD33" s="18"/>
      <c r="BE33" s="19"/>
      <c r="BF33" s="18"/>
      <c r="BG33" s="19"/>
      <c r="BH33" s="18"/>
    </row>
    <row r="34" spans="1:60" x14ac:dyDescent="0.2">
      <c r="A34" s="16">
        <v>1985</v>
      </c>
      <c r="B34" s="16">
        <v>3</v>
      </c>
      <c r="C34" s="19">
        <v>70.000065020066799</v>
      </c>
      <c r="D34" s="18">
        <v>2.2953051197354399E-2</v>
      </c>
      <c r="E34" s="19"/>
      <c r="F34" s="18"/>
      <c r="G34" s="19"/>
      <c r="H34" s="18"/>
      <c r="I34" s="19"/>
      <c r="J34" s="18"/>
      <c r="K34" s="19"/>
      <c r="L34" s="18"/>
      <c r="M34" s="19"/>
      <c r="N34" s="18"/>
      <c r="O34" s="19"/>
      <c r="P34" s="18"/>
      <c r="Q34" s="19"/>
      <c r="R34" s="18"/>
      <c r="S34" s="19"/>
      <c r="T34" s="18"/>
      <c r="U34" s="19"/>
      <c r="V34" s="18"/>
      <c r="W34" s="19"/>
      <c r="X34" s="18"/>
      <c r="Y34" s="19"/>
      <c r="Z34" s="18"/>
      <c r="AA34" s="19"/>
      <c r="AB34" s="18"/>
      <c r="AC34" s="19"/>
      <c r="AD34" s="18"/>
      <c r="AE34" s="19"/>
      <c r="AF34" s="18"/>
      <c r="AG34" s="19"/>
      <c r="AH34" s="18"/>
      <c r="AI34" s="19"/>
      <c r="AJ34" s="18"/>
      <c r="AK34" s="19"/>
      <c r="AL34" s="18"/>
      <c r="AM34" s="19"/>
      <c r="AN34" s="18"/>
      <c r="AO34" s="19"/>
      <c r="AP34" s="18"/>
      <c r="AQ34" s="19"/>
      <c r="AR34" s="18"/>
      <c r="AS34" s="19"/>
      <c r="AT34" s="18"/>
      <c r="AU34" s="19"/>
      <c r="AV34" s="18"/>
      <c r="AW34" s="19"/>
      <c r="AX34" s="18"/>
      <c r="AY34" s="19"/>
      <c r="AZ34" s="18"/>
      <c r="BA34" s="19"/>
      <c r="BB34" s="18"/>
      <c r="BC34" s="19"/>
      <c r="BD34" s="18"/>
      <c r="BE34" s="19"/>
      <c r="BF34" s="18"/>
      <c r="BG34" s="19"/>
      <c r="BH34" s="18"/>
    </row>
    <row r="35" spans="1:60" x14ac:dyDescent="0.2">
      <c r="A35" s="16">
        <v>1985</v>
      </c>
      <c r="B35" s="16">
        <v>4</v>
      </c>
      <c r="C35" s="19">
        <v>70.175537968593204</v>
      </c>
      <c r="D35" s="18">
        <v>2.16800979157501E-2</v>
      </c>
      <c r="E35" s="19"/>
      <c r="F35" s="18"/>
      <c r="G35" s="19"/>
      <c r="H35" s="18"/>
      <c r="I35" s="19"/>
      <c r="J35" s="18"/>
      <c r="K35" s="19"/>
      <c r="L35" s="18"/>
      <c r="M35" s="19"/>
      <c r="N35" s="18"/>
      <c r="O35" s="19"/>
      <c r="P35" s="18"/>
      <c r="Q35" s="19"/>
      <c r="R35" s="18"/>
      <c r="S35" s="19"/>
      <c r="T35" s="18"/>
      <c r="U35" s="19"/>
      <c r="V35" s="18"/>
      <c r="W35" s="19"/>
      <c r="X35" s="18"/>
      <c r="Y35" s="19"/>
      <c r="Z35" s="18"/>
      <c r="AA35" s="19"/>
      <c r="AB35" s="18"/>
      <c r="AC35" s="19"/>
      <c r="AD35" s="18"/>
      <c r="AE35" s="19"/>
      <c r="AF35" s="18"/>
      <c r="AG35" s="19"/>
      <c r="AH35" s="18"/>
      <c r="AI35" s="19"/>
      <c r="AJ35" s="18"/>
      <c r="AK35" s="19"/>
      <c r="AL35" s="18"/>
      <c r="AM35" s="19"/>
      <c r="AN35" s="18"/>
      <c r="AO35" s="19"/>
      <c r="AP35" s="18"/>
      <c r="AQ35" s="19"/>
      <c r="AR35" s="18"/>
      <c r="AS35" s="19"/>
      <c r="AT35" s="18"/>
      <c r="AU35" s="19"/>
      <c r="AV35" s="18"/>
      <c r="AW35" s="19"/>
      <c r="AX35" s="18"/>
      <c r="AY35" s="19"/>
      <c r="AZ35" s="18"/>
      <c r="BA35" s="19"/>
      <c r="BB35" s="18"/>
      <c r="BC35" s="19"/>
      <c r="BD35" s="18"/>
      <c r="BE35" s="19"/>
      <c r="BF35" s="18"/>
      <c r="BG35" s="19"/>
      <c r="BH35" s="18"/>
    </row>
    <row r="36" spans="1:60" x14ac:dyDescent="0.2">
      <c r="A36" s="16">
        <v>1986</v>
      </c>
      <c r="B36" s="16">
        <v>1</v>
      </c>
      <c r="C36" s="19">
        <v>71.523933092350504</v>
      </c>
      <c r="D36" s="18">
        <v>3.0423916539280602E-2</v>
      </c>
      <c r="E36" s="19"/>
      <c r="F36" s="18"/>
      <c r="G36" s="19"/>
      <c r="H36" s="18"/>
      <c r="I36" s="19"/>
      <c r="J36" s="18"/>
      <c r="K36" s="19"/>
      <c r="L36" s="18"/>
      <c r="M36" s="19"/>
      <c r="N36" s="18"/>
      <c r="O36" s="19"/>
      <c r="P36" s="18"/>
      <c r="Q36" s="19"/>
      <c r="R36" s="18"/>
      <c r="S36" s="19"/>
      <c r="T36" s="18"/>
      <c r="U36" s="19"/>
      <c r="V36" s="18"/>
      <c r="W36" s="19"/>
      <c r="X36" s="18"/>
      <c r="Y36" s="19"/>
      <c r="Z36" s="18"/>
      <c r="AA36" s="19"/>
      <c r="AB36" s="18"/>
      <c r="AC36" s="19"/>
      <c r="AD36" s="18"/>
      <c r="AE36" s="19"/>
      <c r="AF36" s="18"/>
      <c r="AG36" s="19"/>
      <c r="AH36" s="18"/>
      <c r="AI36" s="19"/>
      <c r="AJ36" s="18"/>
      <c r="AK36" s="19"/>
      <c r="AL36" s="18"/>
      <c r="AM36" s="19"/>
      <c r="AN36" s="18"/>
      <c r="AO36" s="19"/>
      <c r="AP36" s="18"/>
      <c r="AQ36" s="19"/>
      <c r="AR36" s="18"/>
      <c r="AS36" s="19"/>
      <c r="AT36" s="18"/>
      <c r="AU36" s="19"/>
      <c r="AV36" s="18"/>
      <c r="AW36" s="19"/>
      <c r="AX36" s="18"/>
      <c r="AY36" s="19"/>
      <c r="AZ36" s="18"/>
      <c r="BA36" s="19"/>
      <c r="BB36" s="18"/>
      <c r="BC36" s="19"/>
      <c r="BD36" s="18"/>
      <c r="BE36" s="19"/>
      <c r="BF36" s="18"/>
      <c r="BG36" s="19"/>
      <c r="BH36" s="18"/>
    </row>
    <row r="37" spans="1:60" x14ac:dyDescent="0.2">
      <c r="A37" s="16">
        <v>1986</v>
      </c>
      <c r="B37" s="16">
        <v>2</v>
      </c>
      <c r="C37" s="19">
        <v>72.069162369787605</v>
      </c>
      <c r="D37" s="18">
        <v>3.2791831832138497E-2</v>
      </c>
      <c r="E37" s="19"/>
      <c r="F37" s="18"/>
      <c r="G37" s="19"/>
      <c r="H37" s="18"/>
      <c r="I37" s="19"/>
      <c r="J37" s="18"/>
      <c r="K37" s="19"/>
      <c r="L37" s="18"/>
      <c r="M37" s="19"/>
      <c r="N37" s="18"/>
      <c r="O37" s="19"/>
      <c r="P37" s="18"/>
      <c r="Q37" s="19"/>
      <c r="R37" s="18"/>
      <c r="S37" s="19"/>
      <c r="T37" s="18"/>
      <c r="U37" s="19"/>
      <c r="V37" s="18"/>
      <c r="W37" s="19"/>
      <c r="X37" s="18"/>
      <c r="Y37" s="19"/>
      <c r="Z37" s="18"/>
      <c r="AA37" s="19"/>
      <c r="AB37" s="18"/>
      <c r="AC37" s="19"/>
      <c r="AD37" s="18"/>
      <c r="AE37" s="19"/>
      <c r="AF37" s="18"/>
      <c r="AG37" s="19"/>
      <c r="AH37" s="18"/>
      <c r="AI37" s="19"/>
      <c r="AJ37" s="18"/>
      <c r="AK37" s="19"/>
      <c r="AL37" s="18"/>
      <c r="AM37" s="19"/>
      <c r="AN37" s="18"/>
      <c r="AO37" s="19"/>
      <c r="AP37" s="18"/>
      <c r="AQ37" s="19"/>
      <c r="AR37" s="18"/>
      <c r="AS37" s="19"/>
      <c r="AT37" s="18"/>
      <c r="AU37" s="19"/>
      <c r="AV37" s="18"/>
      <c r="AW37" s="19"/>
      <c r="AX37" s="18"/>
      <c r="AY37" s="19"/>
      <c r="AZ37" s="18"/>
      <c r="BA37" s="19"/>
      <c r="BB37" s="18"/>
      <c r="BC37" s="19"/>
      <c r="BD37" s="18"/>
      <c r="BE37" s="19"/>
      <c r="BF37" s="18"/>
      <c r="BG37" s="19"/>
      <c r="BH37" s="18"/>
    </row>
    <row r="38" spans="1:60" x14ac:dyDescent="0.2">
      <c r="A38" s="16">
        <v>1986</v>
      </c>
      <c r="B38" s="16">
        <v>3</v>
      </c>
      <c r="C38" s="19">
        <v>72.243660924419402</v>
      </c>
      <c r="D38" s="18">
        <v>3.2051340291033202E-2</v>
      </c>
      <c r="E38" s="19"/>
      <c r="F38" s="18"/>
      <c r="G38" s="19"/>
      <c r="H38" s="18"/>
      <c r="I38" s="19"/>
      <c r="J38" s="18"/>
      <c r="K38" s="19"/>
      <c r="L38" s="18"/>
      <c r="M38" s="19"/>
      <c r="N38" s="18"/>
      <c r="O38" s="19"/>
      <c r="P38" s="18"/>
      <c r="Q38" s="19"/>
      <c r="R38" s="18"/>
      <c r="S38" s="19"/>
      <c r="T38" s="18"/>
      <c r="U38" s="19"/>
      <c r="V38" s="18"/>
      <c r="W38" s="19"/>
      <c r="X38" s="18"/>
      <c r="Y38" s="19"/>
      <c r="Z38" s="18"/>
      <c r="AA38" s="19"/>
      <c r="AB38" s="18"/>
      <c r="AC38" s="19"/>
      <c r="AD38" s="18"/>
      <c r="AE38" s="19"/>
      <c r="AF38" s="18"/>
      <c r="AG38" s="19"/>
      <c r="AH38" s="18"/>
      <c r="AI38" s="19"/>
      <c r="AJ38" s="18"/>
      <c r="AK38" s="19"/>
      <c r="AL38" s="18"/>
      <c r="AM38" s="19"/>
      <c r="AN38" s="18"/>
      <c r="AO38" s="19"/>
      <c r="AP38" s="18"/>
      <c r="AQ38" s="19"/>
      <c r="AR38" s="18"/>
      <c r="AS38" s="19"/>
      <c r="AT38" s="18"/>
      <c r="AU38" s="19"/>
      <c r="AV38" s="18"/>
      <c r="AW38" s="19"/>
      <c r="AX38" s="18"/>
      <c r="AY38" s="19"/>
      <c r="AZ38" s="18"/>
      <c r="BA38" s="19"/>
      <c r="BB38" s="18"/>
      <c r="BC38" s="19"/>
      <c r="BD38" s="18"/>
      <c r="BE38" s="19"/>
      <c r="BF38" s="18"/>
      <c r="BG38" s="19"/>
      <c r="BH38" s="18"/>
    </row>
    <row r="39" spans="1:60" x14ac:dyDescent="0.2">
      <c r="A39" s="16">
        <v>1986</v>
      </c>
      <c r="B39" s="16">
        <v>4</v>
      </c>
      <c r="C39" s="19">
        <v>72.024062459660996</v>
      </c>
      <c r="D39" s="18">
        <v>2.6341436696860201E-2</v>
      </c>
      <c r="E39" s="19"/>
      <c r="F39" s="18"/>
      <c r="G39" s="19"/>
      <c r="H39" s="18"/>
      <c r="I39" s="19"/>
      <c r="J39" s="18"/>
      <c r="K39" s="19"/>
      <c r="L39" s="18"/>
      <c r="M39" s="19"/>
      <c r="N39" s="18"/>
      <c r="O39" s="19"/>
      <c r="P39" s="18"/>
      <c r="Q39" s="19"/>
      <c r="R39" s="18"/>
      <c r="S39" s="19"/>
      <c r="T39" s="18"/>
      <c r="U39" s="19"/>
      <c r="V39" s="18"/>
      <c r="W39" s="19"/>
      <c r="X39" s="18"/>
      <c r="Y39" s="19"/>
      <c r="Z39" s="18"/>
      <c r="AA39" s="19"/>
      <c r="AB39" s="18"/>
      <c r="AC39" s="19"/>
      <c r="AD39" s="18"/>
      <c r="AE39" s="19"/>
      <c r="AF39" s="18"/>
      <c r="AG39" s="19"/>
      <c r="AH39" s="18"/>
      <c r="AI39" s="19"/>
      <c r="AJ39" s="18"/>
      <c r="AK39" s="19"/>
      <c r="AL39" s="18"/>
      <c r="AM39" s="19"/>
      <c r="AN39" s="18"/>
      <c r="AO39" s="19"/>
      <c r="AP39" s="18"/>
      <c r="AQ39" s="19"/>
      <c r="AR39" s="18"/>
      <c r="AS39" s="19"/>
      <c r="AT39" s="18"/>
      <c r="AU39" s="19"/>
      <c r="AV39" s="18"/>
      <c r="AW39" s="19"/>
      <c r="AX39" s="18"/>
      <c r="AY39" s="19"/>
      <c r="AZ39" s="18"/>
      <c r="BA39" s="19"/>
      <c r="BB39" s="18"/>
      <c r="BC39" s="19"/>
      <c r="BD39" s="18"/>
      <c r="BE39" s="19"/>
      <c r="BF39" s="18"/>
      <c r="BG39" s="19"/>
      <c r="BH39" s="18"/>
    </row>
    <row r="40" spans="1:60" x14ac:dyDescent="0.2">
      <c r="A40" s="16">
        <v>1987</v>
      </c>
      <c r="B40" s="16">
        <v>1</v>
      </c>
      <c r="C40" s="19">
        <v>73.2809793263758</v>
      </c>
      <c r="D40" s="18">
        <v>2.4565850311345099E-2</v>
      </c>
      <c r="E40" s="19"/>
      <c r="F40" s="18"/>
      <c r="G40" s="19"/>
      <c r="H40" s="18"/>
      <c r="I40" s="19"/>
      <c r="J40" s="18"/>
      <c r="K40" s="19"/>
      <c r="L40" s="18"/>
      <c r="M40" s="19"/>
      <c r="N40" s="18"/>
      <c r="O40" s="19"/>
      <c r="P40" s="18"/>
      <c r="Q40" s="19"/>
      <c r="R40" s="18"/>
      <c r="S40" s="19"/>
      <c r="T40" s="18"/>
      <c r="U40" s="19"/>
      <c r="V40" s="18"/>
      <c r="W40" s="19"/>
      <c r="X40" s="18"/>
      <c r="Y40" s="19"/>
      <c r="Z40" s="18"/>
      <c r="AA40" s="19"/>
      <c r="AB40" s="18"/>
      <c r="AC40" s="19"/>
      <c r="AD40" s="18"/>
      <c r="AE40" s="19"/>
      <c r="AF40" s="18"/>
      <c r="AG40" s="19"/>
      <c r="AH40" s="18"/>
      <c r="AI40" s="19"/>
      <c r="AJ40" s="18"/>
      <c r="AK40" s="19"/>
      <c r="AL40" s="18"/>
      <c r="AM40" s="19"/>
      <c r="AN40" s="18"/>
      <c r="AO40" s="19"/>
      <c r="AP40" s="18"/>
      <c r="AQ40" s="19"/>
      <c r="AR40" s="18"/>
      <c r="AS40" s="19"/>
      <c r="AT40" s="18"/>
      <c r="AU40" s="19"/>
      <c r="AV40" s="18"/>
      <c r="AW40" s="19"/>
      <c r="AX40" s="18"/>
      <c r="AY40" s="19"/>
      <c r="AZ40" s="18"/>
      <c r="BA40" s="19"/>
      <c r="BB40" s="18"/>
      <c r="BC40" s="19"/>
      <c r="BD40" s="18"/>
      <c r="BE40" s="19"/>
      <c r="BF40" s="18"/>
      <c r="BG40" s="19"/>
      <c r="BH40" s="18"/>
    </row>
    <row r="41" spans="1:60" x14ac:dyDescent="0.2">
      <c r="A41" s="16">
        <v>1987</v>
      </c>
      <c r="B41" s="16">
        <v>2</v>
      </c>
      <c r="C41" s="19">
        <v>73.355787495315496</v>
      </c>
      <c r="D41" s="18">
        <v>1.7852644365786E-2</v>
      </c>
      <c r="E41" s="19"/>
      <c r="F41" s="18"/>
      <c r="G41" s="19"/>
      <c r="H41" s="18"/>
      <c r="I41" s="19"/>
      <c r="J41" s="18"/>
      <c r="K41" s="19"/>
      <c r="L41" s="18"/>
      <c r="M41" s="19"/>
      <c r="N41" s="18"/>
      <c r="O41" s="19"/>
      <c r="P41" s="18"/>
      <c r="Q41" s="19"/>
      <c r="R41" s="18"/>
      <c r="S41" s="19"/>
      <c r="T41" s="18"/>
      <c r="U41" s="19"/>
      <c r="V41" s="18"/>
      <c r="W41" s="19"/>
      <c r="X41" s="18"/>
      <c r="Y41" s="19"/>
      <c r="Z41" s="18"/>
      <c r="AA41" s="19"/>
      <c r="AB41" s="18"/>
      <c r="AC41" s="19"/>
      <c r="AD41" s="18"/>
      <c r="AE41" s="19"/>
      <c r="AF41" s="18"/>
      <c r="AG41" s="19"/>
      <c r="AH41" s="18"/>
      <c r="AI41" s="19"/>
      <c r="AJ41" s="18"/>
      <c r="AK41" s="19"/>
      <c r="AL41" s="18"/>
      <c r="AM41" s="19"/>
      <c r="AN41" s="18"/>
      <c r="AO41" s="19"/>
      <c r="AP41" s="18"/>
      <c r="AQ41" s="19"/>
      <c r="AR41" s="18"/>
      <c r="AS41" s="19"/>
      <c r="AT41" s="18"/>
      <c r="AU41" s="19"/>
      <c r="AV41" s="18"/>
      <c r="AW41" s="19"/>
      <c r="AX41" s="18"/>
      <c r="AY41" s="19"/>
      <c r="AZ41" s="18"/>
      <c r="BA41" s="19"/>
      <c r="BB41" s="18"/>
      <c r="BC41" s="19"/>
      <c r="BD41" s="18"/>
      <c r="BE41" s="19"/>
      <c r="BF41" s="18"/>
      <c r="BG41" s="19"/>
      <c r="BH41" s="18"/>
    </row>
    <row r="42" spans="1:60" x14ac:dyDescent="0.2">
      <c r="A42" s="16">
        <v>1987</v>
      </c>
      <c r="B42" s="16">
        <v>3</v>
      </c>
      <c r="C42" s="19">
        <v>73.631200272730396</v>
      </c>
      <c r="D42" s="18">
        <v>1.9206381993329701E-2</v>
      </c>
      <c r="E42" s="19"/>
      <c r="F42" s="18"/>
      <c r="G42" s="19"/>
      <c r="H42" s="18"/>
      <c r="I42" s="19"/>
      <c r="J42" s="18"/>
      <c r="K42" s="19"/>
      <c r="L42" s="18"/>
      <c r="M42" s="19"/>
      <c r="N42" s="18"/>
      <c r="O42" s="19"/>
      <c r="P42" s="18"/>
      <c r="Q42" s="19"/>
      <c r="R42" s="18"/>
      <c r="S42" s="19"/>
      <c r="T42" s="18"/>
      <c r="U42" s="19"/>
      <c r="V42" s="18"/>
      <c r="W42" s="19"/>
      <c r="X42" s="18"/>
      <c r="Y42" s="19"/>
      <c r="Z42" s="18"/>
      <c r="AA42" s="19"/>
      <c r="AB42" s="18"/>
      <c r="AC42" s="19"/>
      <c r="AD42" s="18"/>
      <c r="AE42" s="19"/>
      <c r="AF42" s="18"/>
      <c r="AG42" s="19"/>
      <c r="AH42" s="18"/>
      <c r="AI42" s="19"/>
      <c r="AJ42" s="18"/>
      <c r="AK42" s="19"/>
      <c r="AL42" s="18"/>
      <c r="AM42" s="19"/>
      <c r="AN42" s="18"/>
      <c r="AO42" s="19"/>
      <c r="AP42" s="18"/>
      <c r="AQ42" s="19"/>
      <c r="AR42" s="18"/>
      <c r="AS42" s="19"/>
      <c r="AT42" s="18"/>
      <c r="AU42" s="19"/>
      <c r="AV42" s="18"/>
      <c r="AW42" s="19"/>
      <c r="AX42" s="18"/>
      <c r="AY42" s="19"/>
      <c r="AZ42" s="18"/>
      <c r="BA42" s="19"/>
      <c r="BB42" s="18"/>
      <c r="BC42" s="19"/>
      <c r="BD42" s="18"/>
      <c r="BE42" s="19"/>
      <c r="BF42" s="18"/>
      <c r="BG42" s="19"/>
      <c r="BH42" s="18"/>
    </row>
    <row r="43" spans="1:60" x14ac:dyDescent="0.2">
      <c r="A43" s="16">
        <v>1987</v>
      </c>
      <c r="B43" s="16">
        <v>4</v>
      </c>
      <c r="C43" s="19">
        <v>73.894302855480504</v>
      </c>
      <c r="D43" s="18">
        <v>2.5966882899266699E-2</v>
      </c>
      <c r="E43" s="19"/>
      <c r="F43" s="18"/>
      <c r="G43" s="19"/>
      <c r="H43" s="18"/>
      <c r="I43" s="19"/>
      <c r="J43" s="18"/>
      <c r="K43" s="19"/>
      <c r="L43" s="18"/>
      <c r="M43" s="19"/>
      <c r="N43" s="18"/>
      <c r="O43" s="19"/>
      <c r="P43" s="18"/>
      <c r="Q43" s="19"/>
      <c r="R43" s="18"/>
      <c r="S43" s="19"/>
      <c r="T43" s="18"/>
      <c r="U43" s="19"/>
      <c r="V43" s="18"/>
      <c r="W43" s="19"/>
      <c r="X43" s="18"/>
      <c r="Y43" s="19"/>
      <c r="Z43" s="18"/>
      <c r="AA43" s="19"/>
      <c r="AB43" s="18"/>
      <c r="AC43" s="19"/>
      <c r="AD43" s="18"/>
      <c r="AE43" s="19"/>
      <c r="AF43" s="18"/>
      <c r="AG43" s="19"/>
      <c r="AH43" s="18"/>
      <c r="AI43" s="19"/>
      <c r="AJ43" s="18"/>
      <c r="AK43" s="19"/>
      <c r="AL43" s="18"/>
      <c r="AM43" s="19"/>
      <c r="AN43" s="18"/>
      <c r="AO43" s="19"/>
      <c r="AP43" s="18"/>
      <c r="AQ43" s="19"/>
      <c r="AR43" s="18"/>
      <c r="AS43" s="19"/>
      <c r="AT43" s="18"/>
      <c r="AU43" s="19"/>
      <c r="AV43" s="18"/>
      <c r="AW43" s="19"/>
      <c r="AX43" s="18"/>
      <c r="AY43" s="19"/>
      <c r="AZ43" s="18"/>
      <c r="BA43" s="19"/>
      <c r="BB43" s="18"/>
      <c r="BC43" s="19"/>
      <c r="BD43" s="18"/>
      <c r="BE43" s="19"/>
      <c r="BF43" s="18"/>
      <c r="BG43" s="19"/>
      <c r="BH43" s="18"/>
    </row>
    <row r="44" spans="1:60" x14ac:dyDescent="0.2">
      <c r="A44" s="16">
        <v>1988</v>
      </c>
      <c r="B44" s="16">
        <v>1</v>
      </c>
      <c r="C44" s="19">
        <v>74.997736322095307</v>
      </c>
      <c r="D44" s="18">
        <v>2.34270476664005E-2</v>
      </c>
      <c r="E44" s="19"/>
      <c r="F44" s="18"/>
      <c r="G44" s="19"/>
      <c r="H44" s="18"/>
      <c r="I44" s="19"/>
      <c r="J44" s="18"/>
      <c r="K44" s="19"/>
      <c r="L44" s="18"/>
      <c r="M44" s="19"/>
      <c r="N44" s="18"/>
      <c r="O44" s="19"/>
      <c r="P44" s="18"/>
      <c r="Q44" s="19"/>
      <c r="R44" s="18"/>
      <c r="S44" s="19"/>
      <c r="T44" s="18"/>
      <c r="U44" s="19"/>
      <c r="V44" s="18"/>
      <c r="W44" s="19"/>
      <c r="X44" s="18"/>
      <c r="Y44" s="19"/>
      <c r="Z44" s="18"/>
      <c r="AA44" s="19"/>
      <c r="AB44" s="18"/>
      <c r="AC44" s="19"/>
      <c r="AD44" s="18"/>
      <c r="AE44" s="19"/>
      <c r="AF44" s="18"/>
      <c r="AG44" s="19"/>
      <c r="AH44" s="18"/>
      <c r="AI44" s="19"/>
      <c r="AJ44" s="18"/>
      <c r="AK44" s="19"/>
      <c r="AL44" s="18"/>
      <c r="AM44" s="19"/>
      <c r="AN44" s="18"/>
      <c r="AO44" s="19"/>
      <c r="AP44" s="18"/>
      <c r="AQ44" s="19"/>
      <c r="AR44" s="18"/>
      <c r="AS44" s="19"/>
      <c r="AT44" s="18"/>
      <c r="AU44" s="19"/>
      <c r="AV44" s="18"/>
      <c r="AW44" s="19"/>
      <c r="AX44" s="18"/>
      <c r="AY44" s="19"/>
      <c r="AZ44" s="18"/>
      <c r="BA44" s="19"/>
      <c r="BB44" s="18"/>
      <c r="BC44" s="19"/>
      <c r="BD44" s="18"/>
      <c r="BE44" s="19"/>
      <c r="BF44" s="18"/>
      <c r="BG44" s="19"/>
      <c r="BH44" s="18"/>
    </row>
    <row r="45" spans="1:60" x14ac:dyDescent="0.2">
      <c r="A45" s="16">
        <v>1988</v>
      </c>
      <c r="B45" s="16">
        <v>2</v>
      </c>
      <c r="C45" s="19">
        <v>75.416277496007197</v>
      </c>
      <c r="D45" s="18">
        <v>2.8088990263014101E-2</v>
      </c>
      <c r="E45" s="19"/>
      <c r="F45" s="18"/>
      <c r="G45" s="19"/>
      <c r="H45" s="18"/>
      <c r="I45" s="19"/>
      <c r="J45" s="18"/>
      <c r="K45" s="19"/>
      <c r="L45" s="18"/>
      <c r="M45" s="19"/>
      <c r="N45" s="18"/>
      <c r="O45" s="19"/>
      <c r="P45" s="18"/>
      <c r="Q45" s="19"/>
      <c r="R45" s="18"/>
      <c r="S45" s="19"/>
      <c r="T45" s="18"/>
      <c r="U45" s="19"/>
      <c r="V45" s="18"/>
      <c r="W45" s="19"/>
      <c r="X45" s="18"/>
      <c r="Y45" s="19"/>
      <c r="Z45" s="18"/>
      <c r="AA45" s="19"/>
      <c r="AB45" s="18"/>
      <c r="AC45" s="19"/>
      <c r="AD45" s="18"/>
      <c r="AE45" s="19"/>
      <c r="AF45" s="18"/>
      <c r="AG45" s="19"/>
      <c r="AH45" s="18"/>
      <c r="AI45" s="19"/>
      <c r="AJ45" s="18"/>
      <c r="AK45" s="19"/>
      <c r="AL45" s="18"/>
      <c r="AM45" s="19"/>
      <c r="AN45" s="18"/>
      <c r="AO45" s="19"/>
      <c r="AP45" s="18"/>
      <c r="AQ45" s="19"/>
      <c r="AR45" s="18"/>
      <c r="AS45" s="19"/>
      <c r="AT45" s="18"/>
      <c r="AU45" s="19"/>
      <c r="AV45" s="18"/>
      <c r="AW45" s="19"/>
      <c r="AX45" s="18"/>
      <c r="AY45" s="19"/>
      <c r="AZ45" s="18"/>
      <c r="BA45" s="19"/>
      <c r="BB45" s="18"/>
      <c r="BC45" s="19"/>
      <c r="BD45" s="18"/>
      <c r="BE45" s="19"/>
      <c r="BF45" s="18"/>
      <c r="BG45" s="19"/>
      <c r="BH45" s="18"/>
    </row>
    <row r="46" spans="1:60" x14ac:dyDescent="0.2">
      <c r="A46" s="16">
        <v>1988</v>
      </c>
      <c r="B46" s="16">
        <v>3</v>
      </c>
      <c r="C46" s="19">
        <v>75.845909162837998</v>
      </c>
      <c r="D46" s="18">
        <v>3.0078402659529501E-2</v>
      </c>
      <c r="E46" s="19"/>
      <c r="F46" s="18"/>
      <c r="G46" s="19"/>
      <c r="H46" s="18"/>
      <c r="I46" s="19"/>
      <c r="J46" s="18"/>
      <c r="K46" s="19"/>
      <c r="L46" s="18"/>
      <c r="M46" s="19"/>
      <c r="N46" s="18"/>
      <c r="O46" s="19"/>
      <c r="P46" s="18"/>
      <c r="Q46" s="19"/>
      <c r="R46" s="18"/>
      <c r="S46" s="19"/>
      <c r="T46" s="18"/>
      <c r="U46" s="19"/>
      <c r="V46" s="18"/>
      <c r="W46" s="19"/>
      <c r="X46" s="18"/>
      <c r="Y46" s="19"/>
      <c r="Z46" s="18"/>
      <c r="AA46" s="19"/>
      <c r="AB46" s="18"/>
      <c r="AC46" s="19"/>
      <c r="AD46" s="18"/>
      <c r="AE46" s="19"/>
      <c r="AF46" s="18"/>
      <c r="AG46" s="19"/>
      <c r="AH46" s="18"/>
      <c r="AI46" s="19"/>
      <c r="AJ46" s="18"/>
      <c r="AK46" s="19"/>
      <c r="AL46" s="18"/>
      <c r="AM46" s="19"/>
      <c r="AN46" s="18"/>
      <c r="AO46" s="19"/>
      <c r="AP46" s="18"/>
      <c r="AQ46" s="19"/>
      <c r="AR46" s="18"/>
      <c r="AS46" s="19"/>
      <c r="AT46" s="18"/>
      <c r="AU46" s="19"/>
      <c r="AV46" s="18"/>
      <c r="AW46" s="19"/>
      <c r="AX46" s="18"/>
      <c r="AY46" s="19"/>
      <c r="AZ46" s="18"/>
      <c r="BA46" s="19"/>
      <c r="BB46" s="18"/>
      <c r="BC46" s="19"/>
      <c r="BD46" s="18"/>
      <c r="BE46" s="19"/>
      <c r="BF46" s="18"/>
      <c r="BG46" s="19"/>
      <c r="BH46" s="18"/>
    </row>
    <row r="47" spans="1:60" x14ac:dyDescent="0.2">
      <c r="A47" s="16">
        <v>1988</v>
      </c>
      <c r="B47" s="16">
        <v>4</v>
      </c>
      <c r="C47" s="19">
        <v>76.094434900785203</v>
      </c>
      <c r="D47" s="18">
        <v>2.9774041574052199E-2</v>
      </c>
      <c r="E47" s="19"/>
      <c r="F47" s="18"/>
      <c r="G47" s="19"/>
      <c r="H47" s="18"/>
      <c r="I47" s="19"/>
      <c r="J47" s="18"/>
      <c r="K47" s="19"/>
      <c r="L47" s="18"/>
      <c r="M47" s="19"/>
      <c r="N47" s="18"/>
      <c r="O47" s="19"/>
      <c r="P47" s="18"/>
      <c r="Q47" s="19"/>
      <c r="R47" s="18"/>
      <c r="S47" s="19"/>
      <c r="T47" s="18"/>
      <c r="U47" s="19"/>
      <c r="V47" s="18"/>
      <c r="W47" s="19"/>
      <c r="X47" s="18"/>
      <c r="Y47" s="19"/>
      <c r="Z47" s="18"/>
      <c r="AA47" s="19"/>
      <c r="AB47" s="18"/>
      <c r="AC47" s="19"/>
      <c r="AD47" s="18"/>
      <c r="AE47" s="19"/>
      <c r="AF47" s="18"/>
      <c r="AG47" s="19"/>
      <c r="AH47" s="18"/>
      <c r="AI47" s="19"/>
      <c r="AJ47" s="18"/>
      <c r="AK47" s="19"/>
      <c r="AL47" s="18"/>
      <c r="AM47" s="19"/>
      <c r="AN47" s="18"/>
      <c r="AO47" s="19"/>
      <c r="AP47" s="18"/>
      <c r="AQ47" s="19"/>
      <c r="AR47" s="18"/>
      <c r="AS47" s="19"/>
      <c r="AT47" s="18"/>
      <c r="AU47" s="19"/>
      <c r="AV47" s="18"/>
      <c r="AW47" s="19"/>
      <c r="AX47" s="18"/>
      <c r="AY47" s="19"/>
      <c r="AZ47" s="18"/>
      <c r="BA47" s="19"/>
      <c r="BB47" s="18"/>
      <c r="BC47" s="19"/>
      <c r="BD47" s="18"/>
      <c r="BE47" s="19"/>
      <c r="BF47" s="18"/>
      <c r="BG47" s="19"/>
      <c r="BH47" s="18"/>
    </row>
    <row r="48" spans="1:60" x14ac:dyDescent="0.2">
      <c r="A48" s="16">
        <v>1989</v>
      </c>
      <c r="B48" s="16">
        <v>1</v>
      </c>
      <c r="C48" s="19">
        <v>77.453473217052604</v>
      </c>
      <c r="D48" s="18">
        <v>3.2744146895454802E-2</v>
      </c>
      <c r="E48" s="19"/>
      <c r="F48" s="18"/>
      <c r="G48" s="19"/>
      <c r="H48" s="18"/>
      <c r="I48" s="19"/>
      <c r="J48" s="18"/>
      <c r="K48" s="19"/>
      <c r="L48" s="18"/>
      <c r="M48" s="19"/>
      <c r="N48" s="18"/>
      <c r="O48" s="19"/>
      <c r="P48" s="18"/>
      <c r="Q48" s="19"/>
      <c r="R48" s="18"/>
      <c r="S48" s="19"/>
      <c r="T48" s="18"/>
      <c r="U48" s="19"/>
      <c r="V48" s="18"/>
      <c r="W48" s="19"/>
      <c r="X48" s="18"/>
      <c r="Y48" s="19"/>
      <c r="Z48" s="18"/>
      <c r="AA48" s="19"/>
      <c r="AB48" s="18"/>
      <c r="AC48" s="19"/>
      <c r="AD48" s="18"/>
      <c r="AE48" s="19"/>
      <c r="AF48" s="18"/>
      <c r="AG48" s="19"/>
      <c r="AH48" s="18"/>
      <c r="AI48" s="19"/>
      <c r="AJ48" s="18"/>
      <c r="AK48" s="19"/>
      <c r="AL48" s="18"/>
      <c r="AM48" s="19"/>
      <c r="AN48" s="18"/>
      <c r="AO48" s="19"/>
      <c r="AP48" s="18"/>
      <c r="AQ48" s="19"/>
      <c r="AR48" s="18"/>
      <c r="AS48" s="19"/>
      <c r="AT48" s="18"/>
      <c r="AU48" s="19"/>
      <c r="AV48" s="18"/>
      <c r="AW48" s="19"/>
      <c r="AX48" s="18"/>
      <c r="AY48" s="19"/>
      <c r="AZ48" s="18"/>
      <c r="BA48" s="19"/>
      <c r="BB48" s="18"/>
      <c r="BC48" s="19"/>
      <c r="BD48" s="18"/>
      <c r="BE48" s="19"/>
      <c r="BF48" s="18"/>
      <c r="BG48" s="19"/>
      <c r="BH48" s="18"/>
    </row>
    <row r="49" spans="1:60" x14ac:dyDescent="0.2">
      <c r="A49" s="16">
        <v>1989</v>
      </c>
      <c r="B49" s="16">
        <v>2</v>
      </c>
      <c r="C49" s="19">
        <v>78.036342120976698</v>
      </c>
      <c r="D49" s="18">
        <v>3.4741367672360003E-2</v>
      </c>
      <c r="E49" s="19"/>
      <c r="F49" s="18"/>
      <c r="G49" s="19"/>
      <c r="H49" s="18"/>
      <c r="I49" s="19"/>
      <c r="J49" s="18"/>
      <c r="K49" s="19"/>
      <c r="L49" s="18"/>
      <c r="M49" s="19"/>
      <c r="N49" s="18"/>
      <c r="O49" s="19"/>
      <c r="P49" s="18"/>
      <c r="Q49" s="19"/>
      <c r="R49" s="18"/>
      <c r="S49" s="19"/>
      <c r="T49" s="18"/>
      <c r="U49" s="19"/>
      <c r="V49" s="18"/>
      <c r="W49" s="19"/>
      <c r="X49" s="18"/>
      <c r="Y49" s="19"/>
      <c r="Z49" s="18"/>
      <c r="AA49" s="19"/>
      <c r="AB49" s="18"/>
      <c r="AC49" s="19"/>
      <c r="AD49" s="18"/>
      <c r="AE49" s="19"/>
      <c r="AF49" s="18"/>
      <c r="AG49" s="19"/>
      <c r="AH49" s="18"/>
      <c r="AI49" s="19"/>
      <c r="AJ49" s="18"/>
      <c r="AK49" s="19"/>
      <c r="AL49" s="18"/>
      <c r="AM49" s="19"/>
      <c r="AN49" s="18"/>
      <c r="AO49" s="19"/>
      <c r="AP49" s="18"/>
      <c r="AQ49" s="19"/>
      <c r="AR49" s="18"/>
      <c r="AS49" s="19"/>
      <c r="AT49" s="18"/>
      <c r="AU49" s="19"/>
      <c r="AV49" s="18"/>
      <c r="AW49" s="19"/>
      <c r="AX49" s="18"/>
      <c r="AY49" s="19"/>
      <c r="AZ49" s="18"/>
      <c r="BA49" s="19"/>
      <c r="BB49" s="18"/>
      <c r="BC49" s="19"/>
      <c r="BD49" s="18"/>
      <c r="BE49" s="19"/>
      <c r="BF49" s="18"/>
      <c r="BG49" s="19"/>
      <c r="BH49" s="18"/>
    </row>
    <row r="50" spans="1:60" x14ac:dyDescent="0.2">
      <c r="A50" s="16">
        <v>1989</v>
      </c>
      <c r="B50" s="16">
        <v>3</v>
      </c>
      <c r="C50" s="19">
        <v>78.389814900726293</v>
      </c>
      <c r="D50" s="18">
        <v>3.35404475464414E-2</v>
      </c>
      <c r="E50" s="19"/>
      <c r="F50" s="18"/>
      <c r="G50" s="19"/>
      <c r="H50" s="18"/>
      <c r="I50" s="19"/>
      <c r="J50" s="18"/>
      <c r="K50" s="19"/>
      <c r="L50" s="18"/>
      <c r="M50" s="19"/>
      <c r="N50" s="18"/>
      <c r="O50" s="19"/>
      <c r="P50" s="18"/>
      <c r="Q50" s="19"/>
      <c r="R50" s="18"/>
      <c r="S50" s="19"/>
      <c r="T50" s="18"/>
      <c r="U50" s="19"/>
      <c r="V50" s="18"/>
      <c r="W50" s="19"/>
      <c r="X50" s="18"/>
      <c r="Y50" s="19"/>
      <c r="Z50" s="18"/>
      <c r="AA50" s="19"/>
      <c r="AB50" s="18"/>
      <c r="AC50" s="19"/>
      <c r="AD50" s="18"/>
      <c r="AE50" s="19"/>
      <c r="AF50" s="18"/>
      <c r="AG50" s="19"/>
      <c r="AH50" s="18"/>
      <c r="AI50" s="19"/>
      <c r="AJ50" s="18"/>
      <c r="AK50" s="19"/>
      <c r="AL50" s="18"/>
      <c r="AM50" s="19"/>
      <c r="AN50" s="18"/>
      <c r="AO50" s="19"/>
      <c r="AP50" s="18"/>
      <c r="AQ50" s="19"/>
      <c r="AR50" s="18"/>
      <c r="AS50" s="19"/>
      <c r="AT50" s="18"/>
      <c r="AU50" s="19"/>
      <c r="AV50" s="18"/>
      <c r="AW50" s="19"/>
      <c r="AX50" s="18"/>
      <c r="AY50" s="19"/>
      <c r="AZ50" s="18"/>
      <c r="BA50" s="19"/>
      <c r="BB50" s="18"/>
      <c r="BC50" s="19"/>
      <c r="BD50" s="18"/>
      <c r="BE50" s="19"/>
      <c r="BF50" s="18"/>
      <c r="BG50" s="19"/>
      <c r="BH50" s="18"/>
    </row>
    <row r="51" spans="1:60" x14ac:dyDescent="0.2">
      <c r="A51" s="16">
        <v>1989</v>
      </c>
      <c r="B51" s="16">
        <v>4</v>
      </c>
      <c r="C51" s="19">
        <v>78.920076838305604</v>
      </c>
      <c r="D51" s="18">
        <v>3.7133358585349899E-2</v>
      </c>
      <c r="E51" s="19"/>
      <c r="F51" s="18"/>
      <c r="G51" s="19"/>
      <c r="H51" s="18"/>
      <c r="I51" s="19"/>
      <c r="J51" s="18"/>
      <c r="K51" s="19"/>
      <c r="L51" s="18"/>
      <c r="M51" s="19"/>
      <c r="N51" s="18"/>
      <c r="O51" s="19"/>
      <c r="P51" s="18"/>
      <c r="Q51" s="19"/>
      <c r="R51" s="18"/>
      <c r="S51" s="19"/>
      <c r="T51" s="18"/>
      <c r="U51" s="19"/>
      <c r="V51" s="18"/>
      <c r="W51" s="19"/>
      <c r="X51" s="18"/>
      <c r="Y51" s="19"/>
      <c r="Z51" s="18"/>
      <c r="AA51" s="19"/>
      <c r="AB51" s="18"/>
      <c r="AC51" s="19"/>
      <c r="AD51" s="18"/>
      <c r="AE51" s="19"/>
      <c r="AF51" s="18"/>
      <c r="AG51" s="19"/>
      <c r="AH51" s="18"/>
      <c r="AI51" s="19"/>
      <c r="AJ51" s="18"/>
      <c r="AK51" s="19"/>
      <c r="AL51" s="18"/>
      <c r="AM51" s="19"/>
      <c r="AN51" s="18"/>
      <c r="AO51" s="19"/>
      <c r="AP51" s="18"/>
      <c r="AQ51" s="19"/>
      <c r="AR51" s="18"/>
      <c r="AS51" s="19"/>
      <c r="AT51" s="18"/>
      <c r="AU51" s="19"/>
      <c r="AV51" s="18"/>
      <c r="AW51" s="19"/>
      <c r="AX51" s="18"/>
      <c r="AY51" s="19"/>
      <c r="AZ51" s="18"/>
      <c r="BA51" s="19"/>
      <c r="BB51" s="18"/>
      <c r="BC51" s="19"/>
      <c r="BD51" s="18"/>
      <c r="BE51" s="19"/>
      <c r="BF51" s="18"/>
      <c r="BG51" s="19"/>
      <c r="BH51" s="18"/>
    </row>
    <row r="52" spans="1:60" x14ac:dyDescent="0.2">
      <c r="A52" s="16">
        <v>1990</v>
      </c>
      <c r="B52" s="16">
        <v>1</v>
      </c>
      <c r="C52" s="19">
        <v>80.615477105066105</v>
      </c>
      <c r="D52" s="18">
        <v>4.0824559011736199E-2</v>
      </c>
      <c r="E52" s="19">
        <v>80.055145689165997</v>
      </c>
      <c r="F52" s="18"/>
      <c r="G52" s="19">
        <v>152.09007661116499</v>
      </c>
      <c r="H52" s="18"/>
      <c r="I52" s="19">
        <v>69.877109473869496</v>
      </c>
      <c r="J52" s="18"/>
      <c r="K52" s="19">
        <v>103.73030447847199</v>
      </c>
      <c r="L52" s="18"/>
      <c r="M52" s="19">
        <v>216.81419911336101</v>
      </c>
      <c r="N52" s="18"/>
      <c r="O52" s="19">
        <v>79.166132499829999</v>
      </c>
      <c r="P52" s="18"/>
      <c r="Q52" s="19">
        <v>45.352956161438001</v>
      </c>
      <c r="R52" s="18"/>
      <c r="S52" s="19">
        <v>227.6917839175</v>
      </c>
      <c r="T52" s="18"/>
      <c r="U52" s="19">
        <v>77.758419507773894</v>
      </c>
      <c r="V52" s="18"/>
      <c r="W52" s="19">
        <v>91.511528029888595</v>
      </c>
      <c r="X52" s="18"/>
      <c r="Y52" s="19">
        <v>109.075990107347</v>
      </c>
      <c r="Z52" s="18"/>
      <c r="AA52" s="19">
        <v>61.519077786313403</v>
      </c>
      <c r="AB52" s="18"/>
      <c r="AC52" s="19">
        <v>53.288851945656702</v>
      </c>
      <c r="AD52" s="18"/>
      <c r="AE52" s="19">
        <v>96.132531670810295</v>
      </c>
      <c r="AF52" s="18"/>
      <c r="AG52" s="19">
        <v>106.543861554239</v>
      </c>
      <c r="AH52" s="18"/>
      <c r="AI52" s="19">
        <v>75.015819684899498</v>
      </c>
      <c r="AJ52" s="18"/>
      <c r="AK52" s="19">
        <v>182.91146041971899</v>
      </c>
      <c r="AL52" s="18"/>
      <c r="AM52" s="19">
        <v>56.364527045952897</v>
      </c>
      <c r="AN52" s="18"/>
      <c r="AO52" s="19">
        <v>66.229411082552801</v>
      </c>
      <c r="AP52" s="18"/>
      <c r="AQ52" s="19">
        <v>57.144885728742203</v>
      </c>
      <c r="AR52" s="18"/>
      <c r="AS52" s="19">
        <v>68.828716775184901</v>
      </c>
      <c r="AT52" s="18"/>
      <c r="AU52" s="19">
        <v>40.993867433321299</v>
      </c>
      <c r="AV52" s="18"/>
      <c r="AW52" s="19">
        <v>45.616235462397299</v>
      </c>
      <c r="AX52" s="18"/>
      <c r="AY52" s="19">
        <v>70.3773741151374</v>
      </c>
      <c r="AZ52" s="18"/>
      <c r="BA52" s="19">
        <v>98.943472145751997</v>
      </c>
      <c r="BB52" s="18"/>
      <c r="BC52" s="19">
        <v>84.899652166789494</v>
      </c>
      <c r="BD52" s="18"/>
      <c r="BE52" s="19">
        <v>68.128768974233097</v>
      </c>
      <c r="BF52" s="18"/>
      <c r="BG52" s="19"/>
      <c r="BH52" s="18"/>
    </row>
    <row r="53" spans="1:60" x14ac:dyDescent="0.2">
      <c r="A53" s="16">
        <v>1990</v>
      </c>
      <c r="B53" s="16">
        <v>2</v>
      </c>
      <c r="C53" s="19">
        <v>81.4793747494857</v>
      </c>
      <c r="D53" s="18">
        <v>4.4120886947409503E-2</v>
      </c>
      <c r="E53" s="19">
        <v>81.1270969335106</v>
      </c>
      <c r="F53" s="18"/>
      <c r="G53" s="19">
        <v>153.95229359120799</v>
      </c>
      <c r="H53" s="18"/>
      <c r="I53" s="19">
        <v>68.914331997799394</v>
      </c>
      <c r="J53" s="18"/>
      <c r="K53" s="19">
        <v>105.726878501198</v>
      </c>
      <c r="L53" s="18"/>
      <c r="M53" s="19">
        <v>217.01626841527201</v>
      </c>
      <c r="N53" s="18"/>
      <c r="O53" s="19">
        <v>80.970632122829201</v>
      </c>
      <c r="P53" s="18"/>
      <c r="Q53" s="19">
        <v>46.810987111668901</v>
      </c>
      <c r="R53" s="18"/>
      <c r="S53" s="19">
        <v>228.43667574235101</v>
      </c>
      <c r="T53" s="18"/>
      <c r="U53" s="19">
        <v>78.797000506450701</v>
      </c>
      <c r="V53" s="18"/>
      <c r="W53" s="19">
        <v>91.700944722734206</v>
      </c>
      <c r="X53" s="18"/>
      <c r="Y53" s="19">
        <v>109.293852805021</v>
      </c>
      <c r="Z53" s="18"/>
      <c r="AA53" s="19">
        <v>62.7250545589905</v>
      </c>
      <c r="AB53" s="18"/>
      <c r="AC53" s="19">
        <v>54.635427534804101</v>
      </c>
      <c r="AD53" s="18"/>
      <c r="AE53" s="19">
        <v>96.636167141405494</v>
      </c>
      <c r="AF53" s="18"/>
      <c r="AG53" s="19">
        <v>107.269746020209</v>
      </c>
      <c r="AH53" s="18"/>
      <c r="AI53" s="19">
        <v>75.075547299163901</v>
      </c>
      <c r="AJ53" s="18"/>
      <c r="AK53" s="19">
        <v>184.54391732503399</v>
      </c>
      <c r="AL53" s="18"/>
      <c r="AM53" s="19">
        <v>57.246579674825298</v>
      </c>
      <c r="AN53" s="18"/>
      <c r="AO53" s="19">
        <v>67.390773308587001</v>
      </c>
      <c r="AP53" s="18"/>
      <c r="AQ53" s="19">
        <v>57.490056226466798</v>
      </c>
      <c r="AR53" s="18"/>
      <c r="AS53" s="19">
        <v>69.689901437521499</v>
      </c>
      <c r="AT53" s="18"/>
      <c r="AU53" s="19">
        <v>42.096980571200199</v>
      </c>
      <c r="AV53" s="18"/>
      <c r="AW53" s="19">
        <v>47.238787646524898</v>
      </c>
      <c r="AX53" s="18"/>
      <c r="AY53" s="19">
        <v>71.613896770272405</v>
      </c>
      <c r="AZ53" s="18"/>
      <c r="BA53" s="19">
        <v>90.758663393513899</v>
      </c>
      <c r="BB53" s="18"/>
      <c r="BC53" s="19">
        <v>81.456548334393901</v>
      </c>
      <c r="BD53" s="18"/>
      <c r="BE53" s="19">
        <v>68.931942037271298</v>
      </c>
      <c r="BF53" s="18"/>
      <c r="BG53" s="19"/>
      <c r="BH53" s="18"/>
    </row>
    <row r="54" spans="1:60" x14ac:dyDescent="0.2">
      <c r="A54" s="16">
        <v>1990</v>
      </c>
      <c r="B54" s="16">
        <v>3</v>
      </c>
      <c r="C54" s="19">
        <v>82.1454405731902</v>
      </c>
      <c r="D54" s="18">
        <v>4.7909612712060401E-2</v>
      </c>
      <c r="E54" s="19">
        <v>81.6853740283929</v>
      </c>
      <c r="F54" s="18"/>
      <c r="G54" s="19">
        <v>155.39807407741699</v>
      </c>
      <c r="H54" s="18"/>
      <c r="I54" s="19">
        <v>68.136865830912697</v>
      </c>
      <c r="J54" s="18"/>
      <c r="K54" s="19">
        <v>105.69311531109901</v>
      </c>
      <c r="L54" s="18"/>
      <c r="M54" s="19">
        <v>217.80635317712699</v>
      </c>
      <c r="N54" s="18"/>
      <c r="O54" s="19">
        <v>80.887120360899004</v>
      </c>
      <c r="P54" s="18"/>
      <c r="Q54" s="19">
        <v>45.350715420803198</v>
      </c>
      <c r="R54" s="18"/>
      <c r="S54" s="19">
        <v>224.385338054225</v>
      </c>
      <c r="T54" s="18"/>
      <c r="U54" s="19">
        <v>77.732142984682795</v>
      </c>
      <c r="V54" s="18"/>
      <c r="W54" s="19">
        <v>92.357976791533105</v>
      </c>
      <c r="X54" s="18"/>
      <c r="Y54" s="19">
        <v>109.188273567458</v>
      </c>
      <c r="Z54" s="18"/>
      <c r="AA54" s="19">
        <v>63.091723672978297</v>
      </c>
      <c r="AB54" s="18"/>
      <c r="AC54" s="19">
        <v>54.480993049355</v>
      </c>
      <c r="AD54" s="18"/>
      <c r="AE54" s="19">
        <v>97.227405573353707</v>
      </c>
      <c r="AF54" s="18"/>
      <c r="AG54" s="19">
        <v>109.01352655298101</v>
      </c>
      <c r="AH54" s="18"/>
      <c r="AI54" s="19">
        <v>77.600080137338395</v>
      </c>
      <c r="AJ54" s="18"/>
      <c r="AK54" s="19">
        <v>185.09440450106001</v>
      </c>
      <c r="AL54" s="18"/>
      <c r="AM54" s="19">
        <v>58.084972576822203</v>
      </c>
      <c r="AN54" s="18"/>
      <c r="AO54" s="19">
        <v>68.193533961644206</v>
      </c>
      <c r="AP54" s="18"/>
      <c r="AQ54" s="19">
        <v>59.145335537600097</v>
      </c>
      <c r="AR54" s="18"/>
      <c r="AS54" s="19">
        <v>70.929983289035803</v>
      </c>
      <c r="AT54" s="18"/>
      <c r="AU54" s="19">
        <v>42.867058226095402</v>
      </c>
      <c r="AV54" s="18"/>
      <c r="AW54" s="19">
        <v>48.271843213201997</v>
      </c>
      <c r="AX54" s="18"/>
      <c r="AY54" s="19">
        <v>72.921462187740104</v>
      </c>
      <c r="AZ54" s="18"/>
      <c r="BA54" s="19">
        <v>95.892894236023693</v>
      </c>
      <c r="BB54" s="18"/>
      <c r="BC54" s="19">
        <v>84.470817547040298</v>
      </c>
      <c r="BD54" s="18"/>
      <c r="BE54" s="19">
        <v>69.849658365911495</v>
      </c>
      <c r="BF54" s="18"/>
      <c r="BG54" s="19"/>
      <c r="BH54" s="18"/>
    </row>
    <row r="55" spans="1:60" x14ac:dyDescent="0.2">
      <c r="A55" s="16">
        <v>1990</v>
      </c>
      <c r="B55" s="16">
        <v>4</v>
      </c>
      <c r="C55" s="19">
        <v>82.978679994592994</v>
      </c>
      <c r="D55" s="18">
        <v>5.1426751200494399E-2</v>
      </c>
      <c r="E55" s="19">
        <v>82.784680672267299</v>
      </c>
      <c r="F55" s="18"/>
      <c r="G55" s="19">
        <v>154.913960740948</v>
      </c>
      <c r="H55" s="18"/>
      <c r="I55" s="19">
        <v>68.011436013692602</v>
      </c>
      <c r="J55" s="18"/>
      <c r="K55" s="19">
        <v>105.248161067165</v>
      </c>
      <c r="L55" s="18"/>
      <c r="M55" s="19">
        <v>219.62892634758299</v>
      </c>
      <c r="N55" s="18"/>
      <c r="O55" s="19">
        <v>80.344449745987802</v>
      </c>
      <c r="P55" s="18"/>
      <c r="Q55" s="19">
        <v>49.285934259148597</v>
      </c>
      <c r="R55" s="18"/>
      <c r="S55" s="19">
        <v>216.39713369895699</v>
      </c>
      <c r="T55" s="18"/>
      <c r="U55" s="19">
        <v>79.255620626664196</v>
      </c>
      <c r="V55" s="18"/>
      <c r="W55" s="19">
        <v>94.044888819929199</v>
      </c>
      <c r="X55" s="18"/>
      <c r="Y55" s="19">
        <v>110.23546131695799</v>
      </c>
      <c r="Z55" s="18"/>
      <c r="AA55" s="19">
        <v>64.440425514445295</v>
      </c>
      <c r="AB55" s="18"/>
      <c r="AC55" s="19">
        <v>55.706022077123897</v>
      </c>
      <c r="AD55" s="18"/>
      <c r="AE55" s="19">
        <v>97.902271956201503</v>
      </c>
      <c r="AF55" s="18"/>
      <c r="AG55" s="19">
        <v>110.74813627397501</v>
      </c>
      <c r="AH55" s="18"/>
      <c r="AI55" s="19">
        <v>80.711544547793494</v>
      </c>
      <c r="AJ55" s="18"/>
      <c r="AK55" s="19">
        <v>184.58407266743501</v>
      </c>
      <c r="AL55" s="18"/>
      <c r="AM55" s="19">
        <v>59.471988202309703</v>
      </c>
      <c r="AN55" s="18"/>
      <c r="AO55" s="19">
        <v>69.410752123779503</v>
      </c>
      <c r="AP55" s="18"/>
      <c r="AQ55" s="19">
        <v>60.7677970730306</v>
      </c>
      <c r="AR55" s="18"/>
      <c r="AS55" s="19">
        <v>71.191107962195701</v>
      </c>
      <c r="AT55" s="18"/>
      <c r="AU55" s="19">
        <v>43.415412361194598</v>
      </c>
      <c r="AV55" s="18"/>
      <c r="AW55" s="19">
        <v>49.619391951597201</v>
      </c>
      <c r="AX55" s="18"/>
      <c r="AY55" s="19">
        <v>74.387064322737899</v>
      </c>
      <c r="AZ55" s="18"/>
      <c r="BA55" s="19">
        <v>85.556453525004599</v>
      </c>
      <c r="BB55" s="18"/>
      <c r="BC55" s="19">
        <v>79.899563959166201</v>
      </c>
      <c r="BD55" s="18"/>
      <c r="BE55" s="19">
        <v>70.903946020710904</v>
      </c>
      <c r="BF55" s="18"/>
      <c r="BG55" s="19"/>
      <c r="BH55" s="18"/>
    </row>
    <row r="56" spans="1:60" x14ac:dyDescent="0.2">
      <c r="A56" s="16">
        <v>1991</v>
      </c>
      <c r="B56" s="16">
        <v>1</v>
      </c>
      <c r="C56" s="19">
        <v>85.079653733386294</v>
      </c>
      <c r="D56" s="18">
        <v>5.53761732688383E-2</v>
      </c>
      <c r="E56" s="19">
        <v>84.5715016412138</v>
      </c>
      <c r="F56" s="18">
        <v>5.6415560963235099E-2</v>
      </c>
      <c r="G56" s="19">
        <v>153.97531762097799</v>
      </c>
      <c r="H56" s="18">
        <v>1.23955556589843E-2</v>
      </c>
      <c r="I56" s="19">
        <v>75.939957247074801</v>
      </c>
      <c r="J56" s="18">
        <v>8.6764432857265206E-2</v>
      </c>
      <c r="K56" s="19">
        <v>107.182601605513</v>
      </c>
      <c r="L56" s="18">
        <v>3.3281471064777302E-2</v>
      </c>
      <c r="M56" s="19">
        <v>221.49645040611099</v>
      </c>
      <c r="N56" s="18">
        <v>2.1595685669561202E-2</v>
      </c>
      <c r="O56" s="19">
        <v>81.979940826865601</v>
      </c>
      <c r="P56" s="18">
        <v>3.55430818480569E-2</v>
      </c>
      <c r="Q56" s="19">
        <v>51.316208302474898</v>
      </c>
      <c r="R56" s="18">
        <v>0.13148541232483499</v>
      </c>
      <c r="S56" s="19">
        <v>207.79187022337399</v>
      </c>
      <c r="T56" s="18">
        <v>-8.7398470650728102E-2</v>
      </c>
      <c r="U56" s="19">
        <v>82.158151983103394</v>
      </c>
      <c r="V56" s="18">
        <v>5.6582071795963501E-2</v>
      </c>
      <c r="W56" s="19">
        <v>96.477475376835798</v>
      </c>
      <c r="X56" s="18">
        <v>5.4265811683586601E-2</v>
      </c>
      <c r="Y56" s="19">
        <v>113.976467909695</v>
      </c>
      <c r="Z56" s="18">
        <v>4.4927190645033699E-2</v>
      </c>
      <c r="AA56" s="19">
        <v>65.5583391061745</v>
      </c>
      <c r="AB56" s="18">
        <v>6.5658678010282398E-2</v>
      </c>
      <c r="AC56" s="19">
        <v>57.810340242756602</v>
      </c>
      <c r="AD56" s="18">
        <v>8.4848671570384004E-2</v>
      </c>
      <c r="AE56" s="19">
        <v>101.518922218551</v>
      </c>
      <c r="AF56" s="18">
        <v>5.6030882097077198E-2</v>
      </c>
      <c r="AG56" s="19">
        <v>111.01611467535</v>
      </c>
      <c r="AH56" s="18">
        <v>4.19756995463672E-2</v>
      </c>
      <c r="AI56" s="19">
        <v>81.962639440153296</v>
      </c>
      <c r="AJ56" s="18">
        <v>9.2604730367988705E-2</v>
      </c>
      <c r="AK56" s="19">
        <v>183.00949321332001</v>
      </c>
      <c r="AL56" s="18">
        <v>5.3595763423541797E-4</v>
      </c>
      <c r="AM56" s="19">
        <v>60.715118285242802</v>
      </c>
      <c r="AN56" s="18">
        <v>7.7186689347060106E-2</v>
      </c>
      <c r="AO56" s="19">
        <v>71.102158093570594</v>
      </c>
      <c r="AP56" s="18">
        <v>7.3573763247631402E-2</v>
      </c>
      <c r="AQ56" s="19">
        <v>61.146080184089598</v>
      </c>
      <c r="AR56" s="18">
        <v>7.0018417297051896E-2</v>
      </c>
      <c r="AS56" s="19">
        <v>72.416835158359703</v>
      </c>
      <c r="AT56" s="18">
        <v>5.2131124206407503E-2</v>
      </c>
      <c r="AU56" s="19">
        <v>45.023220873993097</v>
      </c>
      <c r="AV56" s="18">
        <v>9.8291615135501498E-2</v>
      </c>
      <c r="AW56" s="19">
        <v>51.741514921916298</v>
      </c>
      <c r="AX56" s="18">
        <v>0.13427849530828201</v>
      </c>
      <c r="AY56" s="19">
        <v>76.032282415527803</v>
      </c>
      <c r="AZ56" s="18">
        <v>8.0351226107682194E-2</v>
      </c>
      <c r="BA56" s="19">
        <v>100.923846672984</v>
      </c>
      <c r="BB56" s="18">
        <v>2.0015211557514099E-2</v>
      </c>
      <c r="BC56" s="19">
        <v>88.030074104224298</v>
      </c>
      <c r="BD56" s="18">
        <v>3.68720231183624E-2</v>
      </c>
      <c r="BE56" s="19">
        <v>72.124607528156403</v>
      </c>
      <c r="BF56" s="18">
        <v>5.8651266037619901E-2</v>
      </c>
      <c r="BG56" s="19"/>
      <c r="BH56" s="18"/>
    </row>
    <row r="57" spans="1:60" x14ac:dyDescent="0.2">
      <c r="A57" s="16">
        <v>1991</v>
      </c>
      <c r="B57" s="16">
        <v>2</v>
      </c>
      <c r="C57" s="19">
        <v>86.110504220326604</v>
      </c>
      <c r="D57" s="18">
        <v>5.6838058528058601E-2</v>
      </c>
      <c r="E57" s="19">
        <v>85.863184804815802</v>
      </c>
      <c r="F57" s="18">
        <v>5.83786188625341E-2</v>
      </c>
      <c r="G57" s="19">
        <v>155.08737994513601</v>
      </c>
      <c r="H57" s="18">
        <v>7.3729746238329098E-3</v>
      </c>
      <c r="I57" s="19">
        <v>74.470655294320494</v>
      </c>
      <c r="J57" s="18">
        <v>8.06265276822027E-2</v>
      </c>
      <c r="K57" s="19">
        <v>109.139448047651</v>
      </c>
      <c r="L57" s="18">
        <v>3.2277218384108498E-2</v>
      </c>
      <c r="M57" s="19">
        <v>220.99874943901099</v>
      </c>
      <c r="N57" s="18">
        <v>1.8351071340504801E-2</v>
      </c>
      <c r="O57" s="19">
        <v>83.810906999697096</v>
      </c>
      <c r="P57" s="18">
        <v>3.50778399822698E-2</v>
      </c>
      <c r="Q57" s="19">
        <v>52.289136421102697</v>
      </c>
      <c r="R57" s="18">
        <v>0.117026998306307</v>
      </c>
      <c r="S57" s="19">
        <v>200.415559355184</v>
      </c>
      <c r="T57" s="18">
        <v>-0.12266470038624901</v>
      </c>
      <c r="U57" s="19">
        <v>82.523380964706107</v>
      </c>
      <c r="V57" s="18">
        <v>4.7290892220579001E-2</v>
      </c>
      <c r="W57" s="19">
        <v>97.246360881613896</v>
      </c>
      <c r="X57" s="18">
        <v>6.0472835646859298E-2</v>
      </c>
      <c r="Y57" s="19">
        <v>113.446645103649</v>
      </c>
      <c r="Z57" s="18">
        <v>3.7996577044791001E-2</v>
      </c>
      <c r="AA57" s="19">
        <v>67.880616582633806</v>
      </c>
      <c r="AB57" s="18">
        <v>8.2193025735748604E-2</v>
      </c>
      <c r="AC57" s="19">
        <v>59.010790855587999</v>
      </c>
      <c r="AD57" s="18">
        <v>8.00828970908425E-2</v>
      </c>
      <c r="AE57" s="19">
        <v>103.65029092011</v>
      </c>
      <c r="AF57" s="18">
        <v>7.2582801927988799E-2</v>
      </c>
      <c r="AG57" s="19">
        <v>110.99547426387799</v>
      </c>
      <c r="AH57" s="18">
        <v>3.4732330241257901E-2</v>
      </c>
      <c r="AI57" s="19">
        <v>82.969434008500201</v>
      </c>
      <c r="AJ57" s="18">
        <v>0.105145909597974</v>
      </c>
      <c r="AK57" s="19">
        <v>180.90795983161701</v>
      </c>
      <c r="AL57" s="18">
        <v>-1.9702396839302399E-2</v>
      </c>
      <c r="AM57" s="19">
        <v>62.2001658637733</v>
      </c>
      <c r="AN57" s="18">
        <v>8.6530692612302798E-2</v>
      </c>
      <c r="AO57" s="19">
        <v>72.457371687441395</v>
      </c>
      <c r="AP57" s="18">
        <v>7.5182374828288503E-2</v>
      </c>
      <c r="AQ57" s="19">
        <v>61.021432089248002</v>
      </c>
      <c r="AR57" s="18">
        <v>6.1425855088231798E-2</v>
      </c>
      <c r="AS57" s="19">
        <v>74.429867531438603</v>
      </c>
      <c r="AT57" s="18">
        <v>6.8015106868339198E-2</v>
      </c>
      <c r="AU57" s="19">
        <v>48.682717831250699</v>
      </c>
      <c r="AV57" s="18">
        <v>0.156442033863017</v>
      </c>
      <c r="AW57" s="19">
        <v>53.7896601621879</v>
      </c>
      <c r="AX57" s="18">
        <v>0.138675712100858</v>
      </c>
      <c r="AY57" s="19">
        <v>77.686739571981803</v>
      </c>
      <c r="AZ57" s="18">
        <v>8.4799781545057601E-2</v>
      </c>
      <c r="BA57" s="19">
        <v>90.076437951250895</v>
      </c>
      <c r="BB57" s="18">
        <v>-7.5169181294020299E-3</v>
      </c>
      <c r="BC57" s="19">
        <v>83.718288732552196</v>
      </c>
      <c r="BD57" s="18">
        <v>2.7766219467997701E-2</v>
      </c>
      <c r="BE57" s="19">
        <v>73.296275992495794</v>
      </c>
      <c r="BF57" s="18">
        <v>6.3313666005009303E-2</v>
      </c>
      <c r="BG57" s="19"/>
      <c r="BH57" s="18"/>
    </row>
    <row r="58" spans="1:60" x14ac:dyDescent="0.2">
      <c r="A58" s="16">
        <v>1991</v>
      </c>
      <c r="B58" s="16">
        <v>3</v>
      </c>
      <c r="C58" s="19">
        <v>86.780910131921999</v>
      </c>
      <c r="D58" s="18">
        <v>5.6430028573547703E-2</v>
      </c>
      <c r="E58" s="19">
        <v>86.394982481872503</v>
      </c>
      <c r="F58" s="18">
        <v>5.7655467817808101E-2</v>
      </c>
      <c r="G58" s="19">
        <v>152.07535656348901</v>
      </c>
      <c r="H58" s="18">
        <v>-2.1381973577567201E-2</v>
      </c>
      <c r="I58" s="19">
        <v>73.335904581443799</v>
      </c>
      <c r="J58" s="18">
        <v>7.6302874914043306E-2</v>
      </c>
      <c r="K58" s="19">
        <v>109.457538265312</v>
      </c>
      <c r="L58" s="18">
        <v>3.5616538912045699E-2</v>
      </c>
      <c r="M58" s="19">
        <v>220.28248921315799</v>
      </c>
      <c r="N58" s="18">
        <v>1.13685207061778E-2</v>
      </c>
      <c r="O58" s="19">
        <v>84.173749268630004</v>
      </c>
      <c r="P58" s="18">
        <v>4.0632289702821102E-2</v>
      </c>
      <c r="Q58" s="19">
        <v>52.378829667188803</v>
      </c>
      <c r="R58" s="18">
        <v>0.15497251104359899</v>
      </c>
      <c r="S58" s="19">
        <v>192.93648175224399</v>
      </c>
      <c r="T58" s="18">
        <v>-0.14015557600462</v>
      </c>
      <c r="U58" s="19">
        <v>80.910882216196498</v>
      </c>
      <c r="V58" s="18">
        <v>4.0893497972133798E-2</v>
      </c>
      <c r="W58" s="19">
        <v>97.527348070419706</v>
      </c>
      <c r="X58" s="18">
        <v>5.5971032047992003E-2</v>
      </c>
      <c r="Y58" s="19">
        <v>112.39002838701199</v>
      </c>
      <c r="Z58" s="18">
        <v>2.9323247954604802E-2</v>
      </c>
      <c r="AA58" s="19">
        <v>68.654327652661905</v>
      </c>
      <c r="AB58" s="18">
        <v>8.8166936261182105E-2</v>
      </c>
      <c r="AC58" s="19">
        <v>58.796508186228898</v>
      </c>
      <c r="AD58" s="18">
        <v>7.9211389061216497E-2</v>
      </c>
      <c r="AE58" s="19">
        <v>104.22425304204</v>
      </c>
      <c r="AF58" s="18">
        <v>7.1963737255202706E-2</v>
      </c>
      <c r="AG58" s="19">
        <v>111.050651495251</v>
      </c>
      <c r="AH58" s="18">
        <v>1.8686900668974001E-2</v>
      </c>
      <c r="AI58" s="19">
        <v>84.7358795708912</v>
      </c>
      <c r="AJ58" s="18">
        <v>9.1956083304601102E-2</v>
      </c>
      <c r="AK58" s="19">
        <v>178.24065834081</v>
      </c>
      <c r="AL58" s="18">
        <v>-3.70283811589305E-2</v>
      </c>
      <c r="AM58" s="19">
        <v>63.307095718681097</v>
      </c>
      <c r="AN58" s="18">
        <v>8.9904891234169101E-2</v>
      </c>
      <c r="AO58" s="19">
        <v>73.416331557769396</v>
      </c>
      <c r="AP58" s="18">
        <v>7.6587871205835698E-2</v>
      </c>
      <c r="AQ58" s="19">
        <v>62.141331049913902</v>
      </c>
      <c r="AR58" s="18">
        <v>5.0654806251105203E-2</v>
      </c>
      <c r="AS58" s="19">
        <v>77.250049864261896</v>
      </c>
      <c r="AT58" s="18">
        <v>8.9102891078829405E-2</v>
      </c>
      <c r="AU58" s="19">
        <v>50.604918930615902</v>
      </c>
      <c r="AV58" s="18">
        <v>0.180508320951451</v>
      </c>
      <c r="AW58" s="19">
        <v>54.750820449210202</v>
      </c>
      <c r="AX58" s="18">
        <v>0.13421855899292201</v>
      </c>
      <c r="AY58" s="19">
        <v>79.301697417249898</v>
      </c>
      <c r="AZ58" s="18">
        <v>8.7494614590743106E-2</v>
      </c>
      <c r="BA58" s="19">
        <v>96.984136275749705</v>
      </c>
      <c r="BB58" s="18">
        <v>1.1379800854066599E-2</v>
      </c>
      <c r="BC58" s="19">
        <v>87.542161725498502</v>
      </c>
      <c r="BD58" s="18">
        <v>3.6359825412461098E-2</v>
      </c>
      <c r="BE58" s="19">
        <v>74.403185939151797</v>
      </c>
      <c r="BF58" s="18">
        <v>6.5190405791054395E-2</v>
      </c>
      <c r="BG58" s="19"/>
      <c r="BH58" s="18"/>
    </row>
    <row r="59" spans="1:60" x14ac:dyDescent="0.2">
      <c r="A59" s="16">
        <v>1991</v>
      </c>
      <c r="B59" s="16">
        <v>4</v>
      </c>
      <c r="C59" s="19">
        <v>86.968510704474397</v>
      </c>
      <c r="D59" s="18">
        <v>4.80826003756787E-2</v>
      </c>
      <c r="E59" s="19">
        <v>86.869257787045598</v>
      </c>
      <c r="F59" s="18">
        <v>4.93397701314882E-2</v>
      </c>
      <c r="G59" s="19">
        <v>147.95049508715601</v>
      </c>
      <c r="H59" s="18">
        <v>-4.4950536546130002E-2</v>
      </c>
      <c r="I59" s="19">
        <v>72.542987450591099</v>
      </c>
      <c r="J59" s="18">
        <v>6.6629256820664104E-2</v>
      </c>
      <c r="K59" s="19">
        <v>108.797148858885</v>
      </c>
      <c r="L59" s="18">
        <v>3.3720188131890497E-2</v>
      </c>
      <c r="M59" s="19">
        <v>222.13324206397701</v>
      </c>
      <c r="N59" s="18">
        <v>1.14024858111392E-2</v>
      </c>
      <c r="O59" s="19">
        <v>83.412047044486798</v>
      </c>
      <c r="P59" s="18">
        <v>3.8180575113743002E-2</v>
      </c>
      <c r="Q59" s="19">
        <v>55.083859777534897</v>
      </c>
      <c r="R59" s="18">
        <v>0.117638543441228</v>
      </c>
      <c r="S59" s="19">
        <v>185.59383735585399</v>
      </c>
      <c r="T59" s="18">
        <v>-0.14234613840105401</v>
      </c>
      <c r="U59" s="19">
        <v>80.763412618711797</v>
      </c>
      <c r="V59" s="18">
        <v>1.9024417197489599E-2</v>
      </c>
      <c r="W59" s="19">
        <v>98.362632074753293</v>
      </c>
      <c r="X59" s="18">
        <v>4.5911514267314303E-2</v>
      </c>
      <c r="Y59" s="19">
        <v>113.096875653868</v>
      </c>
      <c r="Z59" s="18">
        <v>2.59572945286837E-2</v>
      </c>
      <c r="AA59" s="19">
        <v>67.820492381836502</v>
      </c>
      <c r="AB59" s="18">
        <v>5.2452584544673102E-2</v>
      </c>
      <c r="AC59" s="19">
        <v>59.525859356159003</v>
      </c>
      <c r="AD59" s="18">
        <v>6.8571352550477596E-2</v>
      </c>
      <c r="AE59" s="19">
        <v>104.70143820326599</v>
      </c>
      <c r="AF59" s="18">
        <v>6.9448503198233896E-2</v>
      </c>
      <c r="AG59" s="19">
        <v>110.98953953629</v>
      </c>
      <c r="AH59" s="18">
        <v>2.1797501108098399E-3</v>
      </c>
      <c r="AI59" s="19">
        <v>86.997348005620097</v>
      </c>
      <c r="AJ59" s="18">
        <v>7.7879855887337895E-2</v>
      </c>
      <c r="AK59" s="19">
        <v>174.95637334266601</v>
      </c>
      <c r="AL59" s="18">
        <v>-5.2158884488991197E-2</v>
      </c>
      <c r="AM59" s="19">
        <v>64.432801092962293</v>
      </c>
      <c r="AN59" s="18">
        <v>8.3414276882370894E-2</v>
      </c>
      <c r="AO59" s="19">
        <v>74.633000899786893</v>
      </c>
      <c r="AP59" s="18">
        <v>7.5236885010185897E-2</v>
      </c>
      <c r="AQ59" s="19">
        <v>64.371922935879596</v>
      </c>
      <c r="AR59" s="18">
        <v>5.9309799539343899E-2</v>
      </c>
      <c r="AS59" s="19">
        <v>77.461292381151793</v>
      </c>
      <c r="AT59" s="18">
        <v>8.8075387480774897E-2</v>
      </c>
      <c r="AU59" s="19">
        <v>51.618495353617497</v>
      </c>
      <c r="AV59" s="18">
        <v>0.188944030386659</v>
      </c>
      <c r="AW59" s="19">
        <v>55.3183411372015</v>
      </c>
      <c r="AX59" s="18">
        <v>0.114853265254913</v>
      </c>
      <c r="AY59" s="19">
        <v>80.717001381703696</v>
      </c>
      <c r="AZ59" s="18">
        <v>8.5094594289977205E-2</v>
      </c>
      <c r="BA59" s="19">
        <v>83.781449135399896</v>
      </c>
      <c r="BB59" s="18">
        <v>-2.07465868028982E-2</v>
      </c>
      <c r="BC59" s="19">
        <v>82.101811211218006</v>
      </c>
      <c r="BD59" s="18">
        <v>2.7562694249212E-2</v>
      </c>
      <c r="BE59" s="19">
        <v>75.429875064568094</v>
      </c>
      <c r="BF59" s="18">
        <v>6.3831835854879101E-2</v>
      </c>
      <c r="BG59" s="19"/>
      <c r="BH59" s="18"/>
    </row>
    <row r="60" spans="1:60" x14ac:dyDescent="0.2">
      <c r="A60" s="16">
        <v>1992</v>
      </c>
      <c r="B60" s="16">
        <v>1</v>
      </c>
      <c r="C60" s="19">
        <v>87.9369744092063</v>
      </c>
      <c r="D60" s="18">
        <v>3.3584065642461698E-2</v>
      </c>
      <c r="E60" s="19">
        <v>87.458125598610195</v>
      </c>
      <c r="F60" s="18">
        <v>3.4132348384241999E-2</v>
      </c>
      <c r="G60" s="19">
        <v>140.39288116055801</v>
      </c>
      <c r="H60" s="18">
        <v>-8.82117775126363E-2</v>
      </c>
      <c r="I60" s="19">
        <v>76.936403773800293</v>
      </c>
      <c r="J60" s="18">
        <v>1.31215049737718E-2</v>
      </c>
      <c r="K60" s="19">
        <v>108.720871774844</v>
      </c>
      <c r="L60" s="18">
        <v>1.4351864447109E-2</v>
      </c>
      <c r="M60" s="19">
        <v>221.91205658856799</v>
      </c>
      <c r="N60" s="18">
        <v>1.87635594924918E-3</v>
      </c>
      <c r="O60" s="19">
        <v>83.358819802851599</v>
      </c>
      <c r="P60" s="18">
        <v>1.6819711774348E-2</v>
      </c>
      <c r="Q60" s="19">
        <v>56.089271479101399</v>
      </c>
      <c r="R60" s="18">
        <v>9.3012779675624602E-2</v>
      </c>
      <c r="S60" s="19">
        <v>180.568485661837</v>
      </c>
      <c r="T60" s="18">
        <v>-0.13101275103916399</v>
      </c>
      <c r="U60" s="19">
        <v>81.305347093903194</v>
      </c>
      <c r="V60" s="18">
        <v>-1.03800398209484E-2</v>
      </c>
      <c r="W60" s="19">
        <v>99.668560927635099</v>
      </c>
      <c r="X60" s="18">
        <v>3.30759645019221E-2</v>
      </c>
      <c r="Y60" s="19">
        <v>116.303249278183</v>
      </c>
      <c r="Z60" s="18">
        <v>2.0414576896093301E-2</v>
      </c>
      <c r="AA60" s="19">
        <v>66.611073923376907</v>
      </c>
      <c r="AB60" s="18">
        <v>1.6057984865930099E-2</v>
      </c>
      <c r="AC60" s="19">
        <v>61.373382941078702</v>
      </c>
      <c r="AD60" s="18">
        <v>6.1633311330815399E-2</v>
      </c>
      <c r="AE60" s="19">
        <v>106.14169279851799</v>
      </c>
      <c r="AF60" s="18">
        <v>4.5536048639431802E-2</v>
      </c>
      <c r="AG60" s="19">
        <v>111.39284861686799</v>
      </c>
      <c r="AH60" s="18">
        <v>3.3935068131287801E-3</v>
      </c>
      <c r="AI60" s="19">
        <v>89.363836016564704</v>
      </c>
      <c r="AJ60" s="18">
        <v>9.0299636846316506E-2</v>
      </c>
      <c r="AK60" s="19">
        <v>170.99035280255001</v>
      </c>
      <c r="AL60" s="18">
        <v>-6.5674955980346394E-2</v>
      </c>
      <c r="AM60" s="19">
        <v>65.302041624383804</v>
      </c>
      <c r="AN60" s="18">
        <v>7.5548289597187304E-2</v>
      </c>
      <c r="AO60" s="19">
        <v>76.165473176826694</v>
      </c>
      <c r="AP60" s="18">
        <v>7.1211834057030896E-2</v>
      </c>
      <c r="AQ60" s="19">
        <v>64.219023698762101</v>
      </c>
      <c r="AR60" s="18">
        <v>5.02557728217548E-2</v>
      </c>
      <c r="AS60" s="19">
        <v>78.591774890638305</v>
      </c>
      <c r="AT60" s="18">
        <v>8.5269395145139495E-2</v>
      </c>
      <c r="AU60" s="19">
        <v>52.644990946729799</v>
      </c>
      <c r="AV60" s="18">
        <v>0.16928531377326</v>
      </c>
      <c r="AW60" s="19">
        <v>55.883858339424798</v>
      </c>
      <c r="AX60" s="18">
        <v>8.0058410036114802E-2</v>
      </c>
      <c r="AY60" s="19">
        <v>81.747547458335902</v>
      </c>
      <c r="AZ60" s="18">
        <v>7.5168926424875201E-2</v>
      </c>
      <c r="BA60" s="19">
        <v>102.684313541921</v>
      </c>
      <c r="BB60" s="18">
        <v>1.7443517334814199E-2</v>
      </c>
      <c r="BC60" s="19">
        <v>91.174410329827893</v>
      </c>
      <c r="BD60" s="18">
        <v>3.5718886501002703E-2</v>
      </c>
      <c r="BE60" s="19">
        <v>76.364691301311197</v>
      </c>
      <c r="BF60" s="18">
        <v>5.8788309821992103E-2</v>
      </c>
      <c r="BG60" s="19"/>
      <c r="BH60" s="18"/>
    </row>
    <row r="61" spans="1:60" x14ac:dyDescent="0.2">
      <c r="A61" s="16">
        <v>1992</v>
      </c>
      <c r="B61" s="16">
        <v>2</v>
      </c>
      <c r="C61" s="19">
        <v>88.016727172623604</v>
      </c>
      <c r="D61" s="18">
        <v>2.21369386877543E-2</v>
      </c>
      <c r="E61" s="19">
        <v>87.825491622801806</v>
      </c>
      <c r="F61" s="18">
        <v>2.2853878789223601E-2</v>
      </c>
      <c r="G61" s="19">
        <v>138.37797199222501</v>
      </c>
      <c r="H61" s="18">
        <v>-0.107741893368904</v>
      </c>
      <c r="I61" s="19">
        <v>76.061241764342199</v>
      </c>
      <c r="J61" s="18">
        <v>2.1358566857448101E-2</v>
      </c>
      <c r="K61" s="19">
        <v>108.937076138051</v>
      </c>
      <c r="L61" s="18">
        <v>-1.8542508068420901E-3</v>
      </c>
      <c r="M61" s="19">
        <v>221.273763396444</v>
      </c>
      <c r="N61" s="18">
        <v>1.2444140889098501E-3</v>
      </c>
      <c r="O61" s="19">
        <v>83.610864866249699</v>
      </c>
      <c r="P61" s="18">
        <v>-2.3868269728675199E-3</v>
      </c>
      <c r="Q61" s="19">
        <v>56.706052890934103</v>
      </c>
      <c r="R61" s="18">
        <v>8.4471015819813602E-2</v>
      </c>
      <c r="S61" s="19">
        <v>177.27664728982899</v>
      </c>
      <c r="T61" s="18">
        <v>-0.115454668987789</v>
      </c>
      <c r="U61" s="19">
        <v>80.313968136474998</v>
      </c>
      <c r="V61" s="18">
        <v>-2.6773173886029199E-2</v>
      </c>
      <c r="W61" s="19">
        <v>100.24804354995599</v>
      </c>
      <c r="X61" s="18">
        <v>3.0866786593653401E-2</v>
      </c>
      <c r="Y61" s="19">
        <v>116.34101846491799</v>
      </c>
      <c r="Z61" s="18">
        <v>2.5513080255693099E-2</v>
      </c>
      <c r="AA61" s="19">
        <v>67.067692524440105</v>
      </c>
      <c r="AB61" s="18">
        <v>-1.1975790720817199E-2</v>
      </c>
      <c r="AC61" s="19">
        <v>62.419370314734003</v>
      </c>
      <c r="AD61" s="18">
        <v>5.7761968781057299E-2</v>
      </c>
      <c r="AE61" s="19">
        <v>106.980219954419</v>
      </c>
      <c r="AF61" s="18">
        <v>3.2126576826256199E-2</v>
      </c>
      <c r="AG61" s="19">
        <v>110.809007736815</v>
      </c>
      <c r="AH61" s="18">
        <v>-1.67994711766162E-3</v>
      </c>
      <c r="AI61" s="19">
        <v>90.061197532521504</v>
      </c>
      <c r="AJ61" s="18">
        <v>8.5474411254809396E-2</v>
      </c>
      <c r="AK61" s="19">
        <v>168.80091078632401</v>
      </c>
      <c r="AL61" s="18">
        <v>-6.6923805102668807E-2</v>
      </c>
      <c r="AM61" s="19">
        <v>66.155808788338703</v>
      </c>
      <c r="AN61" s="18">
        <v>6.3595375826307504E-2</v>
      </c>
      <c r="AO61" s="19">
        <v>77.211518746534793</v>
      </c>
      <c r="AP61" s="18">
        <v>6.5613021123666099E-2</v>
      </c>
      <c r="AQ61" s="19">
        <v>63.427974887089697</v>
      </c>
      <c r="AR61" s="18">
        <v>3.9437665021068803E-2</v>
      </c>
      <c r="AS61" s="19">
        <v>79.6444572580629</v>
      </c>
      <c r="AT61" s="18">
        <v>7.0060446156534603E-2</v>
      </c>
      <c r="AU61" s="19">
        <v>53.320770102159699</v>
      </c>
      <c r="AV61" s="18">
        <v>9.5271021782020807E-2</v>
      </c>
      <c r="AW61" s="19">
        <v>57.130793464331902</v>
      </c>
      <c r="AX61" s="18">
        <v>6.2114787341464299E-2</v>
      </c>
      <c r="AY61" s="19">
        <v>82.762064157552899</v>
      </c>
      <c r="AZ61" s="18">
        <v>6.5330642185961005E-2</v>
      </c>
      <c r="BA61" s="19">
        <v>88.961651190997799</v>
      </c>
      <c r="BB61" s="18">
        <v>-1.23760084835546E-2</v>
      </c>
      <c r="BC61" s="19">
        <v>85.560698516813801</v>
      </c>
      <c r="BD61" s="18">
        <v>2.20072556684403E-2</v>
      </c>
      <c r="BE61" s="19">
        <v>77.227700839838903</v>
      </c>
      <c r="BF61" s="18">
        <v>5.3637443295832199E-2</v>
      </c>
      <c r="BG61" s="19"/>
      <c r="BH61" s="18"/>
    </row>
    <row r="62" spans="1:60" x14ac:dyDescent="0.2">
      <c r="A62" s="16">
        <v>1992</v>
      </c>
      <c r="B62" s="16">
        <v>3</v>
      </c>
      <c r="C62" s="19">
        <v>88.049392416284604</v>
      </c>
      <c r="D62" s="18">
        <v>1.4617065924225301E-2</v>
      </c>
      <c r="E62" s="19">
        <v>87.834528661068603</v>
      </c>
      <c r="F62" s="18">
        <v>1.6662381747669E-2</v>
      </c>
      <c r="G62" s="19">
        <v>138.78995492844399</v>
      </c>
      <c r="H62" s="18">
        <v>-8.7360647610900996E-2</v>
      </c>
      <c r="I62" s="19">
        <v>76.238427160316704</v>
      </c>
      <c r="J62" s="18">
        <v>3.9578465629335598E-2</v>
      </c>
      <c r="K62" s="19">
        <v>109.265946604441</v>
      </c>
      <c r="L62" s="18">
        <v>-1.75037429040237E-3</v>
      </c>
      <c r="M62" s="19">
        <v>221.853040527312</v>
      </c>
      <c r="N62" s="18">
        <v>7.1297147574660401E-3</v>
      </c>
      <c r="O62" s="19">
        <v>83.8710889387809</v>
      </c>
      <c r="P62" s="18">
        <v>-3.5956617410875E-3</v>
      </c>
      <c r="Q62" s="19">
        <v>58.5314127595421</v>
      </c>
      <c r="R62" s="18">
        <v>0.117463164630565</v>
      </c>
      <c r="S62" s="19">
        <v>173.38260837838899</v>
      </c>
      <c r="T62" s="18">
        <v>-0.1013487609822</v>
      </c>
      <c r="U62" s="19">
        <v>78.423161884264005</v>
      </c>
      <c r="V62" s="18">
        <v>-3.0746424507957299E-2</v>
      </c>
      <c r="W62" s="19">
        <v>99.328034771444706</v>
      </c>
      <c r="X62" s="18">
        <v>1.846340269321E-2</v>
      </c>
      <c r="Y62" s="19">
        <v>114.19883737386699</v>
      </c>
      <c r="Z62" s="18">
        <v>1.60940344336045E-2</v>
      </c>
      <c r="AA62" s="19">
        <v>67.004525124039802</v>
      </c>
      <c r="AB62" s="18">
        <v>-2.4030568574915701E-2</v>
      </c>
      <c r="AC62" s="19">
        <v>62.206577521592003</v>
      </c>
      <c r="AD62" s="18">
        <v>5.7997820628432603E-2</v>
      </c>
      <c r="AE62" s="19">
        <v>107.765713215836</v>
      </c>
      <c r="AF62" s="18">
        <v>3.3979232956148603E-2</v>
      </c>
      <c r="AG62" s="19">
        <v>110.57663930387299</v>
      </c>
      <c r="AH62" s="18">
        <v>-4.2684323324077003E-3</v>
      </c>
      <c r="AI62" s="19">
        <v>89.7731352003956</v>
      </c>
      <c r="AJ62" s="18">
        <v>5.9446549147934298E-2</v>
      </c>
      <c r="AK62" s="19">
        <v>168.34700607142699</v>
      </c>
      <c r="AL62" s="18">
        <v>-5.5507269561727801E-2</v>
      </c>
      <c r="AM62" s="19">
        <v>66.641536345771399</v>
      </c>
      <c r="AN62" s="18">
        <v>5.2670882927683002E-2</v>
      </c>
      <c r="AO62" s="19">
        <v>77.617552891695794</v>
      </c>
      <c r="AP62" s="18">
        <v>5.7224615351702597E-2</v>
      </c>
      <c r="AQ62" s="19">
        <v>64.414398727377005</v>
      </c>
      <c r="AR62" s="18">
        <v>3.65789988572549E-2</v>
      </c>
      <c r="AS62" s="19">
        <v>79.296334777698902</v>
      </c>
      <c r="AT62" s="18">
        <v>2.6489107994525501E-2</v>
      </c>
      <c r="AU62" s="19">
        <v>52.288748072358999</v>
      </c>
      <c r="AV62" s="18">
        <v>3.3274021129285902E-2</v>
      </c>
      <c r="AW62" s="19">
        <v>57.354262103491997</v>
      </c>
      <c r="AX62" s="18">
        <v>4.75507331748002E-2</v>
      </c>
      <c r="AY62" s="19">
        <v>83.549700115192294</v>
      </c>
      <c r="AZ62" s="18">
        <v>5.3567613762304199E-2</v>
      </c>
      <c r="BA62" s="19">
        <v>90.079309854387503</v>
      </c>
      <c r="BB62" s="18">
        <v>-7.1195421091652805E-2</v>
      </c>
      <c r="BC62" s="19">
        <v>86.557932370175195</v>
      </c>
      <c r="BD62" s="18">
        <v>-1.12429181085283E-2</v>
      </c>
      <c r="BE62" s="19">
        <v>78.014139491639497</v>
      </c>
      <c r="BF62" s="18">
        <v>4.85322437058111E-2</v>
      </c>
      <c r="BG62" s="19"/>
      <c r="BH62" s="18"/>
    </row>
    <row r="63" spans="1:60" x14ac:dyDescent="0.2">
      <c r="A63" s="16">
        <v>1992</v>
      </c>
      <c r="B63" s="16">
        <v>4</v>
      </c>
      <c r="C63" s="19">
        <v>88.2820427315487</v>
      </c>
      <c r="D63" s="18">
        <v>1.5103535940011599E-2</v>
      </c>
      <c r="E63" s="19">
        <v>88.192413135016693</v>
      </c>
      <c r="F63" s="18">
        <v>1.5231571924037001E-2</v>
      </c>
      <c r="G63" s="19">
        <v>135.07370870667299</v>
      </c>
      <c r="H63" s="18">
        <v>-8.7034425757733999E-2</v>
      </c>
      <c r="I63" s="19">
        <v>76.960255596564494</v>
      </c>
      <c r="J63" s="18">
        <v>6.0891731940070998E-2</v>
      </c>
      <c r="K63" s="19">
        <v>109.41197411094301</v>
      </c>
      <c r="L63" s="18">
        <v>5.6511154796441403E-3</v>
      </c>
      <c r="M63" s="19">
        <v>223.369389145713</v>
      </c>
      <c r="N63" s="18">
        <v>5.5648901094245097E-3</v>
      </c>
      <c r="O63" s="19">
        <v>83.885900472591402</v>
      </c>
      <c r="P63" s="18">
        <v>5.6808751840358197E-3</v>
      </c>
      <c r="Q63" s="19">
        <v>60.147250135285397</v>
      </c>
      <c r="R63" s="18">
        <v>9.1921488040230606E-2</v>
      </c>
      <c r="S63" s="19">
        <v>171.81467767095501</v>
      </c>
      <c r="T63" s="18">
        <v>-7.4243627273462301E-2</v>
      </c>
      <c r="U63" s="19">
        <v>77.639829217766604</v>
      </c>
      <c r="V63" s="18">
        <v>-3.8675723321546E-2</v>
      </c>
      <c r="W63" s="19">
        <v>99.566724169708706</v>
      </c>
      <c r="X63" s="18">
        <v>1.2241357002731299E-2</v>
      </c>
      <c r="Y63" s="19">
        <v>114.27124622918301</v>
      </c>
      <c r="Z63" s="18">
        <v>1.0383757893625001E-2</v>
      </c>
      <c r="AA63" s="19">
        <v>65.7566230646582</v>
      </c>
      <c r="AB63" s="18">
        <v>-3.04313526000143E-2</v>
      </c>
      <c r="AC63" s="19">
        <v>62.581903715941699</v>
      </c>
      <c r="AD63" s="18">
        <v>5.1339777247021399E-2</v>
      </c>
      <c r="AE63" s="19">
        <v>107.96838470413699</v>
      </c>
      <c r="AF63" s="18">
        <v>3.1202498809313101E-2</v>
      </c>
      <c r="AG63" s="19">
        <v>113.530824140427</v>
      </c>
      <c r="AH63" s="18">
        <v>2.28966136336257E-2</v>
      </c>
      <c r="AI63" s="19">
        <v>93.606193452323197</v>
      </c>
      <c r="AJ63" s="18">
        <v>7.5966056416755495E-2</v>
      </c>
      <c r="AK63" s="19">
        <v>169.62734842505901</v>
      </c>
      <c r="AL63" s="18">
        <v>-3.0459164280745601E-2</v>
      </c>
      <c r="AM63" s="19">
        <v>67.122449490738603</v>
      </c>
      <c r="AN63" s="18">
        <v>4.17434653181648E-2</v>
      </c>
      <c r="AO63" s="19">
        <v>77.918777510011196</v>
      </c>
      <c r="AP63" s="18">
        <v>4.4025787126478602E-2</v>
      </c>
      <c r="AQ63" s="19">
        <v>66.293193715574702</v>
      </c>
      <c r="AR63" s="18">
        <v>2.9846409615709401E-2</v>
      </c>
      <c r="AS63" s="19">
        <v>79.597411914518204</v>
      </c>
      <c r="AT63" s="18">
        <v>2.75766059111884E-2</v>
      </c>
      <c r="AU63" s="19">
        <v>49.572738309261197</v>
      </c>
      <c r="AV63" s="18">
        <v>-3.9632248680277801E-2</v>
      </c>
      <c r="AW63" s="19">
        <v>57.227342855331898</v>
      </c>
      <c r="AX63" s="18">
        <v>3.4509381136279299E-2</v>
      </c>
      <c r="AY63" s="19">
        <v>83.8876475041764</v>
      </c>
      <c r="AZ63" s="18">
        <v>3.9281019713293598E-2</v>
      </c>
      <c r="BA63" s="19">
        <v>84.532814901778096</v>
      </c>
      <c r="BB63" s="18">
        <v>8.9681638851089006E-3</v>
      </c>
      <c r="BC63" s="19">
        <v>84.282008286830802</v>
      </c>
      <c r="BD63" s="18">
        <v>2.6554798772999901E-2</v>
      </c>
      <c r="BE63" s="19">
        <v>78.719075798187106</v>
      </c>
      <c r="BF63" s="18">
        <v>4.3606074261735898E-2</v>
      </c>
      <c r="BG63" s="19"/>
      <c r="BH63" s="18"/>
    </row>
    <row r="64" spans="1:60" x14ac:dyDescent="0.2">
      <c r="A64" s="16">
        <v>1993</v>
      </c>
      <c r="B64" s="16">
        <v>1</v>
      </c>
      <c r="C64" s="19">
        <v>89.507181405883301</v>
      </c>
      <c r="D64" s="18">
        <v>1.78560498268929E-2</v>
      </c>
      <c r="E64" s="19">
        <v>88.987131997984307</v>
      </c>
      <c r="F64" s="18">
        <v>1.7482725463286101E-2</v>
      </c>
      <c r="G64" s="19">
        <v>135.55367029905199</v>
      </c>
      <c r="H64" s="18">
        <v>-3.4469061547162699E-2</v>
      </c>
      <c r="I64" s="19">
        <v>79.006201212533</v>
      </c>
      <c r="J64" s="18">
        <v>2.6902705835043499E-2</v>
      </c>
      <c r="K64" s="19">
        <v>109.96665587115599</v>
      </c>
      <c r="L64" s="18">
        <v>1.14585550683546E-2</v>
      </c>
      <c r="M64" s="19">
        <v>226.24146383222799</v>
      </c>
      <c r="N64" s="18">
        <v>1.95095629783055E-2</v>
      </c>
      <c r="O64" s="19">
        <v>84.157902601776996</v>
      </c>
      <c r="P64" s="18">
        <v>9.5860618086400801E-3</v>
      </c>
      <c r="Q64" s="19">
        <v>59.509209080783101</v>
      </c>
      <c r="R64" s="18">
        <v>6.0973115027102003E-2</v>
      </c>
      <c r="S64" s="19">
        <v>170.67380958956599</v>
      </c>
      <c r="T64" s="18">
        <v>-5.4797358664243699E-2</v>
      </c>
      <c r="U64" s="19">
        <v>77.910619740087299</v>
      </c>
      <c r="V64" s="18">
        <v>-4.1752817928385297E-2</v>
      </c>
      <c r="W64" s="19">
        <v>101.289946371735</v>
      </c>
      <c r="X64" s="18">
        <v>1.6267772194254099E-2</v>
      </c>
      <c r="Y64" s="19">
        <v>117.94230807433399</v>
      </c>
      <c r="Z64" s="18">
        <v>1.4092975100212599E-2</v>
      </c>
      <c r="AA64" s="19">
        <v>64.0789531228573</v>
      </c>
      <c r="AB64" s="18">
        <v>-3.8013511138288297E-2</v>
      </c>
      <c r="AC64" s="19">
        <v>64.027054269668994</v>
      </c>
      <c r="AD64" s="18">
        <v>4.3238146594232002E-2</v>
      </c>
      <c r="AE64" s="19">
        <v>108.97219360848101</v>
      </c>
      <c r="AF64" s="18">
        <v>2.6667191141714001E-2</v>
      </c>
      <c r="AG64" s="19">
        <v>119.38012762455</v>
      </c>
      <c r="AH64" s="18">
        <v>7.1703696483730997E-2</v>
      </c>
      <c r="AI64" s="19">
        <v>101.62380155250401</v>
      </c>
      <c r="AJ64" s="18">
        <v>0.137191576396372</v>
      </c>
      <c r="AK64" s="19">
        <v>172.68037176824399</v>
      </c>
      <c r="AL64" s="18">
        <v>9.8837094490680198E-3</v>
      </c>
      <c r="AM64" s="19">
        <v>67.222722615397103</v>
      </c>
      <c r="AN64" s="18">
        <v>2.9412265577560399E-2</v>
      </c>
      <c r="AO64" s="19">
        <v>78.258629190494801</v>
      </c>
      <c r="AP64" s="18">
        <v>2.74816911963329E-2</v>
      </c>
      <c r="AQ64" s="19">
        <v>66.3177825474488</v>
      </c>
      <c r="AR64" s="18">
        <v>3.26812637098257E-2</v>
      </c>
      <c r="AS64" s="19">
        <v>79.9594846489004</v>
      </c>
      <c r="AT64" s="18">
        <v>1.7402708618876599E-2</v>
      </c>
      <c r="AU64" s="19">
        <v>50.712552980292202</v>
      </c>
      <c r="AV64" s="18">
        <v>-3.6706967399670699E-2</v>
      </c>
      <c r="AW64" s="19">
        <v>57.056691788766898</v>
      </c>
      <c r="AX64" s="18">
        <v>2.0986980573507001E-2</v>
      </c>
      <c r="AY64" s="19">
        <v>84.160876457059203</v>
      </c>
      <c r="AZ64" s="18">
        <v>2.9521729688016599E-2</v>
      </c>
      <c r="BA64" s="19">
        <v>106.004256907171</v>
      </c>
      <c r="BB64" s="18">
        <v>3.2331553386633502E-2</v>
      </c>
      <c r="BC64" s="19">
        <v>94.459808376407395</v>
      </c>
      <c r="BD64" s="18">
        <v>3.60342121730697E-2</v>
      </c>
      <c r="BE64" s="19">
        <v>79.339257320630594</v>
      </c>
      <c r="BF64" s="18">
        <v>3.8952112142804703E-2</v>
      </c>
      <c r="BG64" s="19"/>
      <c r="BH64" s="18"/>
    </row>
    <row r="65" spans="1:60" x14ac:dyDescent="0.2">
      <c r="A65" s="16">
        <v>1993</v>
      </c>
      <c r="B65" s="16">
        <v>2</v>
      </c>
      <c r="C65" s="19">
        <v>89.9902511862403</v>
      </c>
      <c r="D65" s="18">
        <v>2.24221472101107E-2</v>
      </c>
      <c r="E65" s="19">
        <v>89.713137464087097</v>
      </c>
      <c r="F65" s="18">
        <v>2.14931428951457E-2</v>
      </c>
      <c r="G65" s="19">
        <v>132.96838315410901</v>
      </c>
      <c r="H65" s="18">
        <v>-3.9092846644842E-2</v>
      </c>
      <c r="I65" s="19">
        <v>77.684689096130796</v>
      </c>
      <c r="J65" s="18">
        <v>2.1343949876842801E-2</v>
      </c>
      <c r="K65" s="19">
        <v>110.39128055513601</v>
      </c>
      <c r="L65" s="18">
        <v>1.33490310979407E-2</v>
      </c>
      <c r="M65" s="19">
        <v>225.61958133195299</v>
      </c>
      <c r="N65" s="18">
        <v>1.9640005524389902E-2</v>
      </c>
      <c r="O65" s="19">
        <v>84.610982947331294</v>
      </c>
      <c r="P65" s="18">
        <v>1.19615803840976E-2</v>
      </c>
      <c r="Q65" s="19">
        <v>60.788127109648499</v>
      </c>
      <c r="R65" s="18">
        <v>7.1986569521348395E-2</v>
      </c>
      <c r="S65" s="19">
        <v>170.58615709331801</v>
      </c>
      <c r="T65" s="18">
        <v>-3.7740392199388399E-2</v>
      </c>
      <c r="U65" s="19">
        <v>77.840345977470093</v>
      </c>
      <c r="V65" s="18">
        <v>-3.0799401603486602E-2</v>
      </c>
      <c r="W65" s="19">
        <v>102.088100951432</v>
      </c>
      <c r="X65" s="18">
        <v>1.8355045508282201E-2</v>
      </c>
      <c r="Y65" s="19">
        <v>118.085882520889</v>
      </c>
      <c r="Z65" s="18">
        <v>1.49978406497906E-2</v>
      </c>
      <c r="AA65" s="19">
        <v>63.8446767748881</v>
      </c>
      <c r="AB65" s="18">
        <v>-4.8056159802688299E-2</v>
      </c>
      <c r="AC65" s="19">
        <v>65.0899005820431</v>
      </c>
      <c r="AD65" s="18">
        <v>4.2783678429365597E-2</v>
      </c>
      <c r="AE65" s="19">
        <v>109.630825791543</v>
      </c>
      <c r="AF65" s="18">
        <v>2.4776597377099301E-2</v>
      </c>
      <c r="AG65" s="19">
        <v>125.50896050564999</v>
      </c>
      <c r="AH65" s="18">
        <v>0.13266026895348301</v>
      </c>
      <c r="AI65" s="19">
        <v>111.84907075755601</v>
      </c>
      <c r="AJ65" s="18">
        <v>0.241922979284909</v>
      </c>
      <c r="AK65" s="19">
        <v>172.842852841454</v>
      </c>
      <c r="AL65" s="18">
        <v>2.3945025155974499E-2</v>
      </c>
      <c r="AM65" s="19">
        <v>67.663116284419004</v>
      </c>
      <c r="AN65" s="18">
        <v>2.2784204799050099E-2</v>
      </c>
      <c r="AO65" s="19">
        <v>78.414873512507498</v>
      </c>
      <c r="AP65" s="18">
        <v>1.5585171558701901E-2</v>
      </c>
      <c r="AQ65" s="19">
        <v>65.723836317007695</v>
      </c>
      <c r="AR65" s="18">
        <v>3.6196353959036899E-2</v>
      </c>
      <c r="AS65" s="19">
        <v>80.122981815969496</v>
      </c>
      <c r="AT65" s="18">
        <v>6.0082593865389304E-3</v>
      </c>
      <c r="AU65" s="19">
        <v>52.9731928030482</v>
      </c>
      <c r="AV65" s="18">
        <v>-6.5186098858965903E-3</v>
      </c>
      <c r="AW65" s="19">
        <v>57.671385954527899</v>
      </c>
      <c r="AX65" s="18">
        <v>9.4623662199528908E-3</v>
      </c>
      <c r="AY65" s="19">
        <v>84.647654553894</v>
      </c>
      <c r="AZ65" s="18">
        <v>2.2783269309856202E-2</v>
      </c>
      <c r="BA65" s="19">
        <v>94.825003025354903</v>
      </c>
      <c r="BB65" s="18">
        <v>6.5908756816672298E-2</v>
      </c>
      <c r="BC65" s="19">
        <v>89.770599484838598</v>
      </c>
      <c r="BD65" s="18">
        <v>4.9203676933486699E-2</v>
      </c>
      <c r="BE65" s="19">
        <v>79.890103619421694</v>
      </c>
      <c r="BF65" s="18">
        <v>3.44747124494134E-2</v>
      </c>
      <c r="BG65" s="19"/>
      <c r="BH65" s="18"/>
    </row>
    <row r="66" spans="1:60" x14ac:dyDescent="0.2">
      <c r="A66" s="16">
        <v>1993</v>
      </c>
      <c r="B66" s="16">
        <v>3</v>
      </c>
      <c r="C66" s="19">
        <v>90.386815762555898</v>
      </c>
      <c r="D66" s="18">
        <v>2.65467288544168E-2</v>
      </c>
      <c r="E66" s="19">
        <v>90.106191832190305</v>
      </c>
      <c r="F66" s="18">
        <v>2.5862985841108101E-2</v>
      </c>
      <c r="G66" s="19">
        <v>135.70202110449301</v>
      </c>
      <c r="H66" s="18">
        <v>-2.2248972020655199E-2</v>
      </c>
      <c r="I66" s="19">
        <v>77.018750021705301</v>
      </c>
      <c r="J66" s="18">
        <v>1.02352959059315E-2</v>
      </c>
      <c r="K66" s="19">
        <v>110.324889019354</v>
      </c>
      <c r="L66" s="18">
        <v>9.6914221477084599E-3</v>
      </c>
      <c r="M66" s="19">
        <v>221.805660623687</v>
      </c>
      <c r="N66" s="18">
        <v>-2.1356436455710601E-4</v>
      </c>
      <c r="O66" s="19">
        <v>84.878970553342896</v>
      </c>
      <c r="P66" s="18">
        <v>1.20170326546931E-2</v>
      </c>
      <c r="Q66" s="19">
        <v>60.953297986604397</v>
      </c>
      <c r="R66" s="18">
        <v>4.1377528969133603E-2</v>
      </c>
      <c r="S66" s="19">
        <v>169.971317909334</v>
      </c>
      <c r="T66" s="18">
        <v>-1.9674928765696501E-2</v>
      </c>
      <c r="U66" s="19">
        <v>78.155464946412494</v>
      </c>
      <c r="V66" s="18">
        <v>-3.4134933024830799E-3</v>
      </c>
      <c r="W66" s="19">
        <v>101.644861247073</v>
      </c>
      <c r="X66" s="18">
        <v>2.3325000650209898E-2</v>
      </c>
      <c r="Y66" s="19">
        <v>116.45988617924</v>
      </c>
      <c r="Z66" s="18">
        <v>1.9799227885050501E-2</v>
      </c>
      <c r="AA66" s="19">
        <v>63.351596561915301</v>
      </c>
      <c r="AB66" s="18">
        <v>-5.4517639746899799E-2</v>
      </c>
      <c r="AC66" s="19">
        <v>65.4208009382846</v>
      </c>
      <c r="AD66" s="18">
        <v>5.1670153619638899E-2</v>
      </c>
      <c r="AE66" s="19">
        <v>109.950361677213</v>
      </c>
      <c r="AF66" s="18">
        <v>2.02722034326672E-2</v>
      </c>
      <c r="AG66" s="19">
        <v>128.40166994182499</v>
      </c>
      <c r="AH66" s="18">
        <v>0.161200690762241</v>
      </c>
      <c r="AI66" s="19">
        <v>117.830333181339</v>
      </c>
      <c r="AJ66" s="18">
        <v>0.31253445608547598</v>
      </c>
      <c r="AK66" s="19">
        <v>170.12731970060099</v>
      </c>
      <c r="AL66" s="18">
        <v>1.0575261602333101E-2</v>
      </c>
      <c r="AM66" s="19">
        <v>68.144174946669295</v>
      </c>
      <c r="AN66" s="18">
        <v>2.25480786202381E-2</v>
      </c>
      <c r="AO66" s="19">
        <v>78.421847912634405</v>
      </c>
      <c r="AP66" s="18">
        <v>1.0362282640639301E-2</v>
      </c>
      <c r="AQ66" s="19">
        <v>66.517906009548</v>
      </c>
      <c r="AR66" s="18">
        <v>3.2655855270398597E-2</v>
      </c>
      <c r="AS66" s="19">
        <v>80.146770719148407</v>
      </c>
      <c r="AT66" s="18">
        <v>1.0724782473662301E-2</v>
      </c>
      <c r="AU66" s="19">
        <v>54.397069961853497</v>
      </c>
      <c r="AV66" s="18">
        <v>4.0320756706144503E-2</v>
      </c>
      <c r="AW66" s="19">
        <v>58.7805770398326</v>
      </c>
      <c r="AX66" s="18">
        <v>2.48685081810818E-2</v>
      </c>
      <c r="AY66" s="19">
        <v>85.168255773576007</v>
      </c>
      <c r="AZ66" s="18">
        <v>1.9372369453777301E-2</v>
      </c>
      <c r="BA66" s="19">
        <v>95.330100204274103</v>
      </c>
      <c r="BB66" s="18">
        <v>5.8290747990570498E-2</v>
      </c>
      <c r="BC66" s="19">
        <v>90.280836747923203</v>
      </c>
      <c r="BD66" s="18">
        <v>4.3010551151182699E-2</v>
      </c>
      <c r="BE66" s="19">
        <v>80.367707017085706</v>
      </c>
      <c r="BF66" s="18">
        <v>3.01684738277277E-2</v>
      </c>
      <c r="BG66" s="19"/>
      <c r="BH66" s="18"/>
    </row>
    <row r="67" spans="1:60" x14ac:dyDescent="0.2">
      <c r="A67" s="16">
        <v>1993</v>
      </c>
      <c r="B67" s="16">
        <v>4</v>
      </c>
      <c r="C67" s="19">
        <v>90.555612154312499</v>
      </c>
      <c r="D67" s="18">
        <v>2.5753475479462599E-2</v>
      </c>
      <c r="E67" s="19">
        <v>90.430966183874801</v>
      </c>
      <c r="F67" s="18">
        <v>2.5382603438132801E-2</v>
      </c>
      <c r="G67" s="19">
        <v>134.03420387027799</v>
      </c>
      <c r="H67" s="18">
        <v>-7.6958339735302399E-3</v>
      </c>
      <c r="I67" s="19">
        <v>77.857545296813399</v>
      </c>
      <c r="J67" s="18">
        <v>1.16591309799254E-2</v>
      </c>
      <c r="K67" s="19">
        <v>110.269569836256</v>
      </c>
      <c r="L67" s="18">
        <v>7.8382254984541398E-3</v>
      </c>
      <c r="M67" s="19">
        <v>219.33331674853201</v>
      </c>
      <c r="N67" s="18">
        <v>-1.8069048819165299E-2</v>
      </c>
      <c r="O67" s="19">
        <v>85.0270832084055</v>
      </c>
      <c r="P67" s="18">
        <v>1.36039874327505E-2</v>
      </c>
      <c r="Q67" s="19">
        <v>63.2202392894323</v>
      </c>
      <c r="R67" s="18">
        <v>5.1091099713370898E-2</v>
      </c>
      <c r="S67" s="19">
        <v>169.09848305187501</v>
      </c>
      <c r="T67" s="18">
        <v>-1.5808862525013699E-2</v>
      </c>
      <c r="U67" s="19">
        <v>79.413771383760405</v>
      </c>
      <c r="V67" s="18">
        <v>2.2848352242225398E-2</v>
      </c>
      <c r="W67" s="19">
        <v>102.436640574582</v>
      </c>
      <c r="X67" s="18">
        <v>2.8824051698047401E-2</v>
      </c>
      <c r="Y67" s="19">
        <v>117.016055712607</v>
      </c>
      <c r="Z67" s="18">
        <v>2.4020123819420001E-2</v>
      </c>
      <c r="AA67" s="19">
        <v>63.115581034172401</v>
      </c>
      <c r="AB67" s="18">
        <v>-4.0163893877107198E-2</v>
      </c>
      <c r="AC67" s="19">
        <v>66.410178247234398</v>
      </c>
      <c r="AD67" s="18">
        <v>6.1172228775096898E-2</v>
      </c>
      <c r="AE67" s="19">
        <v>110.35512386778301</v>
      </c>
      <c r="AF67" s="18">
        <v>2.2105907856143001E-2</v>
      </c>
      <c r="AG67" s="19">
        <v>125.33247430213299</v>
      </c>
      <c r="AH67" s="18">
        <v>0.10395106572210699</v>
      </c>
      <c r="AI67" s="19">
        <v>115.017511436888</v>
      </c>
      <c r="AJ67" s="18">
        <v>0.228738261806051</v>
      </c>
      <c r="AK67" s="19">
        <v>164.479589217403</v>
      </c>
      <c r="AL67" s="18">
        <v>-3.0347460214706402E-2</v>
      </c>
      <c r="AM67" s="19">
        <v>68.474614482770505</v>
      </c>
      <c r="AN67" s="18">
        <v>2.0144750411983998E-2</v>
      </c>
      <c r="AO67" s="19">
        <v>78.493558870717294</v>
      </c>
      <c r="AP67" s="18">
        <v>7.3766732368498698E-3</v>
      </c>
      <c r="AQ67" s="19">
        <v>68.138873946435893</v>
      </c>
      <c r="AR67" s="18">
        <v>2.7841172334823701E-2</v>
      </c>
      <c r="AS67" s="19">
        <v>80.441606874777605</v>
      </c>
      <c r="AT67" s="18">
        <v>1.06058091582932E-2</v>
      </c>
      <c r="AU67" s="19">
        <v>56.590088371317201</v>
      </c>
      <c r="AV67" s="18">
        <v>0.14155663579199601</v>
      </c>
      <c r="AW67" s="19">
        <v>60.796094055817598</v>
      </c>
      <c r="AX67" s="18">
        <v>6.2360945352771098E-2</v>
      </c>
      <c r="AY67" s="19">
        <v>85.867482068309997</v>
      </c>
      <c r="AZ67" s="18">
        <v>2.3601026170570399E-2</v>
      </c>
      <c r="BA67" s="19">
        <v>88.628014739442605</v>
      </c>
      <c r="BB67" s="18">
        <v>4.8445090139525498E-2</v>
      </c>
      <c r="BC67" s="19">
        <v>87.212106515747294</v>
      </c>
      <c r="BD67" s="18">
        <v>3.4765405908990098E-2</v>
      </c>
      <c r="BE67" s="19">
        <v>80.768362639167407</v>
      </c>
      <c r="BF67" s="18">
        <v>2.60329128638912E-2</v>
      </c>
      <c r="BG67" s="19"/>
      <c r="BH67" s="18"/>
    </row>
    <row r="68" spans="1:60" x14ac:dyDescent="0.2">
      <c r="A68" s="16">
        <v>1994</v>
      </c>
      <c r="B68" s="16">
        <v>1</v>
      </c>
      <c r="C68" s="19">
        <v>91.426012713355107</v>
      </c>
      <c r="D68" s="18">
        <v>2.1437735803238E-2</v>
      </c>
      <c r="E68" s="19">
        <v>91.010242444721598</v>
      </c>
      <c r="F68" s="18">
        <v>2.2734865157617402E-2</v>
      </c>
      <c r="G68" s="19">
        <v>135.50218184987099</v>
      </c>
      <c r="H68" s="18">
        <v>-3.79838104472507E-4</v>
      </c>
      <c r="I68" s="19">
        <v>79.119268741031405</v>
      </c>
      <c r="J68" s="18">
        <v>1.43112220006913E-3</v>
      </c>
      <c r="K68" s="19">
        <v>111.127500493562</v>
      </c>
      <c r="L68" s="18">
        <v>1.0556332855720101E-2</v>
      </c>
      <c r="M68" s="19">
        <v>218.259514708019</v>
      </c>
      <c r="N68" s="18">
        <v>-3.52806642469723E-2</v>
      </c>
      <c r="O68" s="19">
        <v>85.992777214255199</v>
      </c>
      <c r="P68" s="18">
        <v>2.1802760712330799E-2</v>
      </c>
      <c r="Q68" s="19">
        <v>64.216529418312504</v>
      </c>
      <c r="R68" s="18">
        <v>7.9102384492109504E-2</v>
      </c>
      <c r="S68" s="19">
        <v>170.91236905418799</v>
      </c>
      <c r="T68" s="18">
        <v>1.39775086286398E-3</v>
      </c>
      <c r="U68" s="19">
        <v>80.863887452337195</v>
      </c>
      <c r="V68" s="18">
        <v>3.7905842901803502E-2</v>
      </c>
      <c r="W68" s="19">
        <v>104.54504437659899</v>
      </c>
      <c r="X68" s="18">
        <v>3.2136437242426402E-2</v>
      </c>
      <c r="Y68" s="19">
        <v>121.076038442692</v>
      </c>
      <c r="Z68" s="18">
        <v>2.6570027494992699E-2</v>
      </c>
      <c r="AA68" s="19">
        <v>63.016252147585199</v>
      </c>
      <c r="AB68" s="18">
        <v>-1.6584243710015701E-2</v>
      </c>
      <c r="AC68" s="19">
        <v>67.626982495931401</v>
      </c>
      <c r="AD68" s="18">
        <v>5.6225110889846802E-2</v>
      </c>
      <c r="AE68" s="19">
        <v>111.259379851067</v>
      </c>
      <c r="AF68" s="18">
        <v>2.0988714339400701E-2</v>
      </c>
      <c r="AG68" s="19">
        <v>120.631691334198</v>
      </c>
      <c r="AH68" s="18">
        <v>1.04838530042843E-2</v>
      </c>
      <c r="AI68" s="19">
        <v>112.404639471103</v>
      </c>
      <c r="AJ68" s="18">
        <v>0.106085757016571</v>
      </c>
      <c r="AK68" s="19">
        <v>155.77753347093901</v>
      </c>
      <c r="AL68" s="18">
        <v>-9.7885116439237793E-2</v>
      </c>
      <c r="AM68" s="19">
        <v>69.115688758700102</v>
      </c>
      <c r="AN68" s="18">
        <v>2.8159617308768099E-2</v>
      </c>
      <c r="AO68" s="19">
        <v>78.708545070093805</v>
      </c>
      <c r="AP68" s="18">
        <v>5.7490897074592403E-3</v>
      </c>
      <c r="AQ68" s="19">
        <v>68.129895468764104</v>
      </c>
      <c r="AR68" s="18">
        <v>2.7324691081441799E-2</v>
      </c>
      <c r="AS68" s="19">
        <v>81.896348398946799</v>
      </c>
      <c r="AT68" s="18">
        <v>2.4223064450090301E-2</v>
      </c>
      <c r="AU68" s="19">
        <v>59.679309878898401</v>
      </c>
      <c r="AV68" s="18">
        <v>0.17681533213464501</v>
      </c>
      <c r="AW68" s="19">
        <v>63.9220292727572</v>
      </c>
      <c r="AX68" s="18">
        <v>0.120324843042195</v>
      </c>
      <c r="AY68" s="19">
        <v>86.565965693991899</v>
      </c>
      <c r="AZ68" s="18">
        <v>2.8577283628454998E-2</v>
      </c>
      <c r="BA68" s="19">
        <v>102.165613447059</v>
      </c>
      <c r="BB68" s="18">
        <v>-3.6212163285799001E-2</v>
      </c>
      <c r="BC68" s="19">
        <v>93.991942596511905</v>
      </c>
      <c r="BD68" s="18">
        <v>-4.9530672138478104E-3</v>
      </c>
      <c r="BE68" s="19">
        <v>81.090988333501002</v>
      </c>
      <c r="BF68" s="18">
        <v>2.2078994334307999E-2</v>
      </c>
      <c r="BG68" s="19"/>
      <c r="BH68" s="18"/>
    </row>
    <row r="69" spans="1:60" x14ac:dyDescent="0.2">
      <c r="A69" s="16">
        <v>1994</v>
      </c>
      <c r="B69" s="16">
        <v>2</v>
      </c>
      <c r="C69" s="19">
        <v>91.343799310653196</v>
      </c>
      <c r="D69" s="18">
        <v>1.5041052853732801E-2</v>
      </c>
      <c r="E69" s="19">
        <v>91.092799732505796</v>
      </c>
      <c r="F69" s="18">
        <v>1.5378597911270201E-2</v>
      </c>
      <c r="G69" s="19">
        <v>132.718553701947</v>
      </c>
      <c r="H69" s="18">
        <v>-1.87886357820699E-3</v>
      </c>
      <c r="I69" s="19">
        <v>79.553698828303595</v>
      </c>
      <c r="J69" s="18">
        <v>2.40589201542671E-2</v>
      </c>
      <c r="K69" s="19">
        <v>111.744404085593</v>
      </c>
      <c r="L69" s="18">
        <v>1.2257521822845801E-2</v>
      </c>
      <c r="M69" s="19">
        <v>216.979684857763</v>
      </c>
      <c r="N69" s="18">
        <v>-3.8294089649414803E-2</v>
      </c>
      <c r="O69" s="19">
        <v>86.698143136504498</v>
      </c>
      <c r="P69" s="18">
        <v>2.4667721807138301E-2</v>
      </c>
      <c r="Q69" s="19">
        <v>63.907357191674699</v>
      </c>
      <c r="R69" s="18">
        <v>5.1313146667600201E-2</v>
      </c>
      <c r="S69" s="19">
        <v>170.730612789948</v>
      </c>
      <c r="T69" s="18">
        <v>8.4681957253396301E-4</v>
      </c>
      <c r="U69" s="19">
        <v>81.370355816517105</v>
      </c>
      <c r="V69" s="18">
        <v>4.5349359573360302E-2</v>
      </c>
      <c r="W69" s="19">
        <v>104.88369267825099</v>
      </c>
      <c r="X69" s="18">
        <v>2.7384109418873401E-2</v>
      </c>
      <c r="Y69" s="19">
        <v>120.185422811048</v>
      </c>
      <c r="Z69" s="18">
        <v>1.7779773884383E-2</v>
      </c>
      <c r="AA69" s="19">
        <v>63.0316469240367</v>
      </c>
      <c r="AB69" s="18">
        <v>-1.27344970939096E-2</v>
      </c>
      <c r="AC69" s="19">
        <v>68.195808613093106</v>
      </c>
      <c r="AD69" s="18">
        <v>4.7717203487431602E-2</v>
      </c>
      <c r="AE69" s="19">
        <v>111.663979356174</v>
      </c>
      <c r="AF69" s="18">
        <v>1.8545455166938001E-2</v>
      </c>
      <c r="AG69" s="19">
        <v>116.93582207242299</v>
      </c>
      <c r="AH69" s="18">
        <v>-6.8306983012906095E-2</v>
      </c>
      <c r="AI69" s="19">
        <v>110.156955575468</v>
      </c>
      <c r="AJ69" s="18">
        <v>-1.51285582493199E-2</v>
      </c>
      <c r="AK69" s="19">
        <v>149.755712862455</v>
      </c>
      <c r="AL69" s="18">
        <v>-0.13357300923617901</v>
      </c>
      <c r="AM69" s="19">
        <v>69.407445026386597</v>
      </c>
      <c r="AN69" s="18">
        <v>2.5779609893156901E-2</v>
      </c>
      <c r="AO69" s="19">
        <v>78.788390719293702</v>
      </c>
      <c r="AP69" s="18">
        <v>4.7633464170120403E-3</v>
      </c>
      <c r="AQ69" s="19">
        <v>67.979018976687598</v>
      </c>
      <c r="AR69" s="18">
        <v>3.4313010104924498E-2</v>
      </c>
      <c r="AS69" s="19">
        <v>82.290897675168395</v>
      </c>
      <c r="AT69" s="18">
        <v>2.7057353708805701E-2</v>
      </c>
      <c r="AU69" s="19">
        <v>61.510438576622903</v>
      </c>
      <c r="AV69" s="18">
        <v>0.16116162386729899</v>
      </c>
      <c r="AW69" s="19">
        <v>65.849574015267294</v>
      </c>
      <c r="AX69" s="18">
        <v>0.141806684985648</v>
      </c>
      <c r="AY69" s="19">
        <v>86.969259418581004</v>
      </c>
      <c r="AZ69" s="18">
        <v>2.7426688629734498E-2</v>
      </c>
      <c r="BA69" s="19">
        <v>95.021045570812802</v>
      </c>
      <c r="BB69" s="18">
        <v>2.0674140701639802E-3</v>
      </c>
      <c r="BC69" s="19">
        <v>90.676658873461093</v>
      </c>
      <c r="BD69" s="18">
        <v>1.00930526678233E-2</v>
      </c>
      <c r="BE69" s="19">
        <v>81.429626434027796</v>
      </c>
      <c r="BF69" s="18">
        <v>1.92705071699504E-2</v>
      </c>
      <c r="BG69" s="19"/>
      <c r="BH69" s="18"/>
    </row>
    <row r="70" spans="1:60" x14ac:dyDescent="0.2">
      <c r="A70" s="16">
        <v>1994</v>
      </c>
      <c r="B70" s="16">
        <v>3</v>
      </c>
      <c r="C70" s="19">
        <v>91.114748728885004</v>
      </c>
      <c r="D70" s="18">
        <v>8.0535303759501405E-3</v>
      </c>
      <c r="E70" s="19">
        <v>91.009388323891301</v>
      </c>
      <c r="F70" s="18">
        <v>1.0023689530494401E-2</v>
      </c>
      <c r="G70" s="19">
        <v>136.34414589014</v>
      </c>
      <c r="H70" s="18">
        <v>4.7318734122108203E-3</v>
      </c>
      <c r="I70" s="19">
        <v>79.7176851225814</v>
      </c>
      <c r="J70" s="18">
        <v>3.5042572102448502E-2</v>
      </c>
      <c r="K70" s="19">
        <v>111.68873947641799</v>
      </c>
      <c r="L70" s="18">
        <v>1.2362128520467801E-2</v>
      </c>
      <c r="M70" s="19">
        <v>213.85860345668701</v>
      </c>
      <c r="N70" s="18">
        <v>-3.5828919535480501E-2</v>
      </c>
      <c r="O70" s="19">
        <v>86.941747879439802</v>
      </c>
      <c r="P70" s="18">
        <v>2.43025723880625E-2</v>
      </c>
      <c r="Q70" s="19">
        <v>63.641994330810199</v>
      </c>
      <c r="R70" s="18">
        <v>4.4110760746641602E-2</v>
      </c>
      <c r="S70" s="19">
        <v>168.291260932933</v>
      </c>
      <c r="T70" s="18">
        <v>-9.8843557669943093E-3</v>
      </c>
      <c r="U70" s="19">
        <v>81.026582150274194</v>
      </c>
      <c r="V70" s="18">
        <v>3.6735974967716703E-2</v>
      </c>
      <c r="W70" s="19">
        <v>105.026058353019</v>
      </c>
      <c r="X70" s="18">
        <v>3.3264811073202998E-2</v>
      </c>
      <c r="Y70" s="19">
        <v>119.99962445492601</v>
      </c>
      <c r="Z70" s="18">
        <v>3.0394485103982599E-2</v>
      </c>
      <c r="AA70" s="19">
        <v>62.865871751204303</v>
      </c>
      <c r="AB70" s="18">
        <v>-7.6671281715258201E-3</v>
      </c>
      <c r="AC70" s="19">
        <v>68.238740321888699</v>
      </c>
      <c r="AD70" s="18">
        <v>4.3074058146467302E-2</v>
      </c>
      <c r="AE70" s="19">
        <v>111.705670677559</v>
      </c>
      <c r="AF70" s="18">
        <v>1.59645586751147E-2</v>
      </c>
      <c r="AG70" s="19">
        <v>114.05592453147899</v>
      </c>
      <c r="AH70" s="18">
        <v>-0.11172553609968799</v>
      </c>
      <c r="AI70" s="19">
        <v>107.42265116869901</v>
      </c>
      <c r="AJ70" s="18">
        <v>-8.8327697390308199E-2</v>
      </c>
      <c r="AK70" s="19">
        <v>146.28834332647699</v>
      </c>
      <c r="AL70" s="18">
        <v>-0.140124328156568</v>
      </c>
      <c r="AM70" s="19">
        <v>69.618937543105901</v>
      </c>
      <c r="AN70" s="18">
        <v>2.1641799869039E-2</v>
      </c>
      <c r="AO70" s="19">
        <v>78.847296051967803</v>
      </c>
      <c r="AP70" s="18">
        <v>5.4251225985828501E-3</v>
      </c>
      <c r="AQ70" s="19">
        <v>68.258998201278104</v>
      </c>
      <c r="AR70" s="18">
        <v>2.6174789559374498E-2</v>
      </c>
      <c r="AS70" s="19">
        <v>82.471360721644302</v>
      </c>
      <c r="AT70" s="18">
        <v>2.90041630079119E-2</v>
      </c>
      <c r="AU70" s="19">
        <v>62.262889043064199</v>
      </c>
      <c r="AV70" s="18">
        <v>0.14460005082492</v>
      </c>
      <c r="AW70" s="19">
        <v>66.720131152143594</v>
      </c>
      <c r="AX70" s="18">
        <v>0.135071047481053</v>
      </c>
      <c r="AY70" s="19">
        <v>87.150983861071893</v>
      </c>
      <c r="AZ70" s="18">
        <v>2.3280130249080998E-2</v>
      </c>
      <c r="BA70" s="19">
        <v>88.7139024936276</v>
      </c>
      <c r="BB70" s="18">
        <v>-6.9403029016745194E-2</v>
      </c>
      <c r="BC70" s="19">
        <v>87.718654014613193</v>
      </c>
      <c r="BD70" s="18">
        <v>-2.8380139413904801E-2</v>
      </c>
      <c r="BE70" s="19">
        <v>81.785268706034401</v>
      </c>
      <c r="BF70" s="18">
        <v>1.7638448844226499E-2</v>
      </c>
      <c r="BG70" s="19"/>
      <c r="BH70" s="18"/>
    </row>
    <row r="71" spans="1:60" x14ac:dyDescent="0.2">
      <c r="A71" s="16">
        <v>1994</v>
      </c>
      <c r="B71" s="16">
        <v>4</v>
      </c>
      <c r="C71" s="19">
        <v>90.867537866475303</v>
      </c>
      <c r="D71" s="18">
        <v>3.4445762636032798E-3</v>
      </c>
      <c r="E71" s="19">
        <v>90.928467769535501</v>
      </c>
      <c r="F71" s="18">
        <v>5.5014516227680499E-3</v>
      </c>
      <c r="G71" s="19">
        <v>135.021988125684</v>
      </c>
      <c r="H71" s="18">
        <v>7.3696431722929398E-3</v>
      </c>
      <c r="I71" s="19">
        <v>79.652694671259695</v>
      </c>
      <c r="J71" s="18">
        <v>2.3056845262751501E-2</v>
      </c>
      <c r="K71" s="19">
        <v>111.261842466652</v>
      </c>
      <c r="L71" s="18">
        <v>8.9986079737991408E-3</v>
      </c>
      <c r="M71" s="19">
        <v>208.93948522292899</v>
      </c>
      <c r="N71" s="18">
        <v>-4.7388293213655099E-2</v>
      </c>
      <c r="O71" s="19">
        <v>86.953587577949193</v>
      </c>
      <c r="P71" s="18">
        <v>2.2657538008467901E-2</v>
      </c>
      <c r="Q71" s="19">
        <v>64.875833733869001</v>
      </c>
      <c r="R71" s="18">
        <v>2.6187728218760802E-2</v>
      </c>
      <c r="S71" s="19">
        <v>162.40241158021701</v>
      </c>
      <c r="T71" s="18">
        <v>-3.9598648969567697E-2</v>
      </c>
      <c r="U71" s="19">
        <v>81.246830628615598</v>
      </c>
      <c r="V71" s="18">
        <v>2.3082384993367702E-2</v>
      </c>
      <c r="W71" s="19">
        <v>104.295821604555</v>
      </c>
      <c r="X71" s="18">
        <v>1.8149570500801699E-2</v>
      </c>
      <c r="Y71" s="19">
        <v>118.814439479374</v>
      </c>
      <c r="Z71" s="18">
        <v>1.53686924056249E-2</v>
      </c>
      <c r="AA71" s="19">
        <v>62.8978702829952</v>
      </c>
      <c r="AB71" s="18">
        <v>-3.44939787624432E-3</v>
      </c>
      <c r="AC71" s="19">
        <v>68.627669271608397</v>
      </c>
      <c r="AD71" s="18">
        <v>3.3390830786789803E-2</v>
      </c>
      <c r="AE71" s="19">
        <v>111.28490532482699</v>
      </c>
      <c r="AF71" s="18">
        <v>8.4253582838411702E-3</v>
      </c>
      <c r="AG71" s="19">
        <v>113.502217376978</v>
      </c>
      <c r="AH71" s="18">
        <v>-9.4390994760356201E-2</v>
      </c>
      <c r="AI71" s="19">
        <v>107.276795994181</v>
      </c>
      <c r="AJ71" s="18">
        <v>-6.7300321020724002E-2</v>
      </c>
      <c r="AK71" s="19">
        <v>145.30649440020801</v>
      </c>
      <c r="AL71" s="18">
        <v>-0.11656823140439899</v>
      </c>
      <c r="AM71" s="19">
        <v>69.800890639809793</v>
      </c>
      <c r="AN71" s="18">
        <v>1.93688736629976E-2</v>
      </c>
      <c r="AO71" s="19">
        <v>79.074140024402595</v>
      </c>
      <c r="AP71" s="18">
        <v>7.3965451692865596E-3</v>
      </c>
      <c r="AQ71" s="19">
        <v>68.951659170368302</v>
      </c>
      <c r="AR71" s="18">
        <v>1.19283630159688E-2</v>
      </c>
      <c r="AS71" s="19">
        <v>82.436195180181301</v>
      </c>
      <c r="AT71" s="18">
        <v>2.47954806336559E-2</v>
      </c>
      <c r="AU71" s="19">
        <v>61.560110178371502</v>
      </c>
      <c r="AV71" s="18">
        <v>8.7824952215012797E-2</v>
      </c>
      <c r="AW71" s="19">
        <v>66.429868833948305</v>
      </c>
      <c r="AX71" s="18">
        <v>9.2666722519348904E-2</v>
      </c>
      <c r="AY71" s="19">
        <v>87.202083676389805</v>
      </c>
      <c r="AZ71" s="18">
        <v>1.55425729965868E-2</v>
      </c>
      <c r="BA71" s="19">
        <v>81.824206593044707</v>
      </c>
      <c r="BB71" s="18">
        <v>-7.6768143418312798E-2</v>
      </c>
      <c r="BC71" s="19">
        <v>84.242179545063394</v>
      </c>
      <c r="BD71" s="18">
        <v>-3.40540675983751E-2</v>
      </c>
      <c r="BE71" s="19">
        <v>82.159135673169104</v>
      </c>
      <c r="BF71" s="18">
        <v>1.72192797842767E-2</v>
      </c>
      <c r="BG71" s="19"/>
      <c r="BH71" s="18"/>
    </row>
    <row r="72" spans="1:60" x14ac:dyDescent="0.2">
      <c r="A72" s="16">
        <v>1995</v>
      </c>
      <c r="B72" s="16">
        <v>1</v>
      </c>
      <c r="C72" s="19">
        <v>91.645975682007602</v>
      </c>
      <c r="D72" s="18">
        <v>2.40591230137266E-3</v>
      </c>
      <c r="E72" s="19">
        <v>90.782992216029598</v>
      </c>
      <c r="F72" s="18">
        <v>-2.4969742150733301E-3</v>
      </c>
      <c r="G72" s="19">
        <v>126.96060230845799</v>
      </c>
      <c r="H72" s="18">
        <v>-6.3036472363791604E-2</v>
      </c>
      <c r="I72" s="19">
        <v>79.148689017297798</v>
      </c>
      <c r="J72" s="18">
        <v>3.7184717117022499E-4</v>
      </c>
      <c r="K72" s="19">
        <v>110.18256970659201</v>
      </c>
      <c r="L72" s="18">
        <v>-8.5031228343396305E-3</v>
      </c>
      <c r="M72" s="19">
        <v>201.62166992898901</v>
      </c>
      <c r="N72" s="18">
        <v>-7.6229642502816594E-2</v>
      </c>
      <c r="O72" s="19">
        <v>86.704958913190893</v>
      </c>
      <c r="P72" s="18">
        <v>8.2818781065918702E-3</v>
      </c>
      <c r="Q72" s="19">
        <v>65.737498182625501</v>
      </c>
      <c r="R72" s="18">
        <v>2.36850041272911E-2</v>
      </c>
      <c r="S72" s="19">
        <v>155.68428303565301</v>
      </c>
      <c r="T72" s="18">
        <v>-8.9098794328380401E-2</v>
      </c>
      <c r="U72" s="19">
        <v>81.231560822957803</v>
      </c>
      <c r="V72" s="18">
        <v>4.5468178961507498E-3</v>
      </c>
      <c r="W72" s="19">
        <v>104.647074343702</v>
      </c>
      <c r="X72" s="18">
        <v>9.75942644736438E-4</v>
      </c>
      <c r="Y72" s="19">
        <v>121.853672349886</v>
      </c>
      <c r="Z72" s="18">
        <v>6.4226903786746004E-3</v>
      </c>
      <c r="AA72" s="19">
        <v>65.199047184898703</v>
      </c>
      <c r="AB72" s="18">
        <v>3.4638604533341999E-2</v>
      </c>
      <c r="AC72" s="19">
        <v>70.738026598755098</v>
      </c>
      <c r="AD72" s="18">
        <v>4.6003000400186102E-2</v>
      </c>
      <c r="AE72" s="19">
        <v>110.719480786254</v>
      </c>
      <c r="AF72" s="18">
        <v>-4.8526161617605803E-3</v>
      </c>
      <c r="AG72" s="19">
        <v>114.30739502320699</v>
      </c>
      <c r="AH72" s="18">
        <v>-5.2426491256520498E-2</v>
      </c>
      <c r="AI72" s="19">
        <v>106.243384174377</v>
      </c>
      <c r="AJ72" s="18">
        <v>-5.4813176090569897E-2</v>
      </c>
      <c r="AK72" s="19">
        <v>148.06005978941701</v>
      </c>
      <c r="AL72" s="18">
        <v>-4.9541634853023098E-2</v>
      </c>
      <c r="AM72" s="19">
        <v>69.477025148812302</v>
      </c>
      <c r="AN72" s="18">
        <v>5.2279937681540796E-3</v>
      </c>
      <c r="AO72" s="19">
        <v>79.622581719048597</v>
      </c>
      <c r="AP72" s="18">
        <v>1.1612927772210299E-2</v>
      </c>
      <c r="AQ72" s="19">
        <v>67.877808471729793</v>
      </c>
      <c r="AR72" s="18">
        <v>-3.7000937004208999E-3</v>
      </c>
      <c r="AS72" s="19">
        <v>82.190981593025697</v>
      </c>
      <c r="AT72" s="18">
        <v>3.5976353016822201E-3</v>
      </c>
      <c r="AU72" s="19">
        <v>60.592059399352998</v>
      </c>
      <c r="AV72" s="18">
        <v>1.52942371871727E-2</v>
      </c>
      <c r="AW72" s="19">
        <v>64.841350119027396</v>
      </c>
      <c r="AX72" s="18">
        <v>1.43819095971975E-2</v>
      </c>
      <c r="AY72" s="19">
        <v>86.760254517201105</v>
      </c>
      <c r="AZ72" s="18">
        <v>2.2444019615745999E-3</v>
      </c>
      <c r="BA72" s="19">
        <v>121.060426580567</v>
      </c>
      <c r="BB72" s="18">
        <v>0.18494298126344999</v>
      </c>
      <c r="BC72" s="19">
        <v>104.386171391562</v>
      </c>
      <c r="BD72" s="18">
        <v>0.11058638121429699</v>
      </c>
      <c r="BE72" s="19">
        <v>82.844649382119002</v>
      </c>
      <c r="BF72" s="18">
        <v>2.1625843816403E-2</v>
      </c>
      <c r="BG72" s="19"/>
      <c r="BH72" s="18"/>
    </row>
    <row r="73" spans="1:60" x14ac:dyDescent="0.2">
      <c r="A73" s="16">
        <v>1995</v>
      </c>
      <c r="B73" s="16">
        <v>2</v>
      </c>
      <c r="C73" s="19">
        <v>91.721504446399507</v>
      </c>
      <c r="D73" s="18">
        <v>4.1349838587485498E-3</v>
      </c>
      <c r="E73" s="19">
        <v>91.118325171824495</v>
      </c>
      <c r="F73" s="18">
        <v>2.8021357773266902E-4</v>
      </c>
      <c r="G73" s="19">
        <v>122.635547869306</v>
      </c>
      <c r="H73" s="18">
        <v>-7.5972842917538502E-2</v>
      </c>
      <c r="I73" s="19">
        <v>79.915287674904206</v>
      </c>
      <c r="J73" s="18">
        <v>4.5452172799775904E-3</v>
      </c>
      <c r="K73" s="19">
        <v>110.468223146876</v>
      </c>
      <c r="L73" s="18">
        <v>-1.1420535544123299E-2</v>
      </c>
      <c r="M73" s="19">
        <v>199.51326058577399</v>
      </c>
      <c r="N73" s="18">
        <v>-8.0497970505575001E-2</v>
      </c>
      <c r="O73" s="19">
        <v>87.218985045552401</v>
      </c>
      <c r="P73" s="18">
        <v>6.0075324592336896E-3</v>
      </c>
      <c r="Q73" s="19">
        <v>65.8223004051153</v>
      </c>
      <c r="R73" s="18">
        <v>2.99643624394796E-2</v>
      </c>
      <c r="S73" s="19">
        <v>149.35409720138401</v>
      </c>
      <c r="T73" s="18">
        <v>-0.12520610826169601</v>
      </c>
      <c r="U73" s="19">
        <v>81.122960535626007</v>
      </c>
      <c r="V73" s="18">
        <v>-3.0403613012214298E-3</v>
      </c>
      <c r="W73" s="19">
        <v>104.311487909389</v>
      </c>
      <c r="X73" s="18">
        <v>-5.4556123478360901E-3</v>
      </c>
      <c r="Y73" s="19">
        <v>120.75001160310499</v>
      </c>
      <c r="Z73" s="18">
        <v>4.6976478415734499E-3</v>
      </c>
      <c r="AA73" s="19">
        <v>65.906998215847395</v>
      </c>
      <c r="AB73" s="18">
        <v>4.5617581518629699E-2</v>
      </c>
      <c r="AC73" s="19">
        <v>72.635495009271807</v>
      </c>
      <c r="AD73" s="18">
        <v>6.5102041994502993E-2</v>
      </c>
      <c r="AE73" s="19">
        <v>112.11598548442601</v>
      </c>
      <c r="AF73" s="18">
        <v>4.0479134888262696E-3</v>
      </c>
      <c r="AG73" s="19">
        <v>115.445967063463</v>
      </c>
      <c r="AH73" s="18">
        <v>-1.2740792193145899E-2</v>
      </c>
      <c r="AI73" s="19">
        <v>108.79620076481901</v>
      </c>
      <c r="AJ73" s="18">
        <v>-1.2352872349636701E-2</v>
      </c>
      <c r="AK73" s="19">
        <v>147.289744634334</v>
      </c>
      <c r="AL73" s="18">
        <v>-1.64666053867699E-2</v>
      </c>
      <c r="AM73" s="19">
        <v>69.941725921507299</v>
      </c>
      <c r="AN73" s="18">
        <v>7.6977461843974497E-3</v>
      </c>
      <c r="AO73" s="19">
        <v>79.948305116764402</v>
      </c>
      <c r="AP73" s="18">
        <v>1.47218947725847E-2</v>
      </c>
      <c r="AQ73" s="19">
        <v>67.901891487747406</v>
      </c>
      <c r="AR73" s="18">
        <v>-1.1345778462422699E-3</v>
      </c>
      <c r="AS73" s="19">
        <v>82.769212042830304</v>
      </c>
      <c r="AT73" s="18">
        <v>5.8124820748699504E-3</v>
      </c>
      <c r="AU73" s="19">
        <v>61.628365011813003</v>
      </c>
      <c r="AV73" s="18">
        <v>1.9171776030044701E-3</v>
      </c>
      <c r="AW73" s="19">
        <v>66.641079811121699</v>
      </c>
      <c r="AX73" s="18">
        <v>1.2019907610501399E-2</v>
      </c>
      <c r="AY73" s="19">
        <v>87.643575232519296</v>
      </c>
      <c r="AZ73" s="18">
        <v>7.7534961024896499E-3</v>
      </c>
      <c r="BA73" s="19">
        <v>110.082986260288</v>
      </c>
      <c r="BB73" s="18">
        <v>0.15851162865021101</v>
      </c>
      <c r="BC73" s="19">
        <v>99.0284027229185</v>
      </c>
      <c r="BD73" s="18">
        <v>9.2104671182384704E-2</v>
      </c>
      <c r="BE73" s="19">
        <v>82.934736047786103</v>
      </c>
      <c r="BF73" s="18">
        <v>1.8483562797352301E-2</v>
      </c>
      <c r="BG73" s="19"/>
      <c r="BH73" s="18"/>
    </row>
    <row r="74" spans="1:60" x14ac:dyDescent="0.2">
      <c r="A74" s="16">
        <v>1995</v>
      </c>
      <c r="B74" s="16">
        <v>3</v>
      </c>
      <c r="C74" s="19">
        <v>92.179049917191605</v>
      </c>
      <c r="D74" s="18">
        <v>1.16808881454911E-2</v>
      </c>
      <c r="E74" s="19">
        <v>91.308284333908006</v>
      </c>
      <c r="F74" s="18">
        <v>3.2842327096294101E-3</v>
      </c>
      <c r="G74" s="19">
        <v>121.922683782969</v>
      </c>
      <c r="H74" s="18">
        <v>-0.10577250686502999</v>
      </c>
      <c r="I74" s="19">
        <v>79.320435287950403</v>
      </c>
      <c r="J74" s="18">
        <v>-4.9832083560901203E-3</v>
      </c>
      <c r="K74" s="19">
        <v>110.2306515974</v>
      </c>
      <c r="L74" s="18">
        <v>-1.30549228673643E-2</v>
      </c>
      <c r="M74" s="19">
        <v>197.852532330234</v>
      </c>
      <c r="N74" s="18">
        <v>-7.4844176795976006E-2</v>
      </c>
      <c r="O74" s="19">
        <v>87.202487031248396</v>
      </c>
      <c r="P74" s="18">
        <v>2.9990097757202098E-3</v>
      </c>
      <c r="Q74" s="19">
        <v>66.907526708692799</v>
      </c>
      <c r="R74" s="18">
        <v>5.1310968680655003E-2</v>
      </c>
      <c r="S74" s="19">
        <v>149.09628756817699</v>
      </c>
      <c r="T74" s="18">
        <v>-0.11405805184623399</v>
      </c>
      <c r="U74" s="19">
        <v>79.589538953566503</v>
      </c>
      <c r="V74" s="18">
        <v>-1.7735453706322499E-2</v>
      </c>
      <c r="W74" s="19">
        <v>104.318102718742</v>
      </c>
      <c r="X74" s="18">
        <v>-6.7407617250286904E-3</v>
      </c>
      <c r="Y74" s="19">
        <v>120.113584040482</v>
      </c>
      <c r="Z74" s="18">
        <v>9.4966618498837395E-4</v>
      </c>
      <c r="AA74" s="19">
        <v>66.339015346038096</v>
      </c>
      <c r="AB74" s="18">
        <v>5.5246885123599203E-2</v>
      </c>
      <c r="AC74" s="19">
        <v>72.745203237822906</v>
      </c>
      <c r="AD74" s="18">
        <v>6.6039655695237204E-2</v>
      </c>
      <c r="AE74" s="19">
        <v>112.22449532422399</v>
      </c>
      <c r="AF74" s="18">
        <v>4.6445685659266501E-3</v>
      </c>
      <c r="AG74" s="19">
        <v>117.216916750724</v>
      </c>
      <c r="AH74" s="18">
        <v>2.7714406175996201E-2</v>
      </c>
      <c r="AI74" s="19">
        <v>112.63580710658</v>
      </c>
      <c r="AJ74" s="18">
        <v>4.8529391903523199E-2</v>
      </c>
      <c r="AK74" s="19">
        <v>146.14215613176199</v>
      </c>
      <c r="AL74" s="18">
        <v>-9.9930856683660995E-4</v>
      </c>
      <c r="AM74" s="19">
        <v>70.393456331115502</v>
      </c>
      <c r="AN74" s="18">
        <v>1.1125116460302601E-2</v>
      </c>
      <c r="AO74" s="19">
        <v>79.807081718212103</v>
      </c>
      <c r="AP74" s="18">
        <v>1.21727150365645E-2</v>
      </c>
      <c r="AQ74" s="19">
        <v>68.5625454074207</v>
      </c>
      <c r="AR74" s="18">
        <v>4.4469918126761598E-3</v>
      </c>
      <c r="AS74" s="19">
        <v>82.924725328017601</v>
      </c>
      <c r="AT74" s="18">
        <v>5.4972368881298604E-3</v>
      </c>
      <c r="AU74" s="19">
        <v>61.853447148989098</v>
      </c>
      <c r="AV74" s="18">
        <v>-6.5760182408487501E-3</v>
      </c>
      <c r="AW74" s="19">
        <v>67.138215739386496</v>
      </c>
      <c r="AX74" s="18">
        <v>6.2662434863853802E-3</v>
      </c>
      <c r="AY74" s="19">
        <v>88.031390169522297</v>
      </c>
      <c r="AZ74" s="18">
        <v>1.0102081117682E-2</v>
      </c>
      <c r="BA74" s="19">
        <v>121.778472703714</v>
      </c>
      <c r="BB74" s="18">
        <v>0.37271013088913502</v>
      </c>
      <c r="BC74" s="19">
        <v>104.91105713585701</v>
      </c>
      <c r="BD74" s="18">
        <v>0.195994835013998</v>
      </c>
      <c r="BE74" s="19">
        <v>83.116107013852996</v>
      </c>
      <c r="BF74" s="18">
        <v>1.6272347439514102E-2</v>
      </c>
      <c r="BG74" s="19"/>
      <c r="BH74" s="18"/>
    </row>
    <row r="75" spans="1:60" x14ac:dyDescent="0.2">
      <c r="A75" s="16">
        <v>1995</v>
      </c>
      <c r="B75" s="16">
        <v>4</v>
      </c>
      <c r="C75" s="19">
        <v>91.878724752394007</v>
      </c>
      <c r="D75" s="18">
        <v>1.11281422349594E-2</v>
      </c>
      <c r="E75" s="19">
        <v>91.364311954293996</v>
      </c>
      <c r="F75" s="18">
        <v>4.7932643697803402E-3</v>
      </c>
      <c r="G75" s="19">
        <v>118.21007635775101</v>
      </c>
      <c r="H75" s="18">
        <v>-0.124512399804717</v>
      </c>
      <c r="I75" s="19">
        <v>79.494111481353102</v>
      </c>
      <c r="J75" s="18">
        <v>-1.9909331449619E-3</v>
      </c>
      <c r="K75" s="19">
        <v>109.795328931089</v>
      </c>
      <c r="L75" s="18">
        <v>-1.31807410613561E-2</v>
      </c>
      <c r="M75" s="19">
        <v>197.67573865212401</v>
      </c>
      <c r="N75" s="18">
        <v>-5.3909133349244097E-2</v>
      </c>
      <c r="O75" s="19">
        <v>86.689344983345194</v>
      </c>
      <c r="P75" s="18">
        <v>-3.03889237884591E-3</v>
      </c>
      <c r="Q75" s="19">
        <v>68.394952109188793</v>
      </c>
      <c r="R75" s="18">
        <v>5.4243902124723201E-2</v>
      </c>
      <c r="S75" s="19">
        <v>143.02801589004301</v>
      </c>
      <c r="T75" s="18">
        <v>-0.11929869453080599</v>
      </c>
      <c r="U75" s="19">
        <v>78.879581121173302</v>
      </c>
      <c r="V75" s="18">
        <v>-2.9136515100055101E-2</v>
      </c>
      <c r="W75" s="19">
        <v>103.996374336069</v>
      </c>
      <c r="X75" s="18">
        <v>-2.87113389471916E-3</v>
      </c>
      <c r="Y75" s="19">
        <v>119.05009078809201</v>
      </c>
      <c r="Z75" s="18">
        <v>1.9833558088631102E-3</v>
      </c>
      <c r="AA75" s="19">
        <v>65.334749381004997</v>
      </c>
      <c r="AB75" s="18">
        <v>3.8743427830634003E-2</v>
      </c>
      <c r="AC75" s="19">
        <v>73.312405595113901</v>
      </c>
      <c r="AD75" s="18">
        <v>6.8263083581707504E-2</v>
      </c>
      <c r="AE75" s="19">
        <v>113.345558812392</v>
      </c>
      <c r="AF75" s="18">
        <v>1.8516918188956202E-2</v>
      </c>
      <c r="AG75" s="19">
        <v>119.246736046664</v>
      </c>
      <c r="AH75" s="18">
        <v>5.0611510527646099E-2</v>
      </c>
      <c r="AI75" s="19">
        <v>117.13536843619499</v>
      </c>
      <c r="AJ75" s="18">
        <v>9.1898460898746495E-2</v>
      </c>
      <c r="AK75" s="19">
        <v>144.525339857723</v>
      </c>
      <c r="AL75" s="18">
        <v>-5.3759093542930002E-3</v>
      </c>
      <c r="AM75" s="19">
        <v>70.6450970753299</v>
      </c>
      <c r="AN75" s="18">
        <v>1.20944937490333E-2</v>
      </c>
      <c r="AO75" s="19">
        <v>79.793444738818096</v>
      </c>
      <c r="AP75" s="18">
        <v>9.0965859912419695E-3</v>
      </c>
      <c r="AQ75" s="19">
        <v>69.625739937928998</v>
      </c>
      <c r="AR75" s="18">
        <v>9.7761355661536396E-3</v>
      </c>
      <c r="AS75" s="19">
        <v>83.004824281807601</v>
      </c>
      <c r="AT75" s="18">
        <v>6.8978086674598097E-3</v>
      </c>
      <c r="AU75" s="19">
        <v>62.551587522132898</v>
      </c>
      <c r="AV75" s="18">
        <v>1.6105840955915399E-2</v>
      </c>
      <c r="AW75" s="19">
        <v>67.3206881173749</v>
      </c>
      <c r="AX75" s="18">
        <v>1.3409920854327699E-2</v>
      </c>
      <c r="AY75" s="19">
        <v>88.619356423501202</v>
      </c>
      <c r="AZ75" s="18">
        <v>1.6252739468599599E-2</v>
      </c>
      <c r="BA75" s="19">
        <v>106.167693886322</v>
      </c>
      <c r="BB75" s="18">
        <v>0.29750960390426401</v>
      </c>
      <c r="BC75" s="19">
        <v>97.428151477481293</v>
      </c>
      <c r="BD75" s="18">
        <v>0.156524581909285</v>
      </c>
      <c r="BE75" s="19">
        <v>83.391129527857302</v>
      </c>
      <c r="BF75" s="18">
        <v>1.49952144042633E-2</v>
      </c>
      <c r="BG75" s="19"/>
      <c r="BH75" s="18"/>
    </row>
    <row r="76" spans="1:60" x14ac:dyDescent="0.2">
      <c r="A76" s="16">
        <v>1996</v>
      </c>
      <c r="B76" s="16">
        <v>1</v>
      </c>
      <c r="C76" s="19">
        <v>92.211597660288206</v>
      </c>
      <c r="D76" s="18">
        <v>6.1718146822196101E-3</v>
      </c>
      <c r="E76" s="19">
        <v>91.751009191786295</v>
      </c>
      <c r="F76" s="18">
        <v>1.0662977195697899E-2</v>
      </c>
      <c r="G76" s="19">
        <v>110.44283359571401</v>
      </c>
      <c r="H76" s="18">
        <v>-0.13010153080884701</v>
      </c>
      <c r="I76" s="19">
        <v>78.872019004482993</v>
      </c>
      <c r="J76" s="18">
        <v>-3.4955729052484901E-3</v>
      </c>
      <c r="K76" s="19">
        <v>109.67498426585</v>
      </c>
      <c r="L76" s="18">
        <v>-4.6067671328954302E-3</v>
      </c>
      <c r="M76" s="19">
        <v>197.62548227865901</v>
      </c>
      <c r="N76" s="18">
        <v>-1.9820228905637199E-2</v>
      </c>
      <c r="O76" s="19">
        <v>86.630175239674102</v>
      </c>
      <c r="P76" s="18">
        <v>-8.6250745579274902E-4</v>
      </c>
      <c r="Q76" s="19">
        <v>68.643789120151496</v>
      </c>
      <c r="R76" s="18">
        <v>4.4210549806017199E-2</v>
      </c>
      <c r="S76" s="19">
        <v>148.24748910044701</v>
      </c>
      <c r="T76" s="18">
        <v>-4.7768431020763301E-2</v>
      </c>
      <c r="U76" s="19">
        <v>78.633900465998494</v>
      </c>
      <c r="V76" s="18">
        <v>-3.1978461704322399E-2</v>
      </c>
      <c r="W76" s="19">
        <v>105.211063931637</v>
      </c>
      <c r="X76" s="18">
        <v>5.3894443917572596E-3</v>
      </c>
      <c r="Y76" s="19">
        <v>122.769111942222</v>
      </c>
      <c r="Z76" s="18">
        <v>7.5126138973273804E-3</v>
      </c>
      <c r="AA76" s="19">
        <v>65.779544901835095</v>
      </c>
      <c r="AB76" s="18">
        <v>8.9034693296996502E-3</v>
      </c>
      <c r="AC76" s="19">
        <v>73.612667023764999</v>
      </c>
      <c r="AD76" s="18">
        <v>4.06378374295846E-2</v>
      </c>
      <c r="AE76" s="19">
        <v>112.011654993226</v>
      </c>
      <c r="AF76" s="18">
        <v>1.1670703274580601E-2</v>
      </c>
      <c r="AG76" s="19">
        <v>122.373468395115</v>
      </c>
      <c r="AH76" s="18">
        <v>7.0564755414733504E-2</v>
      </c>
      <c r="AI76" s="19">
        <v>123.08525519128899</v>
      </c>
      <c r="AJ76" s="18">
        <v>0.158521597817987</v>
      </c>
      <c r="AK76" s="19">
        <v>142.29178600010599</v>
      </c>
      <c r="AL76" s="18">
        <v>-3.89590129675427E-2</v>
      </c>
      <c r="AM76" s="19">
        <v>70.686233418963894</v>
      </c>
      <c r="AN76" s="18">
        <v>1.7404433588824399E-2</v>
      </c>
      <c r="AO76" s="19">
        <v>79.855672506651601</v>
      </c>
      <c r="AP76" s="18">
        <v>2.9274457392689502E-3</v>
      </c>
      <c r="AQ76" s="19">
        <v>69.1380598793139</v>
      </c>
      <c r="AR76" s="18">
        <v>1.8566471663695301E-2</v>
      </c>
      <c r="AS76" s="19">
        <v>84.059109245417005</v>
      </c>
      <c r="AT76" s="18">
        <v>2.27291074541669E-2</v>
      </c>
      <c r="AU76" s="19">
        <v>63.245864921467501</v>
      </c>
      <c r="AV76" s="18">
        <v>4.3797909303984001E-2</v>
      </c>
      <c r="AW76" s="19">
        <v>67.515899386837205</v>
      </c>
      <c r="AX76" s="18">
        <v>4.1247587579533999E-2</v>
      </c>
      <c r="AY76" s="19">
        <v>88.425526487355199</v>
      </c>
      <c r="AZ76" s="18">
        <v>1.9193949803638598E-2</v>
      </c>
      <c r="BA76" s="19">
        <v>104.55737122161401</v>
      </c>
      <c r="BB76" s="18">
        <v>-0.13632080957496501</v>
      </c>
      <c r="BC76" s="19">
        <v>96.759826154545195</v>
      </c>
      <c r="BD76" s="18">
        <v>-7.3058961118611501E-2</v>
      </c>
      <c r="BE76" s="19">
        <v>83.762419092098099</v>
      </c>
      <c r="BF76" s="18">
        <v>1.10782013904831E-2</v>
      </c>
      <c r="BG76" s="19"/>
      <c r="BH76" s="18"/>
    </row>
    <row r="77" spans="1:60" x14ac:dyDescent="0.2">
      <c r="A77" s="16">
        <v>1996</v>
      </c>
      <c r="B77" s="16">
        <v>2</v>
      </c>
      <c r="C77" s="19">
        <v>92.564149258718103</v>
      </c>
      <c r="D77" s="18">
        <v>9.1869929239010197E-3</v>
      </c>
      <c r="E77" s="19">
        <v>91.619302934091806</v>
      </c>
      <c r="F77" s="18">
        <v>5.4981010825492201E-3</v>
      </c>
      <c r="G77" s="19">
        <v>107.62927438189899</v>
      </c>
      <c r="H77" s="18">
        <v>-0.122364793472441</v>
      </c>
      <c r="I77" s="19">
        <v>79.106254316245099</v>
      </c>
      <c r="J77" s="18">
        <v>-1.0123636943537E-2</v>
      </c>
      <c r="K77" s="19">
        <v>109.237765308543</v>
      </c>
      <c r="L77" s="18">
        <v>-1.11385682079559E-2</v>
      </c>
      <c r="M77" s="19">
        <v>198.03972215078099</v>
      </c>
      <c r="N77" s="18">
        <v>-7.38566665026252E-3</v>
      </c>
      <c r="O77" s="19">
        <v>86.158528615897296</v>
      </c>
      <c r="P77" s="18">
        <v>-1.2158550447488099E-2</v>
      </c>
      <c r="Q77" s="19">
        <v>66.247986623377201</v>
      </c>
      <c r="R77" s="18">
        <v>6.4672036018484898E-3</v>
      </c>
      <c r="S77" s="19">
        <v>154.642895657113</v>
      </c>
      <c r="T77" s="18">
        <v>3.5411137389809201E-2</v>
      </c>
      <c r="U77" s="19">
        <v>78.454577796078894</v>
      </c>
      <c r="V77" s="18">
        <v>-3.2893064083567403E-2</v>
      </c>
      <c r="W77" s="19">
        <v>105.294285364001</v>
      </c>
      <c r="X77" s="18">
        <v>9.4217566474219493E-3</v>
      </c>
      <c r="Y77" s="19">
        <v>122.327124711975</v>
      </c>
      <c r="Z77" s="18">
        <v>1.30609768722345E-2</v>
      </c>
      <c r="AA77" s="19">
        <v>66.485230279439094</v>
      </c>
      <c r="AB77" s="18">
        <v>8.7734547050375405E-3</v>
      </c>
      <c r="AC77" s="19">
        <v>73.865235537012495</v>
      </c>
      <c r="AD77" s="18">
        <v>1.6930297337186501E-2</v>
      </c>
      <c r="AE77" s="19">
        <v>113.115446688373</v>
      </c>
      <c r="AF77" s="18">
        <v>8.9145289998444604E-3</v>
      </c>
      <c r="AG77" s="19">
        <v>122.567683730667</v>
      </c>
      <c r="AH77" s="18">
        <v>6.1688743646531201E-2</v>
      </c>
      <c r="AI77" s="19">
        <v>124.083416881285</v>
      </c>
      <c r="AJ77" s="18">
        <v>0.140512407685182</v>
      </c>
      <c r="AK77" s="19">
        <v>140.91390915969799</v>
      </c>
      <c r="AL77" s="18">
        <v>-4.3287708118885798E-2</v>
      </c>
      <c r="AM77" s="19">
        <v>70.547316247011196</v>
      </c>
      <c r="AN77" s="18">
        <v>8.6584984503186302E-3</v>
      </c>
      <c r="AO77" s="19">
        <v>79.788396859519196</v>
      </c>
      <c r="AP77" s="18">
        <v>-2.0001456817838599E-3</v>
      </c>
      <c r="AQ77" s="19">
        <v>68.759765431806798</v>
      </c>
      <c r="AR77" s="18">
        <v>1.26340213102045E-2</v>
      </c>
      <c r="AS77" s="19">
        <v>84.221755603384906</v>
      </c>
      <c r="AT77" s="18">
        <v>1.75493220812954E-2</v>
      </c>
      <c r="AU77" s="19">
        <v>63.4862016934946</v>
      </c>
      <c r="AV77" s="18">
        <v>3.01458051227785E-2</v>
      </c>
      <c r="AW77" s="19">
        <v>67.604696402578895</v>
      </c>
      <c r="AX77" s="18">
        <v>1.4459798583520899E-2</v>
      </c>
      <c r="AY77" s="19">
        <v>88.198670121786407</v>
      </c>
      <c r="AZ77" s="18">
        <v>6.3335491254710198E-3</v>
      </c>
      <c r="BA77" s="19">
        <v>124.820977242692</v>
      </c>
      <c r="BB77" s="18">
        <v>0.13388073382708299</v>
      </c>
      <c r="BC77" s="19">
        <v>107.028264782908</v>
      </c>
      <c r="BD77" s="18">
        <v>8.07835109930366E-2</v>
      </c>
      <c r="BE77" s="19">
        <v>84.0320624256386</v>
      </c>
      <c r="BF77" s="18">
        <v>1.3231203596285801E-2</v>
      </c>
      <c r="BG77" s="19"/>
      <c r="BH77" s="18"/>
    </row>
    <row r="78" spans="1:60" x14ac:dyDescent="0.2">
      <c r="A78" s="16">
        <v>1996</v>
      </c>
      <c r="B78" s="16">
        <v>3</v>
      </c>
      <c r="C78" s="19">
        <v>92.010609094357093</v>
      </c>
      <c r="D78" s="18">
        <v>-1.8273221842259901E-3</v>
      </c>
      <c r="E78" s="19">
        <v>91.451262054246101</v>
      </c>
      <c r="F78" s="18">
        <v>1.56587894933247E-3</v>
      </c>
      <c r="G78" s="19">
        <v>106.548294829805</v>
      </c>
      <c r="H78" s="18">
        <v>-0.12609949581270499</v>
      </c>
      <c r="I78" s="19">
        <v>79.350015857810604</v>
      </c>
      <c r="J78" s="18">
        <v>3.7292495625851401E-4</v>
      </c>
      <c r="K78" s="19">
        <v>108.63996477251401</v>
      </c>
      <c r="L78" s="18">
        <v>-1.44305309080085E-2</v>
      </c>
      <c r="M78" s="19">
        <v>197.53791789842899</v>
      </c>
      <c r="N78" s="18">
        <v>-1.59014609568031E-3</v>
      </c>
      <c r="O78" s="19">
        <v>85.628699159384595</v>
      </c>
      <c r="P78" s="18">
        <v>-1.80475113204034E-2</v>
      </c>
      <c r="Q78" s="19">
        <v>67.467841247376995</v>
      </c>
      <c r="R78" s="18">
        <v>8.3744619812917698E-3</v>
      </c>
      <c r="S78" s="19">
        <v>154.24290991047999</v>
      </c>
      <c r="T78" s="18">
        <v>3.4518782635348598E-2</v>
      </c>
      <c r="U78" s="19">
        <v>78.166782239285098</v>
      </c>
      <c r="V78" s="18">
        <v>-1.7876177359331301E-2</v>
      </c>
      <c r="W78" s="19">
        <v>105.03780171861401</v>
      </c>
      <c r="X78" s="18">
        <v>6.8990806112745303E-3</v>
      </c>
      <c r="Y78" s="19">
        <v>120.85106428982699</v>
      </c>
      <c r="Z78" s="18">
        <v>6.1398571630055798E-3</v>
      </c>
      <c r="AA78" s="19">
        <v>66.983492678876999</v>
      </c>
      <c r="AB78" s="18">
        <v>9.7149065218586905E-3</v>
      </c>
      <c r="AC78" s="19">
        <v>73.894696272711201</v>
      </c>
      <c r="AD78" s="18">
        <v>1.5801633423585301E-2</v>
      </c>
      <c r="AE78" s="19">
        <v>113.371010895043</v>
      </c>
      <c r="AF78" s="18">
        <v>1.02162684492912E-2</v>
      </c>
      <c r="AG78" s="19">
        <v>121.20745415925499</v>
      </c>
      <c r="AH78" s="18">
        <v>3.4044040051125303E-2</v>
      </c>
      <c r="AI78" s="19">
        <v>121.793838774032</v>
      </c>
      <c r="AJ78" s="18">
        <v>8.1306574727045E-2</v>
      </c>
      <c r="AK78" s="19">
        <v>140.27269173732199</v>
      </c>
      <c r="AL78" s="18">
        <v>-4.0162705613489898E-2</v>
      </c>
      <c r="AM78" s="19">
        <v>70.345218805147397</v>
      </c>
      <c r="AN78" s="18">
        <v>-6.8525582464951096E-4</v>
      </c>
      <c r="AO78" s="19">
        <v>79.637975060437398</v>
      </c>
      <c r="AP78" s="18">
        <v>-2.11894300773707E-3</v>
      </c>
      <c r="AQ78" s="19">
        <v>69.542080900698593</v>
      </c>
      <c r="AR78" s="18">
        <v>1.42867434027896E-2</v>
      </c>
      <c r="AS78" s="19">
        <v>84.223618562230797</v>
      </c>
      <c r="AT78" s="18">
        <v>1.56635216948302E-2</v>
      </c>
      <c r="AU78" s="19">
        <v>63.933756312546201</v>
      </c>
      <c r="AV78" s="18">
        <v>3.3632873500908197E-2</v>
      </c>
      <c r="AW78" s="19">
        <v>67.641019264789094</v>
      </c>
      <c r="AX78" s="18">
        <v>7.4890808441263603E-3</v>
      </c>
      <c r="AY78" s="19">
        <v>88.182664305696093</v>
      </c>
      <c r="AZ78" s="18">
        <v>1.7184113062682601E-3</v>
      </c>
      <c r="BA78" s="19">
        <v>108.662049605785</v>
      </c>
      <c r="BB78" s="18">
        <v>-0.10770723927406101</v>
      </c>
      <c r="BC78" s="19">
        <v>98.981001556580907</v>
      </c>
      <c r="BD78" s="18">
        <v>-5.6524600372647699E-2</v>
      </c>
      <c r="BE78" s="19">
        <v>84.197604496865594</v>
      </c>
      <c r="BF78" s="18">
        <v>1.3011888090865001E-2</v>
      </c>
      <c r="BG78" s="19"/>
      <c r="BH78" s="18"/>
    </row>
    <row r="79" spans="1:60" x14ac:dyDescent="0.2">
      <c r="A79" s="16">
        <v>1996</v>
      </c>
      <c r="B79" s="16">
        <v>4</v>
      </c>
      <c r="C79" s="19">
        <v>91.518684126172602</v>
      </c>
      <c r="D79" s="18">
        <v>-3.9186506690388496E-3</v>
      </c>
      <c r="E79" s="19">
        <v>91.301347594432599</v>
      </c>
      <c r="F79" s="18">
        <v>-6.8915705174743503E-4</v>
      </c>
      <c r="G79" s="19">
        <v>108.479895889951</v>
      </c>
      <c r="H79" s="18">
        <v>-8.2312614690752295E-2</v>
      </c>
      <c r="I79" s="19">
        <v>78.946840210605998</v>
      </c>
      <c r="J79" s="18">
        <v>-6.8844252806766803E-3</v>
      </c>
      <c r="K79" s="19">
        <v>107.989798070641</v>
      </c>
      <c r="L79" s="18">
        <v>-1.6444514334319E-2</v>
      </c>
      <c r="M79" s="19">
        <v>195.53832803974501</v>
      </c>
      <c r="N79" s="18">
        <v>-1.0812710891852199E-2</v>
      </c>
      <c r="O79" s="19">
        <v>85.202108740922</v>
      </c>
      <c r="P79" s="18">
        <v>-1.71559289403901E-2</v>
      </c>
      <c r="Q79" s="19">
        <v>67.153519771330593</v>
      </c>
      <c r="R79" s="18">
        <v>-1.8150935113988E-2</v>
      </c>
      <c r="S79" s="19">
        <v>146.180493444305</v>
      </c>
      <c r="T79" s="18">
        <v>2.2040979416827901E-2</v>
      </c>
      <c r="U79" s="19">
        <v>77.534175336164395</v>
      </c>
      <c r="V79" s="18">
        <v>-1.7056451947204801E-2</v>
      </c>
      <c r="W79" s="19">
        <v>104.97536223924401</v>
      </c>
      <c r="X79" s="18">
        <v>9.4136734037590895E-3</v>
      </c>
      <c r="Y79" s="19">
        <v>119.786654956009</v>
      </c>
      <c r="Z79" s="18">
        <v>6.1870105519574699E-3</v>
      </c>
      <c r="AA79" s="19">
        <v>65.744975289555697</v>
      </c>
      <c r="AB79" s="18">
        <v>6.2788318993698402E-3</v>
      </c>
      <c r="AC79" s="19">
        <v>73.942991963517201</v>
      </c>
      <c r="AD79" s="18">
        <v>8.6013596646354901E-3</v>
      </c>
      <c r="AE79" s="19">
        <v>114.01355672242801</v>
      </c>
      <c r="AF79" s="18">
        <v>5.8934634672505003E-3</v>
      </c>
      <c r="AG79" s="19">
        <v>122.59170880255699</v>
      </c>
      <c r="AH79" s="18">
        <v>2.8050853774175499E-2</v>
      </c>
      <c r="AI79" s="19">
        <v>123.808708333127</v>
      </c>
      <c r="AJ79" s="18">
        <v>5.6971177758037297E-2</v>
      </c>
      <c r="AK79" s="19">
        <v>140.33647925476899</v>
      </c>
      <c r="AL79" s="18">
        <v>-2.8983572064782699E-2</v>
      </c>
      <c r="AM79" s="19">
        <v>69.984324376598295</v>
      </c>
      <c r="AN79" s="18">
        <v>-9.3534120000852202E-3</v>
      </c>
      <c r="AO79" s="19">
        <v>79.343531641049296</v>
      </c>
      <c r="AP79" s="18">
        <v>-5.6384719226180201E-3</v>
      </c>
      <c r="AQ79" s="19">
        <v>70.445869424400897</v>
      </c>
      <c r="AR79" s="18">
        <v>1.17791134026437E-2</v>
      </c>
      <c r="AS79" s="19">
        <v>84.178743183275699</v>
      </c>
      <c r="AT79" s="18">
        <v>1.41427791893469E-2</v>
      </c>
      <c r="AU79" s="19">
        <v>64.007217198570302</v>
      </c>
      <c r="AV79" s="18">
        <v>2.32708670411019E-2</v>
      </c>
      <c r="AW79" s="19">
        <v>67.715462950257503</v>
      </c>
      <c r="AX79" s="18">
        <v>5.8640938457774601E-3</v>
      </c>
      <c r="AY79" s="19">
        <v>88.209267685819796</v>
      </c>
      <c r="AZ79" s="18">
        <v>-4.62753008182204E-3</v>
      </c>
      <c r="BA79" s="19">
        <v>95.411473165478597</v>
      </c>
      <c r="BB79" s="18">
        <v>-0.101313500624404</v>
      </c>
      <c r="BC79" s="19">
        <v>91.867108063317701</v>
      </c>
      <c r="BD79" s="18">
        <v>-5.7078404237701198E-2</v>
      </c>
      <c r="BE79" s="19">
        <v>84.257854838067004</v>
      </c>
      <c r="BF79" s="18">
        <v>1.0393495268824699E-2</v>
      </c>
      <c r="BG79" s="19"/>
      <c r="BH79" s="18"/>
    </row>
    <row r="80" spans="1:60" x14ac:dyDescent="0.2">
      <c r="A80" s="16">
        <v>1997</v>
      </c>
      <c r="B80" s="16">
        <v>1</v>
      </c>
      <c r="C80" s="19">
        <v>91.948837826646994</v>
      </c>
      <c r="D80" s="18">
        <v>-2.84953129875487E-3</v>
      </c>
      <c r="E80" s="19">
        <v>91.376782712534606</v>
      </c>
      <c r="F80" s="18">
        <v>-4.0787178533308001E-3</v>
      </c>
      <c r="G80" s="19">
        <v>109.799854894463</v>
      </c>
      <c r="H80" s="18">
        <v>-5.8218236558894602E-3</v>
      </c>
      <c r="I80" s="19">
        <v>77.410365876581494</v>
      </c>
      <c r="J80" s="18">
        <v>-1.8531960337143199E-2</v>
      </c>
      <c r="K80" s="19">
        <v>107.946667785518</v>
      </c>
      <c r="L80" s="18">
        <v>-1.57585295489251E-2</v>
      </c>
      <c r="M80" s="19">
        <v>195.87650704350199</v>
      </c>
      <c r="N80" s="18">
        <v>-8.8499479671917403E-3</v>
      </c>
      <c r="O80" s="19">
        <v>85.122461124504198</v>
      </c>
      <c r="P80" s="18">
        <v>-1.7404029381201402E-2</v>
      </c>
      <c r="Q80" s="19">
        <v>67.4187182942308</v>
      </c>
      <c r="R80" s="18">
        <v>-1.7846783250504299E-2</v>
      </c>
      <c r="S80" s="19">
        <v>147.759481587972</v>
      </c>
      <c r="T80" s="18">
        <v>-3.29184335894073E-3</v>
      </c>
      <c r="U80" s="19">
        <v>76.486591696326997</v>
      </c>
      <c r="V80" s="18">
        <v>-2.7307672097482399E-2</v>
      </c>
      <c r="W80" s="19">
        <v>105.773769455959</v>
      </c>
      <c r="X80" s="18">
        <v>5.3483493398256404E-3</v>
      </c>
      <c r="Y80" s="19">
        <v>122.61670540106</v>
      </c>
      <c r="Z80" s="18">
        <v>-1.2414078651440401E-3</v>
      </c>
      <c r="AA80" s="19">
        <v>66.263667102069505</v>
      </c>
      <c r="AB80" s="18">
        <v>7.3597681613153396E-3</v>
      </c>
      <c r="AC80" s="19">
        <v>73.945375015977206</v>
      </c>
      <c r="AD80" s="18">
        <v>4.5197111538539704E-3</v>
      </c>
      <c r="AE80" s="19">
        <v>113.266794880267</v>
      </c>
      <c r="AF80" s="18">
        <v>1.12054400688648E-2</v>
      </c>
      <c r="AG80" s="19">
        <v>125.08424555854999</v>
      </c>
      <c r="AH80" s="18">
        <v>2.2151673879853701E-2</v>
      </c>
      <c r="AI80" s="19">
        <v>127.993919450964</v>
      </c>
      <c r="AJ80" s="18">
        <v>3.9880197283149101E-2</v>
      </c>
      <c r="AK80" s="19">
        <v>141.15722859991101</v>
      </c>
      <c r="AL80" s="18">
        <v>-7.9734567404614598E-3</v>
      </c>
      <c r="AM80" s="19">
        <v>69.498936929277306</v>
      </c>
      <c r="AN80" s="18">
        <v>-1.6796714611306902E-2</v>
      </c>
      <c r="AO80" s="19">
        <v>79.0191493564556</v>
      </c>
      <c r="AP80" s="18">
        <v>-1.04754380488912E-2</v>
      </c>
      <c r="AQ80" s="19">
        <v>69.555472181760905</v>
      </c>
      <c r="AR80" s="18">
        <v>6.0373736719772104E-3</v>
      </c>
      <c r="AS80" s="19">
        <v>84.431803679949795</v>
      </c>
      <c r="AT80" s="18">
        <v>4.4337185806320196E-3</v>
      </c>
      <c r="AU80" s="19">
        <v>63.502706420665703</v>
      </c>
      <c r="AV80" s="18">
        <v>4.0610006601551297E-3</v>
      </c>
      <c r="AW80" s="19">
        <v>67.772968432841296</v>
      </c>
      <c r="AX80" s="18">
        <v>3.8075334600995402E-3</v>
      </c>
      <c r="AY80" s="19">
        <v>87.904598940763293</v>
      </c>
      <c r="AZ80" s="18">
        <v>-5.8911444159335203E-3</v>
      </c>
      <c r="BA80" s="19">
        <v>109.054685526108</v>
      </c>
      <c r="BB80" s="18">
        <v>4.3012886149957498E-2</v>
      </c>
      <c r="BC80" s="19">
        <v>99.177756955225803</v>
      </c>
      <c r="BD80" s="18">
        <v>2.4988994883254699E-2</v>
      </c>
      <c r="BE80" s="19">
        <v>84.214083042717107</v>
      </c>
      <c r="BF80" s="18">
        <v>5.3922027982784603E-3</v>
      </c>
      <c r="BG80" s="19"/>
      <c r="BH80" s="18"/>
    </row>
    <row r="81" spans="1:60" x14ac:dyDescent="0.2">
      <c r="A81" s="16">
        <v>1997</v>
      </c>
      <c r="B81" s="16">
        <v>2</v>
      </c>
      <c r="C81" s="19">
        <v>91.741059013341996</v>
      </c>
      <c r="D81" s="18">
        <v>-8.8921061984332805E-3</v>
      </c>
      <c r="E81" s="19">
        <v>91.275364930055204</v>
      </c>
      <c r="F81" s="18">
        <v>-3.7539906223038599E-3</v>
      </c>
      <c r="G81" s="19">
        <v>111.069194395568</v>
      </c>
      <c r="H81" s="18">
        <v>3.1960821378980799E-2</v>
      </c>
      <c r="I81" s="19">
        <v>76.1691295862625</v>
      </c>
      <c r="J81" s="18">
        <v>-3.7128856060366901E-2</v>
      </c>
      <c r="K81" s="19">
        <v>108.01602527886899</v>
      </c>
      <c r="L81" s="18">
        <v>-1.11842275995215E-2</v>
      </c>
      <c r="M81" s="19">
        <v>191.67985417227601</v>
      </c>
      <c r="N81" s="18">
        <v>-3.21141027135095E-2</v>
      </c>
      <c r="O81" s="19">
        <v>85.628612816673595</v>
      </c>
      <c r="P81" s="18">
        <v>-6.1504741055429203E-3</v>
      </c>
      <c r="Q81" s="19">
        <v>67.355708636129293</v>
      </c>
      <c r="R81" s="18">
        <v>1.67208404241703E-2</v>
      </c>
      <c r="S81" s="19">
        <v>152.37901441842999</v>
      </c>
      <c r="T81" s="18">
        <v>-1.4639413139956E-2</v>
      </c>
      <c r="U81" s="19">
        <v>75.659047280349895</v>
      </c>
      <c r="V81" s="18">
        <v>-3.5632471606631098E-2</v>
      </c>
      <c r="W81" s="19">
        <v>104.606647947418</v>
      </c>
      <c r="X81" s="18">
        <v>-6.53062428037832E-3</v>
      </c>
      <c r="Y81" s="19">
        <v>120.948156721723</v>
      </c>
      <c r="Z81" s="18">
        <v>-1.1272790016924199E-2</v>
      </c>
      <c r="AA81" s="19">
        <v>66.195197524279095</v>
      </c>
      <c r="AB81" s="18">
        <v>-4.3623637000426204E-3</v>
      </c>
      <c r="AC81" s="19">
        <v>73.8776790503602</v>
      </c>
      <c r="AD81" s="18">
        <v>1.68462379592338E-4</v>
      </c>
      <c r="AE81" s="19">
        <v>113.23000092326799</v>
      </c>
      <c r="AF81" s="18">
        <v>1.0127196439417799E-3</v>
      </c>
      <c r="AG81" s="19">
        <v>128.12913815882101</v>
      </c>
      <c r="AH81" s="18">
        <v>4.5374557622995401E-2</v>
      </c>
      <c r="AI81" s="19">
        <v>133.10829718157501</v>
      </c>
      <c r="AJ81" s="18">
        <v>7.2732364461926893E-2</v>
      </c>
      <c r="AK81" s="19">
        <v>141.75326565293699</v>
      </c>
      <c r="AL81" s="18">
        <v>5.9565198229503099E-3</v>
      </c>
      <c r="AM81" s="19">
        <v>68.906586774329597</v>
      </c>
      <c r="AN81" s="18">
        <v>-2.3257149385198701E-2</v>
      </c>
      <c r="AO81" s="19">
        <v>78.900989575748696</v>
      </c>
      <c r="AP81" s="18">
        <v>-1.11220091980661E-2</v>
      </c>
      <c r="AQ81" s="19">
        <v>68.683676937065002</v>
      </c>
      <c r="AR81" s="18">
        <v>-1.1065845595013E-3</v>
      </c>
      <c r="AS81" s="19">
        <v>84.663720604105507</v>
      </c>
      <c r="AT81" s="18">
        <v>5.2476346230765402E-3</v>
      </c>
      <c r="AU81" s="19">
        <v>63.602319368580503</v>
      </c>
      <c r="AV81" s="18">
        <v>1.8290222440229299E-3</v>
      </c>
      <c r="AW81" s="19">
        <v>67.7746736579182</v>
      </c>
      <c r="AX81" s="18">
        <v>2.5142817642003199E-3</v>
      </c>
      <c r="AY81" s="19">
        <v>87.416846112963995</v>
      </c>
      <c r="AZ81" s="18">
        <v>-8.8643514436543801E-3</v>
      </c>
      <c r="BA81" s="19">
        <v>104.93897381878701</v>
      </c>
      <c r="BB81" s="18">
        <v>-0.15928415129492701</v>
      </c>
      <c r="BC81" s="19">
        <v>96.979116640806595</v>
      </c>
      <c r="BD81" s="18">
        <v>-9.3892470017008803E-2</v>
      </c>
      <c r="BE81" s="19">
        <v>84.240617795585493</v>
      </c>
      <c r="BF81" s="18">
        <v>2.4818547102953802E-3</v>
      </c>
      <c r="BG81" s="19"/>
      <c r="BH81" s="18"/>
    </row>
    <row r="82" spans="1:60" x14ac:dyDescent="0.2">
      <c r="A82" s="16">
        <v>1997</v>
      </c>
      <c r="B82" s="16">
        <v>3</v>
      </c>
      <c r="C82" s="19">
        <v>91.700942012399096</v>
      </c>
      <c r="D82" s="18">
        <v>-3.3655584394667302E-3</v>
      </c>
      <c r="E82" s="19">
        <v>91.128683371911904</v>
      </c>
      <c r="F82" s="18">
        <v>-3.5273289300579201E-3</v>
      </c>
      <c r="G82" s="19">
        <v>112.778051017594</v>
      </c>
      <c r="H82" s="18">
        <v>5.8468849245696598E-2</v>
      </c>
      <c r="I82" s="19">
        <v>75.290173302765197</v>
      </c>
      <c r="J82" s="18">
        <v>-5.1163727078773903E-2</v>
      </c>
      <c r="K82" s="19">
        <v>107.413389196689</v>
      </c>
      <c r="L82" s="18">
        <v>-1.1290279579832099E-2</v>
      </c>
      <c r="M82" s="19">
        <v>188.10333203220799</v>
      </c>
      <c r="N82" s="18">
        <v>-4.7760885437053799E-2</v>
      </c>
      <c r="O82" s="19">
        <v>85.416328150618099</v>
      </c>
      <c r="P82" s="18">
        <v>-2.4801382112696899E-3</v>
      </c>
      <c r="Q82" s="19">
        <v>67.118714357978305</v>
      </c>
      <c r="R82" s="18">
        <v>-5.1747155821788597E-3</v>
      </c>
      <c r="S82" s="19">
        <v>152.61959419395899</v>
      </c>
      <c r="T82" s="18">
        <v>-1.05244106031375E-2</v>
      </c>
      <c r="U82" s="19">
        <v>75.481067943891901</v>
      </c>
      <c r="V82" s="18">
        <v>-3.4358767477105902E-2</v>
      </c>
      <c r="W82" s="19">
        <v>103.898112968728</v>
      </c>
      <c r="X82" s="18">
        <v>-1.08502722947184E-2</v>
      </c>
      <c r="Y82" s="19">
        <v>119.77293229245601</v>
      </c>
      <c r="Z82" s="18">
        <v>-8.9211626203412608E-3</v>
      </c>
      <c r="AA82" s="19">
        <v>66.353406355377402</v>
      </c>
      <c r="AB82" s="18">
        <v>-9.4065910614760107E-3</v>
      </c>
      <c r="AC82" s="19">
        <v>73.687170364861799</v>
      </c>
      <c r="AD82" s="18">
        <v>-2.8084005797051098E-3</v>
      </c>
      <c r="AE82" s="19">
        <v>110.086906178815</v>
      </c>
      <c r="AF82" s="18">
        <v>-2.8967764248554202E-2</v>
      </c>
      <c r="AG82" s="19">
        <v>131.03844429503701</v>
      </c>
      <c r="AH82" s="18">
        <v>8.1108791567102698E-2</v>
      </c>
      <c r="AI82" s="19">
        <v>138.175449791315</v>
      </c>
      <c r="AJ82" s="18">
        <v>0.13450278915731201</v>
      </c>
      <c r="AK82" s="19">
        <v>142.239568498756</v>
      </c>
      <c r="AL82" s="18">
        <v>1.40218080730745E-2</v>
      </c>
      <c r="AM82" s="19">
        <v>68.564908545359799</v>
      </c>
      <c r="AN82" s="18">
        <v>-2.5308191374297601E-2</v>
      </c>
      <c r="AO82" s="19">
        <v>78.790775343974204</v>
      </c>
      <c r="AP82" s="18">
        <v>-1.0638137343651301E-2</v>
      </c>
      <c r="AQ82" s="19">
        <v>68.264444056462594</v>
      </c>
      <c r="AR82" s="18">
        <v>-1.83721399717739E-2</v>
      </c>
      <c r="AS82" s="19">
        <v>84.571467432517395</v>
      </c>
      <c r="AT82" s="18">
        <v>4.1300632319609702E-3</v>
      </c>
      <c r="AU82" s="19">
        <v>64.275011348012896</v>
      </c>
      <c r="AV82" s="18">
        <v>5.3376346886058199E-3</v>
      </c>
      <c r="AW82" s="19">
        <v>67.7725134735729</v>
      </c>
      <c r="AX82" s="18">
        <v>1.944000995447E-3</v>
      </c>
      <c r="AY82" s="19">
        <v>87.685803566314604</v>
      </c>
      <c r="AZ82" s="18">
        <v>-5.6344491663241599E-3</v>
      </c>
      <c r="BA82" s="19">
        <v>108.791778433556</v>
      </c>
      <c r="BB82" s="18">
        <v>1.19387429411888E-3</v>
      </c>
      <c r="BC82" s="19">
        <v>99.103654245452503</v>
      </c>
      <c r="BD82" s="18">
        <v>1.23915384712969E-3</v>
      </c>
      <c r="BE82" s="19">
        <v>84.337522177001205</v>
      </c>
      <c r="BF82" s="18">
        <v>1.6617774457092799E-3</v>
      </c>
      <c r="BG82" s="19"/>
      <c r="BH82" s="18"/>
    </row>
    <row r="83" spans="1:60" x14ac:dyDescent="0.2">
      <c r="A83" s="16">
        <v>1997</v>
      </c>
      <c r="B83" s="16">
        <v>4</v>
      </c>
      <c r="C83" s="19">
        <v>91.162294167463699</v>
      </c>
      <c r="D83" s="18">
        <v>-3.8941770427721699E-3</v>
      </c>
      <c r="E83" s="19">
        <v>90.949980766411102</v>
      </c>
      <c r="F83" s="18">
        <v>-3.8484298126934E-3</v>
      </c>
      <c r="G83" s="19">
        <v>114.99854975932401</v>
      </c>
      <c r="H83" s="18">
        <v>6.0090893486716798E-2</v>
      </c>
      <c r="I83" s="19">
        <v>75.4343488394356</v>
      </c>
      <c r="J83" s="18">
        <v>-4.4491855048283901E-2</v>
      </c>
      <c r="K83" s="19">
        <v>107.204064452705</v>
      </c>
      <c r="L83" s="18">
        <v>-7.2759985848050998E-3</v>
      </c>
      <c r="M83" s="19">
        <v>185.63296664236</v>
      </c>
      <c r="N83" s="18">
        <v>-5.06568788671002E-2</v>
      </c>
      <c r="O83" s="19">
        <v>85.443173600244094</v>
      </c>
      <c r="P83" s="18">
        <v>2.8293297300323599E-3</v>
      </c>
      <c r="Q83" s="19">
        <v>66.711316605353304</v>
      </c>
      <c r="R83" s="18">
        <v>-6.5849588745761096E-3</v>
      </c>
      <c r="S83" s="19">
        <v>153.229666210635</v>
      </c>
      <c r="T83" s="18">
        <v>4.8222390007296903E-2</v>
      </c>
      <c r="U83" s="19">
        <v>75.373314321279494</v>
      </c>
      <c r="V83" s="18">
        <v>-2.7869787813129401E-2</v>
      </c>
      <c r="W83" s="19">
        <v>103.73529447864399</v>
      </c>
      <c r="X83" s="18">
        <v>-1.1812941000135101E-2</v>
      </c>
      <c r="Y83" s="19">
        <v>119.559491204937</v>
      </c>
      <c r="Z83" s="18">
        <v>-1.8964028268052501E-3</v>
      </c>
      <c r="AA83" s="19">
        <v>65.608684486847196</v>
      </c>
      <c r="AB83" s="18">
        <v>-2.0730223428985198E-3</v>
      </c>
      <c r="AC83" s="19">
        <v>73.668803449006106</v>
      </c>
      <c r="AD83" s="18">
        <v>-3.7081068432596202E-3</v>
      </c>
      <c r="AE83" s="19">
        <v>109.038109890439</v>
      </c>
      <c r="AF83" s="18">
        <v>-4.36390809568553E-2</v>
      </c>
      <c r="AG83" s="19">
        <v>130.820921873711</v>
      </c>
      <c r="AH83" s="18">
        <v>6.7126995386026705E-2</v>
      </c>
      <c r="AI83" s="19">
        <v>138.047355947894</v>
      </c>
      <c r="AJ83" s="18">
        <v>0.11500521899037899</v>
      </c>
      <c r="AK83" s="19">
        <v>142.71767571580801</v>
      </c>
      <c r="AL83" s="18">
        <v>1.69677654283764E-2</v>
      </c>
      <c r="AM83" s="19">
        <v>68.3731904216327</v>
      </c>
      <c r="AN83" s="18">
        <v>-2.30213547007442E-2</v>
      </c>
      <c r="AO83" s="19">
        <v>78.932548506967393</v>
      </c>
      <c r="AP83" s="18">
        <v>-5.1797938103035302E-3</v>
      </c>
      <c r="AQ83" s="19">
        <v>68.583291474548304</v>
      </c>
      <c r="AR83" s="18">
        <v>-2.6439846155228999E-2</v>
      </c>
      <c r="AS83" s="19">
        <v>84.901647205335706</v>
      </c>
      <c r="AT83" s="18">
        <v>8.5877264820406508E-3</v>
      </c>
      <c r="AU83" s="19">
        <v>64.672856261346695</v>
      </c>
      <c r="AV83" s="18">
        <v>1.03994376245315E-2</v>
      </c>
      <c r="AW83" s="19">
        <v>67.748736433270494</v>
      </c>
      <c r="AX83" s="18">
        <v>4.9137200815452297E-4</v>
      </c>
      <c r="AY83" s="19">
        <v>88.114654018113796</v>
      </c>
      <c r="AZ83" s="18">
        <v>-1.07260461613756E-3</v>
      </c>
      <c r="BA83" s="19">
        <v>95.196150007766605</v>
      </c>
      <c r="BB83" s="18">
        <v>-2.2567847510174301E-3</v>
      </c>
      <c r="BC83" s="19">
        <v>91.860736306088995</v>
      </c>
      <c r="BD83" s="18">
        <v>-6.9358417424614198E-5</v>
      </c>
      <c r="BE83" s="19">
        <v>84.507028753901096</v>
      </c>
      <c r="BF83" s="18">
        <v>2.95727818270475E-3</v>
      </c>
      <c r="BG83" s="19"/>
      <c r="BH83" s="18"/>
    </row>
    <row r="84" spans="1:60" x14ac:dyDescent="0.2">
      <c r="A84" s="16">
        <v>1998</v>
      </c>
      <c r="B84" s="16">
        <v>1</v>
      </c>
      <c r="C84" s="19">
        <v>91.813927804664502</v>
      </c>
      <c r="D84" s="18">
        <v>-1.4672292241125801E-3</v>
      </c>
      <c r="E84" s="19">
        <v>91.127597828101301</v>
      </c>
      <c r="F84" s="18">
        <v>-2.7270043553322401E-3</v>
      </c>
      <c r="G84" s="19">
        <v>110.524970064557</v>
      </c>
      <c r="H84" s="18">
        <v>6.6039720251951399E-3</v>
      </c>
      <c r="I84" s="19">
        <v>74.673543293084506</v>
      </c>
      <c r="J84" s="18">
        <v>-3.5354729983583903E-2</v>
      </c>
      <c r="K84" s="19">
        <v>107.00236138994801</v>
      </c>
      <c r="L84" s="18">
        <v>-8.7478975955706008E-3</v>
      </c>
      <c r="M84" s="19">
        <v>185.480623497896</v>
      </c>
      <c r="N84" s="18">
        <v>-5.3073662086989402E-2</v>
      </c>
      <c r="O84" s="19">
        <v>85.328288234489605</v>
      </c>
      <c r="P84" s="18">
        <v>2.4180117358725299E-3</v>
      </c>
      <c r="Q84" s="19">
        <v>66.873773047657096</v>
      </c>
      <c r="R84" s="18">
        <v>-8.0829962414211698E-3</v>
      </c>
      <c r="S84" s="19">
        <v>162.40269590119499</v>
      </c>
      <c r="T84" s="18">
        <v>9.9101689826277095E-2</v>
      </c>
      <c r="U84" s="19">
        <v>75.568710028496497</v>
      </c>
      <c r="V84" s="18">
        <v>-1.2000556535121099E-2</v>
      </c>
      <c r="W84" s="19">
        <v>104.56266390923</v>
      </c>
      <c r="X84" s="18">
        <v>-1.1449961110001799E-2</v>
      </c>
      <c r="Y84" s="19">
        <v>122.339152531219</v>
      </c>
      <c r="Z84" s="18">
        <v>-2.26358120562375E-3</v>
      </c>
      <c r="AA84" s="19">
        <v>66.040460903373798</v>
      </c>
      <c r="AB84" s="18">
        <v>-3.3684552705467402E-3</v>
      </c>
      <c r="AC84" s="19">
        <v>73.771508404686202</v>
      </c>
      <c r="AD84" s="18">
        <v>-2.35128446171839E-3</v>
      </c>
      <c r="AE84" s="19">
        <v>108.56967898276601</v>
      </c>
      <c r="AF84" s="18">
        <v>-4.1469487173771899E-2</v>
      </c>
      <c r="AG84" s="19">
        <v>131.20254989047399</v>
      </c>
      <c r="AH84" s="18">
        <v>4.89134687154524E-2</v>
      </c>
      <c r="AI84" s="19">
        <v>138.55344183116699</v>
      </c>
      <c r="AJ84" s="18">
        <v>8.2500187708117498E-2</v>
      </c>
      <c r="AK84" s="19">
        <v>143.28773054255899</v>
      </c>
      <c r="AL84" s="18">
        <v>1.5093112579355399E-2</v>
      </c>
      <c r="AM84" s="19">
        <v>68.432560024720104</v>
      </c>
      <c r="AN84" s="18">
        <v>-1.5343787281845499E-2</v>
      </c>
      <c r="AO84" s="19">
        <v>79.286853435587801</v>
      </c>
      <c r="AP84" s="18">
        <v>3.3878380280272201E-3</v>
      </c>
      <c r="AQ84" s="19">
        <v>68.007719508822902</v>
      </c>
      <c r="AR84" s="18">
        <v>-2.2252061906694799E-2</v>
      </c>
      <c r="AS84" s="19">
        <v>85.213305186654907</v>
      </c>
      <c r="AT84" s="18">
        <v>9.2560086678652505E-3</v>
      </c>
      <c r="AU84" s="19">
        <v>64.545523236024195</v>
      </c>
      <c r="AV84" s="18">
        <v>1.6421612150678201E-2</v>
      </c>
      <c r="AW84" s="19">
        <v>68.102147155635393</v>
      </c>
      <c r="AX84" s="18">
        <v>4.8570799008198504E-3</v>
      </c>
      <c r="AY84" s="19">
        <v>88.416645988907703</v>
      </c>
      <c r="AZ84" s="18">
        <v>5.8250313898764398E-3</v>
      </c>
      <c r="BA84" s="19">
        <v>113.470140860854</v>
      </c>
      <c r="BB84" s="18">
        <v>4.04884513989043E-2</v>
      </c>
      <c r="BC84" s="19">
        <v>101.56044907003999</v>
      </c>
      <c r="BD84" s="18">
        <v>2.40244606045079E-2</v>
      </c>
      <c r="BE84" s="19">
        <v>84.752666093503194</v>
      </c>
      <c r="BF84" s="18">
        <v>6.3954036109730196E-3</v>
      </c>
      <c r="BG84" s="19"/>
      <c r="BH84" s="18"/>
    </row>
    <row r="85" spans="1:60" x14ac:dyDescent="0.2">
      <c r="A85" s="16">
        <v>1998</v>
      </c>
      <c r="B85" s="16">
        <v>2</v>
      </c>
      <c r="C85" s="19">
        <v>91.648920942162604</v>
      </c>
      <c r="D85" s="18">
        <v>-1.0043275297925099E-3</v>
      </c>
      <c r="E85" s="19">
        <v>90.954229342767604</v>
      </c>
      <c r="F85" s="18">
        <v>-3.5183161144710698E-3</v>
      </c>
      <c r="G85" s="19">
        <v>107.706778052969</v>
      </c>
      <c r="H85" s="18">
        <v>-3.02731676492074E-2</v>
      </c>
      <c r="I85" s="19">
        <v>72.6806657938222</v>
      </c>
      <c r="J85" s="18">
        <v>-4.5798918950354699E-2</v>
      </c>
      <c r="K85" s="19">
        <v>106.963049610361</v>
      </c>
      <c r="L85" s="18">
        <v>-9.7483282299120101E-3</v>
      </c>
      <c r="M85" s="19">
        <v>184.18086866270701</v>
      </c>
      <c r="N85" s="18">
        <v>-3.9122449993252699E-2</v>
      </c>
      <c r="O85" s="19">
        <v>85.433065425511899</v>
      </c>
      <c r="P85" s="18">
        <v>-2.2836687963210299E-3</v>
      </c>
      <c r="Q85" s="19">
        <v>67.100487417800196</v>
      </c>
      <c r="R85" s="18">
        <v>-3.78915497285892E-3</v>
      </c>
      <c r="S85" s="19">
        <v>160.75761724548201</v>
      </c>
      <c r="T85" s="18">
        <v>5.4985280348675898E-2</v>
      </c>
      <c r="U85" s="19">
        <v>75.418621736441196</v>
      </c>
      <c r="V85" s="18">
        <v>-3.1777500847695E-3</v>
      </c>
      <c r="W85" s="19">
        <v>104.26374775265801</v>
      </c>
      <c r="X85" s="18">
        <v>-3.2779962028093301E-3</v>
      </c>
      <c r="Y85" s="19">
        <v>121.23288779378299</v>
      </c>
      <c r="Z85" s="18">
        <v>2.3541580109851501E-3</v>
      </c>
      <c r="AA85" s="19">
        <v>66.298776485069993</v>
      </c>
      <c r="AB85" s="18">
        <v>1.5647503846920601E-3</v>
      </c>
      <c r="AC85" s="19">
        <v>73.768024247442099</v>
      </c>
      <c r="AD85" s="18">
        <v>-1.48427514680516E-3</v>
      </c>
      <c r="AE85" s="19">
        <v>108.50291925779899</v>
      </c>
      <c r="AF85" s="18">
        <v>-4.17476077622983E-2</v>
      </c>
      <c r="AG85" s="19">
        <v>130.245630606449</v>
      </c>
      <c r="AH85" s="18">
        <v>1.6518431935471901E-2</v>
      </c>
      <c r="AI85" s="19">
        <v>137.172451693651</v>
      </c>
      <c r="AJ85" s="18">
        <v>3.0532691035265899E-2</v>
      </c>
      <c r="AK85" s="19">
        <v>143.17737937061801</v>
      </c>
      <c r="AL85" s="18">
        <v>1.00464261695905E-2</v>
      </c>
      <c r="AM85" s="19">
        <v>68.408528495200599</v>
      </c>
      <c r="AN85" s="18">
        <v>-7.2280213321288499E-3</v>
      </c>
      <c r="AO85" s="19">
        <v>79.463855997145401</v>
      </c>
      <c r="AP85" s="18">
        <v>7.1338322171019498E-3</v>
      </c>
      <c r="AQ85" s="19">
        <v>67.283189471265302</v>
      </c>
      <c r="AR85" s="18">
        <v>-2.0390397373206401E-2</v>
      </c>
      <c r="AS85" s="19">
        <v>85.2337989002325</v>
      </c>
      <c r="AT85" s="18">
        <v>6.7334425189356003E-3</v>
      </c>
      <c r="AU85" s="19">
        <v>64.523767559419397</v>
      </c>
      <c r="AV85" s="18">
        <v>1.44876507647318E-2</v>
      </c>
      <c r="AW85" s="19">
        <v>68.242042261036801</v>
      </c>
      <c r="AX85" s="18">
        <v>6.8959181637311398E-3</v>
      </c>
      <c r="AY85" s="19">
        <v>88.560308875653206</v>
      </c>
      <c r="AZ85" s="18">
        <v>1.3080576725584599E-2</v>
      </c>
      <c r="BA85" s="19">
        <v>113.61728992714301</v>
      </c>
      <c r="BB85" s="18">
        <v>8.2698694227207006E-2</v>
      </c>
      <c r="BC85" s="19">
        <v>101.69405442759501</v>
      </c>
      <c r="BD85" s="18">
        <v>4.86180731492094E-2</v>
      </c>
      <c r="BE85" s="19">
        <v>84.8513287248838</v>
      </c>
      <c r="BF85" s="18">
        <v>7.2496017393912596E-3</v>
      </c>
      <c r="BG85" s="19"/>
      <c r="BH85" s="18"/>
    </row>
    <row r="86" spans="1:60" x14ac:dyDescent="0.2">
      <c r="A86" s="16">
        <v>1998</v>
      </c>
      <c r="B86" s="16">
        <v>3</v>
      </c>
      <c r="C86" s="19">
        <v>91.581391942455099</v>
      </c>
      <c r="D86" s="18">
        <v>-1.30369511283557E-3</v>
      </c>
      <c r="E86" s="19">
        <v>90.643630798138304</v>
      </c>
      <c r="F86" s="18">
        <v>-5.3227211875102E-3</v>
      </c>
      <c r="G86" s="19">
        <v>106.819593913589</v>
      </c>
      <c r="H86" s="18">
        <v>-5.2833481783400797E-2</v>
      </c>
      <c r="I86" s="19">
        <v>72.308176131977305</v>
      </c>
      <c r="J86" s="18">
        <v>-3.9606724755384501E-2</v>
      </c>
      <c r="K86" s="19">
        <v>106.28424745333</v>
      </c>
      <c r="L86" s="18">
        <v>-1.05121135437926E-2</v>
      </c>
      <c r="M86" s="19">
        <v>181.68121281792699</v>
      </c>
      <c r="N86" s="18">
        <v>-3.4141443136056999E-2</v>
      </c>
      <c r="O86" s="19">
        <v>85.029526629850196</v>
      </c>
      <c r="P86" s="18">
        <v>-4.5284259946867201E-3</v>
      </c>
      <c r="Q86" s="19">
        <v>66.744120577239798</v>
      </c>
      <c r="R86" s="18">
        <v>-5.5810631106627496E-3</v>
      </c>
      <c r="S86" s="19">
        <v>153.008937131652</v>
      </c>
      <c r="T86" s="18">
        <v>2.5510678346969402E-3</v>
      </c>
      <c r="U86" s="19">
        <v>75.225789574017995</v>
      </c>
      <c r="V86" s="18">
        <v>-3.3820185223627499E-3</v>
      </c>
      <c r="W86" s="19">
        <v>103.84047602033201</v>
      </c>
      <c r="X86" s="18">
        <v>-5.5474490102658302E-4</v>
      </c>
      <c r="Y86" s="19">
        <v>119.663799963952</v>
      </c>
      <c r="Z86" s="18">
        <v>-9.1116019634185396E-4</v>
      </c>
      <c r="AA86" s="19">
        <v>66.610586269510407</v>
      </c>
      <c r="AB86" s="18">
        <v>3.8759112494637401E-3</v>
      </c>
      <c r="AC86" s="19">
        <v>73.8664639683129</v>
      </c>
      <c r="AD86" s="18">
        <v>2.43317259386333E-3</v>
      </c>
      <c r="AE86" s="19">
        <v>107.573486954719</v>
      </c>
      <c r="AF86" s="18">
        <v>-2.2831227721240101E-2</v>
      </c>
      <c r="AG86" s="19">
        <v>129.34482147723801</v>
      </c>
      <c r="AH86" s="18">
        <v>-1.29246254937633E-2</v>
      </c>
      <c r="AI86" s="19">
        <v>136.033584019784</v>
      </c>
      <c r="AJ86" s="18">
        <v>-1.55010587971031E-2</v>
      </c>
      <c r="AK86" s="19">
        <v>142.41693202703399</v>
      </c>
      <c r="AL86" s="18">
        <v>1.2469352244926001E-3</v>
      </c>
      <c r="AM86" s="19">
        <v>68.471405955605107</v>
      </c>
      <c r="AN86" s="18">
        <v>-1.36370910044825E-3</v>
      </c>
      <c r="AO86" s="19">
        <v>79.422733351612806</v>
      </c>
      <c r="AP86" s="18">
        <v>8.0207106083138892E-3</v>
      </c>
      <c r="AQ86" s="19">
        <v>67.023172099877002</v>
      </c>
      <c r="AR86" s="18">
        <v>-1.8183286683751899E-2</v>
      </c>
      <c r="AS86" s="19">
        <v>85.413043090380796</v>
      </c>
      <c r="AT86" s="18">
        <v>9.9510589494615793E-3</v>
      </c>
      <c r="AU86" s="19">
        <v>64.631772887206296</v>
      </c>
      <c r="AV86" s="18">
        <v>5.55054805454236E-3</v>
      </c>
      <c r="AW86" s="19">
        <v>68.192518274453604</v>
      </c>
      <c r="AX86" s="18">
        <v>6.1972734867574699E-3</v>
      </c>
      <c r="AY86" s="19">
        <v>88.813591300709106</v>
      </c>
      <c r="AZ86" s="18">
        <v>1.2861691271854899E-2</v>
      </c>
      <c r="BA86" s="19">
        <v>122.65327813328599</v>
      </c>
      <c r="BB86" s="18">
        <v>0.127413117970089</v>
      </c>
      <c r="BC86" s="19">
        <v>106.286820043703</v>
      </c>
      <c r="BD86" s="18">
        <v>7.2481341409061498E-2</v>
      </c>
      <c r="BE86" s="19">
        <v>84.798531132468796</v>
      </c>
      <c r="BF86" s="18">
        <v>5.4662378448835404E-3</v>
      </c>
      <c r="BG86" s="19"/>
      <c r="BH86" s="18"/>
    </row>
    <row r="87" spans="1:60" x14ac:dyDescent="0.2">
      <c r="A87" s="16">
        <v>1998</v>
      </c>
      <c r="B87" s="16">
        <v>4</v>
      </c>
      <c r="C87" s="19">
        <v>90.817428486113101</v>
      </c>
      <c r="D87" s="18">
        <v>-3.7829859866961302E-3</v>
      </c>
      <c r="E87" s="19">
        <v>90.385345350406794</v>
      </c>
      <c r="F87" s="18">
        <v>-6.2081972007718101E-3</v>
      </c>
      <c r="G87" s="19">
        <v>102.652002467833</v>
      </c>
      <c r="H87" s="18">
        <v>-0.107362634723055</v>
      </c>
      <c r="I87" s="19">
        <v>73.309534285126901</v>
      </c>
      <c r="J87" s="18">
        <v>-2.8167732432229899E-2</v>
      </c>
      <c r="K87" s="19">
        <v>105.611568135024</v>
      </c>
      <c r="L87" s="18">
        <v>-1.4854812882434501E-2</v>
      </c>
      <c r="M87" s="19">
        <v>180.497771965563</v>
      </c>
      <c r="N87" s="18">
        <v>-2.7663161181335001E-2</v>
      </c>
      <c r="O87" s="19">
        <v>84.438662014717806</v>
      </c>
      <c r="P87" s="18">
        <v>-1.1756487302613401E-2</v>
      </c>
      <c r="Q87" s="19">
        <v>67.429748038066407</v>
      </c>
      <c r="R87" s="18">
        <v>1.0769258789526901E-2</v>
      </c>
      <c r="S87" s="19">
        <v>138.399396363243</v>
      </c>
      <c r="T87" s="18">
        <v>-9.6784586262855493E-2</v>
      </c>
      <c r="U87" s="19">
        <v>75.450580561668303</v>
      </c>
      <c r="V87" s="18">
        <v>1.02511400864502E-3</v>
      </c>
      <c r="W87" s="19">
        <v>103.386001933244</v>
      </c>
      <c r="X87" s="18">
        <v>-3.36715239644625E-3</v>
      </c>
      <c r="Y87" s="19">
        <v>118.03309987354601</v>
      </c>
      <c r="Z87" s="18">
        <v>-1.27667934683213E-2</v>
      </c>
      <c r="AA87" s="19">
        <v>66.669097581116105</v>
      </c>
      <c r="AB87" s="18">
        <v>1.61626940482473E-2</v>
      </c>
      <c r="AC87" s="19">
        <v>74.206564889335397</v>
      </c>
      <c r="AD87" s="18">
        <v>7.2997173179483203E-3</v>
      </c>
      <c r="AE87" s="19">
        <v>108.186657291782</v>
      </c>
      <c r="AF87" s="18">
        <v>-7.8087615377093701E-3</v>
      </c>
      <c r="AG87" s="19">
        <v>128.37051016836301</v>
      </c>
      <c r="AH87" s="18">
        <v>-1.8731038355730902E-2</v>
      </c>
      <c r="AI87" s="19">
        <v>134.85482489425701</v>
      </c>
      <c r="AJ87" s="18">
        <v>-2.31263469822767E-2</v>
      </c>
      <c r="AK87" s="19">
        <v>140.96032488338</v>
      </c>
      <c r="AL87" s="18">
        <v>-1.2313477105158999E-2</v>
      </c>
      <c r="AM87" s="19">
        <v>68.562409439153797</v>
      </c>
      <c r="AN87" s="18">
        <v>2.7674446132217598E-3</v>
      </c>
      <c r="AO87" s="19">
        <v>79.290073154236893</v>
      </c>
      <c r="AP87" s="18">
        <v>4.5294958041035603E-3</v>
      </c>
      <c r="AQ87" s="19">
        <v>67.242631923016702</v>
      </c>
      <c r="AR87" s="18">
        <v>-1.9547903326121101E-2</v>
      </c>
      <c r="AS87" s="19">
        <v>85.631729232562904</v>
      </c>
      <c r="AT87" s="18">
        <v>8.5991503258067096E-3</v>
      </c>
      <c r="AU87" s="19">
        <v>64.659879231133601</v>
      </c>
      <c r="AV87" s="18">
        <v>-2.0065651903034001E-4</v>
      </c>
      <c r="AW87" s="19">
        <v>68.064425355702895</v>
      </c>
      <c r="AX87" s="18">
        <v>4.6597019967056204E-3</v>
      </c>
      <c r="AY87" s="19">
        <v>88.750691922659797</v>
      </c>
      <c r="AZ87" s="18">
        <v>7.218298836142E-3</v>
      </c>
      <c r="BA87" s="19">
        <v>102.818269491035</v>
      </c>
      <c r="BB87" s="18">
        <v>8.0067518304538093E-2</v>
      </c>
      <c r="BC87" s="19">
        <v>96.027049220452</v>
      </c>
      <c r="BD87" s="18">
        <v>4.53546649188665E-2</v>
      </c>
      <c r="BE87" s="19">
        <v>84.595561948240999</v>
      </c>
      <c r="BF87" s="18">
        <v>1.0476429670451799E-3</v>
      </c>
      <c r="BG87" s="19"/>
      <c r="BH87" s="18"/>
    </row>
    <row r="88" spans="1:60" x14ac:dyDescent="0.2">
      <c r="A88" s="16">
        <v>1999</v>
      </c>
      <c r="B88" s="16">
        <v>1</v>
      </c>
      <c r="C88" s="19">
        <v>91.539472911578002</v>
      </c>
      <c r="D88" s="18">
        <v>-2.9892511915016202E-3</v>
      </c>
      <c r="E88" s="19">
        <v>90.541133333660696</v>
      </c>
      <c r="F88" s="18">
        <v>-6.4356408861661104E-3</v>
      </c>
      <c r="G88" s="19">
        <v>98.221780261170807</v>
      </c>
      <c r="H88" s="18">
        <v>-0.111315929750534</v>
      </c>
      <c r="I88" s="19">
        <v>72.624440426111207</v>
      </c>
      <c r="J88" s="18">
        <v>-2.7440814733148401E-2</v>
      </c>
      <c r="K88" s="19">
        <v>105.55288216983401</v>
      </c>
      <c r="L88" s="18">
        <v>-1.3546235814658501E-2</v>
      </c>
      <c r="M88" s="19">
        <v>183.54560330289999</v>
      </c>
      <c r="N88" s="18">
        <v>-1.0432465443038901E-2</v>
      </c>
      <c r="O88" s="19">
        <v>84.094636299663193</v>
      </c>
      <c r="P88" s="18">
        <v>-1.4457713383822301E-2</v>
      </c>
      <c r="Q88" s="19">
        <v>67.973663147891898</v>
      </c>
      <c r="R88" s="18">
        <v>1.64472565268752E-2</v>
      </c>
      <c r="S88" s="19">
        <v>149.31691640863201</v>
      </c>
      <c r="T88" s="18">
        <v>-8.0576122335580105E-2</v>
      </c>
      <c r="U88" s="19">
        <v>75.820710426799394</v>
      </c>
      <c r="V88" s="18">
        <v>3.3347188036942899E-3</v>
      </c>
      <c r="W88" s="19">
        <v>104.06438485795</v>
      </c>
      <c r="X88" s="18">
        <v>-4.7653630143965602E-3</v>
      </c>
      <c r="Y88" s="19">
        <v>120.500532473088</v>
      </c>
      <c r="Z88" s="18">
        <v>-1.5028876856592E-2</v>
      </c>
      <c r="AA88" s="19">
        <v>67.732352621659601</v>
      </c>
      <c r="AB88" s="18">
        <v>2.5619017419658399E-2</v>
      </c>
      <c r="AC88" s="19">
        <v>75.021491194962394</v>
      </c>
      <c r="AD88" s="18">
        <v>1.6943977658952201E-2</v>
      </c>
      <c r="AE88" s="19">
        <v>108.55992237369701</v>
      </c>
      <c r="AF88" s="18">
        <v>-8.9864952718343702E-5</v>
      </c>
      <c r="AG88" s="19">
        <v>127.128940711412</v>
      </c>
      <c r="AH88" s="18">
        <v>-3.1048247023117301E-2</v>
      </c>
      <c r="AI88" s="19">
        <v>133.54428689224099</v>
      </c>
      <c r="AJ88" s="18">
        <v>-3.6153233530127997E-2</v>
      </c>
      <c r="AK88" s="19">
        <v>138.67967101504101</v>
      </c>
      <c r="AL88" s="18">
        <v>-3.2159484347124102E-2</v>
      </c>
      <c r="AM88" s="19">
        <v>68.811043718413899</v>
      </c>
      <c r="AN88" s="18">
        <v>5.5307545641587498E-3</v>
      </c>
      <c r="AO88" s="19">
        <v>79.203431536793204</v>
      </c>
      <c r="AP88" s="18">
        <v>-1.05215297593164E-3</v>
      </c>
      <c r="AQ88" s="19">
        <v>66.893533885306695</v>
      </c>
      <c r="AR88" s="18">
        <v>-1.6383222839456101E-2</v>
      </c>
      <c r="AS88" s="19">
        <v>85.7528802572145</v>
      </c>
      <c r="AT88" s="18">
        <v>6.3320518946858896E-3</v>
      </c>
      <c r="AU88" s="19">
        <v>64.732323997389898</v>
      </c>
      <c r="AV88" s="18">
        <v>2.89409322289558E-3</v>
      </c>
      <c r="AW88" s="19">
        <v>68.650981968473204</v>
      </c>
      <c r="AX88" s="18">
        <v>8.0589942573114897E-3</v>
      </c>
      <c r="AY88" s="19">
        <v>88.950398057386494</v>
      </c>
      <c r="AZ88" s="18">
        <v>6.0367825821592298E-3</v>
      </c>
      <c r="BA88" s="19">
        <v>123.76820734663301</v>
      </c>
      <c r="BB88" s="18">
        <v>9.0755738978128803E-2</v>
      </c>
      <c r="BC88" s="19">
        <v>107.101444703864</v>
      </c>
      <c r="BD88" s="18">
        <v>5.4558597215364199E-2</v>
      </c>
      <c r="BE88" s="19">
        <v>84.250270901450506</v>
      </c>
      <c r="BF88" s="18">
        <v>-5.9277803898041296E-3</v>
      </c>
      <c r="BG88" s="19"/>
      <c r="BH88" s="18"/>
    </row>
    <row r="89" spans="1:60" x14ac:dyDescent="0.2">
      <c r="A89" s="16">
        <v>1999</v>
      </c>
      <c r="B89" s="16">
        <v>2</v>
      </c>
      <c r="C89" s="19">
        <v>91.358680024901801</v>
      </c>
      <c r="D89" s="18">
        <v>-3.1668776268951601E-3</v>
      </c>
      <c r="E89" s="19">
        <v>90.733432025077903</v>
      </c>
      <c r="F89" s="18">
        <v>-2.4275651532110801E-3</v>
      </c>
      <c r="G89" s="19">
        <v>95.145796309136003</v>
      </c>
      <c r="H89" s="18">
        <v>-0.116622017396671</v>
      </c>
      <c r="I89" s="19">
        <v>71.670083739040393</v>
      </c>
      <c r="J89" s="18">
        <v>-1.39044138319894E-2</v>
      </c>
      <c r="K89" s="19">
        <v>106.261941300576</v>
      </c>
      <c r="L89" s="18">
        <v>-6.5546776418441404E-3</v>
      </c>
      <c r="M89" s="19">
        <v>184.885148039504</v>
      </c>
      <c r="N89" s="18">
        <v>3.82384653688694E-3</v>
      </c>
      <c r="O89" s="19">
        <v>84.651850295999793</v>
      </c>
      <c r="P89" s="18">
        <v>-9.1441776743134105E-3</v>
      </c>
      <c r="Q89" s="19">
        <v>66.875531726474705</v>
      </c>
      <c r="R89" s="18">
        <v>-3.3525194820843698E-3</v>
      </c>
      <c r="S89" s="19">
        <v>156.667203498101</v>
      </c>
      <c r="T89" s="18">
        <v>-2.54446029834767E-2</v>
      </c>
      <c r="U89" s="19">
        <v>76.318990786183406</v>
      </c>
      <c r="V89" s="18">
        <v>1.19382856516348E-2</v>
      </c>
      <c r="W89" s="19">
        <v>103.864093603922</v>
      </c>
      <c r="X89" s="18">
        <v>-3.8331074544113398E-3</v>
      </c>
      <c r="Y89" s="19">
        <v>119.895456925727</v>
      </c>
      <c r="Z89" s="18">
        <v>-1.10319146264263E-2</v>
      </c>
      <c r="AA89" s="19">
        <v>68.405136705125102</v>
      </c>
      <c r="AB89" s="18">
        <v>3.1770725369712101E-2</v>
      </c>
      <c r="AC89" s="19">
        <v>75.313559616047698</v>
      </c>
      <c r="AD89" s="18">
        <v>2.0951291353844999E-2</v>
      </c>
      <c r="AE89" s="19">
        <v>107.059849734406</v>
      </c>
      <c r="AF89" s="18">
        <v>-1.32998220993874E-2</v>
      </c>
      <c r="AG89" s="19">
        <v>128.100744028805</v>
      </c>
      <c r="AH89" s="18">
        <v>-1.6468011768661899E-2</v>
      </c>
      <c r="AI89" s="19">
        <v>135.59767995186201</v>
      </c>
      <c r="AJ89" s="18">
        <v>-1.14802332563526E-2</v>
      </c>
      <c r="AK89" s="19">
        <v>137.758357833254</v>
      </c>
      <c r="AL89" s="18">
        <v>-3.7848307890430803E-2</v>
      </c>
      <c r="AM89" s="19">
        <v>69.077378075355398</v>
      </c>
      <c r="AN89" s="18">
        <v>9.7772835473537399E-3</v>
      </c>
      <c r="AO89" s="19">
        <v>79.151279742452402</v>
      </c>
      <c r="AP89" s="18">
        <v>-3.9335651507295096E-3</v>
      </c>
      <c r="AQ89" s="19">
        <v>66.805946987708197</v>
      </c>
      <c r="AR89" s="18">
        <v>-7.09304192187465E-3</v>
      </c>
      <c r="AS89" s="19">
        <v>85.715680684292707</v>
      </c>
      <c r="AT89" s="18">
        <v>5.6536466786407703E-3</v>
      </c>
      <c r="AU89" s="19">
        <v>64.918904647177797</v>
      </c>
      <c r="AV89" s="18">
        <v>6.1238998078418901E-3</v>
      </c>
      <c r="AW89" s="19">
        <v>69.0417760903523</v>
      </c>
      <c r="AX89" s="18">
        <v>1.17190781931231E-2</v>
      </c>
      <c r="AY89" s="19">
        <v>89.545156705139405</v>
      </c>
      <c r="AZ89" s="18">
        <v>1.11206458286972E-2</v>
      </c>
      <c r="BA89" s="19">
        <v>110.841092606695</v>
      </c>
      <c r="BB89" s="18">
        <v>-2.4434637740683302E-2</v>
      </c>
      <c r="BC89" s="19">
        <v>99.948873214947895</v>
      </c>
      <c r="BD89" s="18">
        <v>-1.7161093856176899E-2</v>
      </c>
      <c r="BE89" s="19">
        <v>84.276276545080293</v>
      </c>
      <c r="BF89" s="18">
        <v>-6.7771735392377899E-3</v>
      </c>
      <c r="BG89" s="19"/>
      <c r="BH89" s="18"/>
    </row>
    <row r="90" spans="1:60" x14ac:dyDescent="0.2">
      <c r="A90" s="16">
        <v>1999</v>
      </c>
      <c r="B90" s="16">
        <v>3</v>
      </c>
      <c r="C90" s="19">
        <v>92.116806087221704</v>
      </c>
      <c r="D90" s="18">
        <v>5.8463202339515997E-3</v>
      </c>
      <c r="E90" s="19">
        <v>90.816981378167796</v>
      </c>
      <c r="F90" s="18">
        <v>1.9124408246127299E-3</v>
      </c>
      <c r="G90" s="19">
        <v>100.046755721564</v>
      </c>
      <c r="H90" s="18">
        <v>-6.3404455529985596E-2</v>
      </c>
      <c r="I90" s="19">
        <v>71.521437704374904</v>
      </c>
      <c r="J90" s="18">
        <v>-1.08803522601156E-2</v>
      </c>
      <c r="K90" s="19">
        <v>105.802512184203</v>
      </c>
      <c r="L90" s="18">
        <v>-4.5325180416611001E-3</v>
      </c>
      <c r="M90" s="19">
        <v>176.61248234179399</v>
      </c>
      <c r="N90" s="18">
        <v>-2.78990347846979E-2</v>
      </c>
      <c r="O90" s="19">
        <v>85.143712390279703</v>
      </c>
      <c r="P90" s="18">
        <v>1.34289540298815E-3</v>
      </c>
      <c r="Q90" s="19">
        <v>66.065500557384397</v>
      </c>
      <c r="R90" s="18">
        <v>-1.01674876226757E-2</v>
      </c>
      <c r="S90" s="19">
        <v>160.58067330564</v>
      </c>
      <c r="T90" s="18">
        <v>4.9485581142709498E-2</v>
      </c>
      <c r="U90" s="19">
        <v>77.360674621388895</v>
      </c>
      <c r="V90" s="18">
        <v>2.8379696105020901E-2</v>
      </c>
      <c r="W90" s="19">
        <v>103.94686621116099</v>
      </c>
      <c r="X90" s="18">
        <v>1.02455415177349E-3</v>
      </c>
      <c r="Y90" s="19">
        <v>119.3360719507</v>
      </c>
      <c r="Z90" s="18">
        <v>-2.7387398139679898E-3</v>
      </c>
      <c r="AA90" s="19">
        <v>68.918016351398194</v>
      </c>
      <c r="AB90" s="18">
        <v>3.4640591099915199E-2</v>
      </c>
      <c r="AC90" s="19">
        <v>75.449282511016307</v>
      </c>
      <c r="AD90" s="18">
        <v>2.1428107664424299E-2</v>
      </c>
      <c r="AE90" s="19">
        <v>104.841287386399</v>
      </c>
      <c r="AF90" s="18">
        <v>-2.5398447569806599E-2</v>
      </c>
      <c r="AG90" s="19">
        <v>127.20043177588499</v>
      </c>
      <c r="AH90" s="18">
        <v>-1.6578860110994902E-2</v>
      </c>
      <c r="AI90" s="19">
        <v>133.70917902780101</v>
      </c>
      <c r="AJ90" s="18">
        <v>-1.7086993691537E-2</v>
      </c>
      <c r="AK90" s="19">
        <v>138.131353631069</v>
      </c>
      <c r="AL90" s="18">
        <v>-3.00917758511445E-2</v>
      </c>
      <c r="AM90" s="19">
        <v>69.564817134015698</v>
      </c>
      <c r="AN90" s="18">
        <v>1.5968872891547501E-2</v>
      </c>
      <c r="AO90" s="19">
        <v>79.305209152719399</v>
      </c>
      <c r="AP90" s="18">
        <v>-1.47972997067636E-3</v>
      </c>
      <c r="AQ90" s="19">
        <v>67.536208152402395</v>
      </c>
      <c r="AR90" s="18">
        <v>7.6546071522984897E-3</v>
      </c>
      <c r="AS90" s="19">
        <v>85.811925981400094</v>
      </c>
      <c r="AT90" s="18">
        <v>4.6700465946070101E-3</v>
      </c>
      <c r="AU90" s="19">
        <v>66.044280871897897</v>
      </c>
      <c r="AV90" s="18">
        <v>2.18546996561075E-2</v>
      </c>
      <c r="AW90" s="19">
        <v>69.193817294518993</v>
      </c>
      <c r="AX90" s="18">
        <v>1.4683414623808001E-2</v>
      </c>
      <c r="AY90" s="19">
        <v>89.992374237198305</v>
      </c>
      <c r="AZ90" s="18">
        <v>1.32725511853031E-2</v>
      </c>
      <c r="BA90" s="19">
        <v>132.99958730642601</v>
      </c>
      <c r="BB90" s="18">
        <v>8.4354118622878699E-2</v>
      </c>
      <c r="BC90" s="19">
        <v>113.214326259537</v>
      </c>
      <c r="BD90" s="18">
        <v>6.5177471797403894E-2</v>
      </c>
      <c r="BE90" s="19">
        <v>84.652857068899806</v>
      </c>
      <c r="BF90" s="18">
        <v>-1.7178842796403699E-3</v>
      </c>
      <c r="BG90" s="19"/>
      <c r="BH90" s="18"/>
    </row>
    <row r="91" spans="1:60" x14ac:dyDescent="0.2">
      <c r="A91" s="16">
        <v>1999</v>
      </c>
      <c r="B91" s="16">
        <v>4</v>
      </c>
      <c r="C91" s="19">
        <v>91.706523939937796</v>
      </c>
      <c r="D91" s="18">
        <v>9.7899210387861792E-3</v>
      </c>
      <c r="E91" s="19">
        <v>90.931579189272199</v>
      </c>
      <c r="F91" s="18">
        <v>6.0433894095073297E-3</v>
      </c>
      <c r="G91" s="19">
        <v>101.49727468932799</v>
      </c>
      <c r="H91" s="18">
        <v>-1.1248955215136599E-2</v>
      </c>
      <c r="I91" s="19">
        <v>71.589860761252893</v>
      </c>
      <c r="J91" s="18">
        <v>-2.3457706294867799E-2</v>
      </c>
      <c r="K91" s="19">
        <v>104.78852575015701</v>
      </c>
      <c r="L91" s="18">
        <v>-7.7931082683515597E-3</v>
      </c>
      <c r="M91" s="19">
        <v>171.38884238093101</v>
      </c>
      <c r="N91" s="18">
        <v>-5.0465606779732899E-2</v>
      </c>
      <c r="O91" s="19">
        <v>84.736481461952295</v>
      </c>
      <c r="P91" s="18">
        <v>3.52705076239257E-3</v>
      </c>
      <c r="Q91" s="19">
        <v>65.120357757115599</v>
      </c>
      <c r="R91" s="18">
        <v>-3.42488345002731E-2</v>
      </c>
      <c r="S91" s="19">
        <v>155.11816696019801</v>
      </c>
      <c r="T91" s="18">
        <v>0.120800892462523</v>
      </c>
      <c r="U91" s="19">
        <v>78.528595811827898</v>
      </c>
      <c r="V91" s="18">
        <v>4.0795116846633603E-2</v>
      </c>
      <c r="W91" s="19">
        <v>104.491656856584</v>
      </c>
      <c r="X91" s="18">
        <v>1.0694435442571801E-2</v>
      </c>
      <c r="Y91" s="19">
        <v>119.55872632806</v>
      </c>
      <c r="Z91" s="18">
        <v>1.2925412076342501E-2</v>
      </c>
      <c r="AA91" s="19">
        <v>69.4154333136226</v>
      </c>
      <c r="AB91" s="18">
        <v>4.1193533918244797E-2</v>
      </c>
      <c r="AC91" s="19">
        <v>75.681376485131693</v>
      </c>
      <c r="AD91" s="18">
        <v>1.9874408659067599E-2</v>
      </c>
      <c r="AE91" s="19">
        <v>103.41931344187699</v>
      </c>
      <c r="AF91" s="18">
        <v>-4.4065913202660102E-2</v>
      </c>
      <c r="AG91" s="19">
        <v>128.48178067217299</v>
      </c>
      <c r="AH91" s="18">
        <v>8.6679178625148601E-4</v>
      </c>
      <c r="AI91" s="19">
        <v>135.11085230977099</v>
      </c>
      <c r="AJ91" s="18">
        <v>1.89854101041531E-3</v>
      </c>
      <c r="AK91" s="19">
        <v>139.88672270826501</v>
      </c>
      <c r="AL91" s="18">
        <v>-7.6163429390763097E-3</v>
      </c>
      <c r="AM91" s="19">
        <v>69.768641303459304</v>
      </c>
      <c r="AN91" s="18">
        <v>1.7593195370066098E-2</v>
      </c>
      <c r="AO91" s="19">
        <v>79.584712250814803</v>
      </c>
      <c r="AP91" s="18">
        <v>3.7159644941267E-3</v>
      </c>
      <c r="AQ91" s="19">
        <v>68.942022618485794</v>
      </c>
      <c r="AR91" s="18">
        <v>2.5272519038438E-2</v>
      </c>
      <c r="AS91" s="19">
        <v>85.934503769474901</v>
      </c>
      <c r="AT91" s="18">
        <v>3.53577511076164E-3</v>
      </c>
      <c r="AU91" s="19">
        <v>67.491118877171004</v>
      </c>
      <c r="AV91" s="18">
        <v>4.3786652244073999E-2</v>
      </c>
      <c r="AW91" s="19">
        <v>69.427946457745605</v>
      </c>
      <c r="AX91" s="18">
        <v>2.0032801201464799E-2</v>
      </c>
      <c r="AY91" s="19">
        <v>90.243995609327101</v>
      </c>
      <c r="AZ91" s="18">
        <v>1.68258258534877E-2</v>
      </c>
      <c r="BA91" s="19">
        <v>115.876722980198</v>
      </c>
      <c r="BB91" s="18">
        <v>0.12700518646933301</v>
      </c>
      <c r="BC91" s="19">
        <v>103.413213982363</v>
      </c>
      <c r="BD91" s="18">
        <v>7.6917543774089395E-2</v>
      </c>
      <c r="BE91" s="19">
        <v>85.377360729540499</v>
      </c>
      <c r="BF91" s="18">
        <v>9.2416051539183607E-3</v>
      </c>
      <c r="BG91" s="19"/>
      <c r="BH91" s="18"/>
    </row>
    <row r="92" spans="1:60" x14ac:dyDescent="0.2">
      <c r="A92" s="16">
        <v>2000</v>
      </c>
      <c r="B92" s="16">
        <v>1</v>
      </c>
      <c r="C92" s="19">
        <v>92.645877387146299</v>
      </c>
      <c r="D92" s="18">
        <v>1.20866380412421E-2</v>
      </c>
      <c r="E92" s="19">
        <v>91.3852476897777</v>
      </c>
      <c r="F92" s="18">
        <v>9.32299304235862E-3</v>
      </c>
      <c r="G92" s="19">
        <v>101.939905354312</v>
      </c>
      <c r="H92" s="18">
        <v>3.7854385078897899E-2</v>
      </c>
      <c r="I92" s="19">
        <v>72.613946299095602</v>
      </c>
      <c r="J92" s="18">
        <v>-1.4449855935694299E-4</v>
      </c>
      <c r="K92" s="19">
        <v>104.854120984685</v>
      </c>
      <c r="L92" s="18">
        <v>-6.6200104704339201E-3</v>
      </c>
      <c r="M92" s="19">
        <v>172.18577603768301</v>
      </c>
      <c r="N92" s="18">
        <v>-6.1891034493866501E-2</v>
      </c>
      <c r="O92" s="19">
        <v>84.759082002056502</v>
      </c>
      <c r="P92" s="18">
        <v>7.9011662530490395E-3</v>
      </c>
      <c r="Q92" s="19">
        <v>67.661286641149601</v>
      </c>
      <c r="R92" s="18">
        <v>-4.5955520458377296E-3</v>
      </c>
      <c r="S92" s="19">
        <v>159.450105542557</v>
      </c>
      <c r="T92" s="18">
        <v>6.7863637809084207E-2</v>
      </c>
      <c r="U92" s="19">
        <v>79.136629817150407</v>
      </c>
      <c r="V92" s="18">
        <v>4.3733689274150001E-2</v>
      </c>
      <c r="W92" s="19">
        <v>105.438703552501</v>
      </c>
      <c r="X92" s="18">
        <v>1.32064269291285E-2</v>
      </c>
      <c r="Y92" s="19">
        <v>120.64666516955501</v>
      </c>
      <c r="Z92" s="18">
        <v>1.2127141139395301E-3</v>
      </c>
      <c r="AA92" s="19">
        <v>67.624931053617601</v>
      </c>
      <c r="AB92" s="18">
        <v>-1.58597131037141E-3</v>
      </c>
      <c r="AC92" s="19">
        <v>75.950515282588995</v>
      </c>
      <c r="AD92" s="18">
        <v>1.23834393695565E-2</v>
      </c>
      <c r="AE92" s="19">
        <v>101.054594997146</v>
      </c>
      <c r="AF92" s="18">
        <v>-6.9135342145104001E-2</v>
      </c>
      <c r="AG92" s="19">
        <v>129.90149810347</v>
      </c>
      <c r="AH92" s="18">
        <v>2.1809018281310402E-2</v>
      </c>
      <c r="AI92" s="19">
        <v>136.19460699012299</v>
      </c>
      <c r="AJ92" s="18">
        <v>1.9846001349500101E-2</v>
      </c>
      <c r="AK92" s="19">
        <v>143.276091507411</v>
      </c>
      <c r="AL92" s="18">
        <v>3.3144154862263298E-2</v>
      </c>
      <c r="AM92" s="19">
        <v>70.156326242715394</v>
      </c>
      <c r="AN92" s="18">
        <v>1.95503868507894E-2</v>
      </c>
      <c r="AO92" s="19">
        <v>80.004924230459196</v>
      </c>
      <c r="AP92" s="18">
        <v>1.0119418794293501E-2</v>
      </c>
      <c r="AQ92" s="19">
        <v>69.924884283562093</v>
      </c>
      <c r="AR92" s="18">
        <v>4.5316045097166802E-2</v>
      </c>
      <c r="AS92" s="19">
        <v>86.362627392296105</v>
      </c>
      <c r="AT92" s="18">
        <v>7.1105149267607403E-3</v>
      </c>
      <c r="AU92" s="19">
        <v>67.233110799525704</v>
      </c>
      <c r="AV92" s="18">
        <v>3.8632736285455702E-2</v>
      </c>
      <c r="AW92" s="19">
        <v>69.8361182151788</v>
      </c>
      <c r="AX92" s="18">
        <v>1.72632089552609E-2</v>
      </c>
      <c r="AY92" s="19">
        <v>90.656193792309097</v>
      </c>
      <c r="AZ92" s="18">
        <v>1.9176932000036302E-2</v>
      </c>
      <c r="BA92" s="19">
        <v>131.94784762175101</v>
      </c>
      <c r="BB92" s="18">
        <v>6.6088379645097103E-2</v>
      </c>
      <c r="BC92" s="19">
        <v>113.43109321241801</v>
      </c>
      <c r="BD92" s="18">
        <v>5.9099562345357799E-2</v>
      </c>
      <c r="BE92" s="19">
        <v>86.461162036052897</v>
      </c>
      <c r="BF92" s="18">
        <v>2.6241946891641901E-2</v>
      </c>
      <c r="BG92" s="19"/>
      <c r="BH92" s="18"/>
    </row>
    <row r="93" spans="1:60" x14ac:dyDescent="0.2">
      <c r="A93" s="16">
        <v>2000</v>
      </c>
      <c r="B93" s="16">
        <v>2</v>
      </c>
      <c r="C93" s="19">
        <v>92.621487862957807</v>
      </c>
      <c r="D93" s="18">
        <v>1.38225271830963E-2</v>
      </c>
      <c r="E93" s="19">
        <v>91.844605338403596</v>
      </c>
      <c r="F93" s="18">
        <v>1.22465698533107E-2</v>
      </c>
      <c r="G93" s="19">
        <v>100.49393454966101</v>
      </c>
      <c r="H93" s="18">
        <v>5.6209926743882498E-2</v>
      </c>
      <c r="I93" s="19">
        <v>73.250892908396807</v>
      </c>
      <c r="J93" s="18">
        <v>2.2056750695483601E-2</v>
      </c>
      <c r="K93" s="19">
        <v>105.73058024576</v>
      </c>
      <c r="L93" s="18">
        <v>-5.0004832239335401E-3</v>
      </c>
      <c r="M93" s="19">
        <v>172.36552923634301</v>
      </c>
      <c r="N93" s="18">
        <v>-6.7715654480182699E-2</v>
      </c>
      <c r="O93" s="19">
        <v>85.603203148653293</v>
      </c>
      <c r="P93" s="18">
        <v>1.12384176994005E-2</v>
      </c>
      <c r="Q93" s="19">
        <v>63.778717309400598</v>
      </c>
      <c r="R93" s="18">
        <v>-4.6307137111675403E-2</v>
      </c>
      <c r="S93" s="19">
        <v>158.51723288109699</v>
      </c>
      <c r="T93" s="18">
        <v>1.1808657725986599E-2</v>
      </c>
      <c r="U93" s="19">
        <v>79.727183252067206</v>
      </c>
      <c r="V93" s="18">
        <v>4.4657200400253901E-2</v>
      </c>
      <c r="W93" s="19">
        <v>105.792319234008</v>
      </c>
      <c r="X93" s="18">
        <v>1.8564891515244101E-2</v>
      </c>
      <c r="Y93" s="19">
        <v>120.9337303909</v>
      </c>
      <c r="Z93" s="18">
        <v>8.6598232476469104E-3</v>
      </c>
      <c r="AA93" s="19">
        <v>68.228738605098002</v>
      </c>
      <c r="AB93" s="18">
        <v>-2.5787259338067E-3</v>
      </c>
      <c r="AC93" s="19">
        <v>76.1179786406652</v>
      </c>
      <c r="AD93" s="18">
        <v>1.06809322082029E-2</v>
      </c>
      <c r="AE93" s="19">
        <v>97.161211072139494</v>
      </c>
      <c r="AF93" s="18">
        <v>-9.2458925421834801E-2</v>
      </c>
      <c r="AG93" s="19">
        <v>133.72398437047801</v>
      </c>
      <c r="AH93" s="18">
        <v>4.3897015464710698E-2</v>
      </c>
      <c r="AI93" s="19">
        <v>142.43852590627699</v>
      </c>
      <c r="AJ93" s="18">
        <v>5.0449579645044797E-2</v>
      </c>
      <c r="AK93" s="19">
        <v>144.62971086683399</v>
      </c>
      <c r="AL93" s="18">
        <v>4.9879754242551998E-2</v>
      </c>
      <c r="AM93" s="19">
        <v>70.650142717634296</v>
      </c>
      <c r="AN93" s="18">
        <v>2.2768157768860799E-2</v>
      </c>
      <c r="AO93" s="19">
        <v>80.253924489158905</v>
      </c>
      <c r="AP93" s="18">
        <v>1.39308517852692E-2</v>
      </c>
      <c r="AQ93" s="19">
        <v>70.752611446226695</v>
      </c>
      <c r="AR93" s="18">
        <v>5.9076543877817099E-2</v>
      </c>
      <c r="AS93" s="19">
        <v>86.410456983535298</v>
      </c>
      <c r="AT93" s="18">
        <v>8.1055915754966196E-3</v>
      </c>
      <c r="AU93" s="19">
        <v>67.272085966263703</v>
      </c>
      <c r="AV93" s="18">
        <v>3.6248013300208798E-2</v>
      </c>
      <c r="AW93" s="19">
        <v>70.127642617793398</v>
      </c>
      <c r="AX93" s="18">
        <v>1.57276737206191E-2</v>
      </c>
      <c r="AY93" s="19">
        <v>91.242655487824194</v>
      </c>
      <c r="AZ93" s="18">
        <v>1.8956902250721001E-2</v>
      </c>
      <c r="BA93" s="19">
        <v>117.347788777077</v>
      </c>
      <c r="BB93" s="18">
        <v>5.8702923413700897E-2</v>
      </c>
      <c r="BC93" s="19">
        <v>104.799174654699</v>
      </c>
      <c r="BD93" s="18">
        <v>4.8527825114347702E-2</v>
      </c>
      <c r="BE93" s="19">
        <v>87.312331883351405</v>
      </c>
      <c r="BF93" s="18">
        <v>3.60250293764117E-2</v>
      </c>
      <c r="BG93" s="19"/>
      <c r="BH93" s="18"/>
    </row>
    <row r="94" spans="1:60" x14ac:dyDescent="0.2">
      <c r="A94" s="16">
        <v>2000</v>
      </c>
      <c r="B94" s="16">
        <v>3</v>
      </c>
      <c r="C94" s="19">
        <v>93.430141236431098</v>
      </c>
      <c r="D94" s="18">
        <v>1.42572805657832E-2</v>
      </c>
      <c r="E94" s="19">
        <v>92.006956785913601</v>
      </c>
      <c r="F94" s="18">
        <v>1.3103005513810599E-2</v>
      </c>
      <c r="G94" s="19">
        <v>97.087739526876703</v>
      </c>
      <c r="H94" s="18">
        <v>-2.9576333318814201E-2</v>
      </c>
      <c r="I94" s="19">
        <v>72.295260008685204</v>
      </c>
      <c r="J94" s="18">
        <v>1.08194455976784E-2</v>
      </c>
      <c r="K94" s="19">
        <v>105.88165794311701</v>
      </c>
      <c r="L94" s="18">
        <v>7.4805179272496901E-4</v>
      </c>
      <c r="M94" s="19">
        <v>172.55863968421599</v>
      </c>
      <c r="N94" s="18">
        <v>-2.29533190623116E-2</v>
      </c>
      <c r="O94" s="19">
        <v>85.734318307721693</v>
      </c>
      <c r="P94" s="18">
        <v>6.9365770044753604E-3</v>
      </c>
      <c r="Q94" s="19">
        <v>66.237363126826594</v>
      </c>
      <c r="R94" s="18">
        <v>2.6013966138493899E-3</v>
      </c>
      <c r="S94" s="19">
        <v>151.50410161669001</v>
      </c>
      <c r="T94" s="18">
        <v>-5.6523437734467802E-2</v>
      </c>
      <c r="U94" s="19">
        <v>80.711500807411994</v>
      </c>
      <c r="V94" s="18">
        <v>4.3314335124692301E-2</v>
      </c>
      <c r="W94" s="19">
        <v>106.039645320579</v>
      </c>
      <c r="X94" s="18">
        <v>2.0133162121180201E-2</v>
      </c>
      <c r="Y94" s="19">
        <v>120.669217286334</v>
      </c>
      <c r="Z94" s="18">
        <v>1.1171352583015E-2</v>
      </c>
      <c r="AA94" s="19">
        <v>69.364897488037599</v>
      </c>
      <c r="AB94" s="18">
        <v>6.48424258703018E-3</v>
      </c>
      <c r="AC94" s="19">
        <v>75.975002824636604</v>
      </c>
      <c r="AD94" s="18">
        <v>6.9678636578629502E-3</v>
      </c>
      <c r="AE94" s="19">
        <v>97.352667720801804</v>
      </c>
      <c r="AF94" s="18">
        <v>-7.1428154425433293E-2</v>
      </c>
      <c r="AG94" s="19">
        <v>131.39407478992501</v>
      </c>
      <c r="AH94" s="18">
        <v>3.2968779708453702E-2</v>
      </c>
      <c r="AI94" s="19">
        <v>138.549849558109</v>
      </c>
      <c r="AJ94" s="18">
        <v>3.6202978475410999E-2</v>
      </c>
      <c r="AK94" s="19">
        <v>144.15082711577699</v>
      </c>
      <c r="AL94" s="18">
        <v>4.35778939862261E-2</v>
      </c>
      <c r="AM94" s="19">
        <v>71.076949988030705</v>
      </c>
      <c r="AN94" s="18">
        <v>2.1737034844810901E-2</v>
      </c>
      <c r="AO94" s="19">
        <v>80.685125059148007</v>
      </c>
      <c r="AP94" s="18">
        <v>1.7400066416459501E-2</v>
      </c>
      <c r="AQ94" s="19">
        <v>71.807518982781602</v>
      </c>
      <c r="AR94" s="18">
        <v>6.3244753403100706E-2</v>
      </c>
      <c r="AS94" s="19">
        <v>86.443835839952101</v>
      </c>
      <c r="AT94" s="18">
        <v>7.3638932039470396E-3</v>
      </c>
      <c r="AU94" s="19">
        <v>67.770227513930607</v>
      </c>
      <c r="AV94" s="18">
        <v>2.61331733686441E-2</v>
      </c>
      <c r="AW94" s="19">
        <v>70.235541623626602</v>
      </c>
      <c r="AX94" s="18">
        <v>1.5055164895348701E-2</v>
      </c>
      <c r="AY94" s="19">
        <v>91.443611256955506</v>
      </c>
      <c r="AZ94" s="18">
        <v>1.6126222161135999E-2</v>
      </c>
      <c r="BA94" s="19">
        <v>137.63577678135499</v>
      </c>
      <c r="BB94" s="18">
        <v>3.48586756457148E-2</v>
      </c>
      <c r="BC94" s="19">
        <v>117.45912082134799</v>
      </c>
      <c r="BD94" s="18">
        <v>3.7493440115341101E-2</v>
      </c>
      <c r="BE94" s="19">
        <v>87.913567921253303</v>
      </c>
      <c r="BF94" s="18">
        <v>3.8518615499292697E-2</v>
      </c>
      <c r="BG94" s="19"/>
      <c r="BH94" s="18"/>
    </row>
    <row r="95" spans="1:60" x14ac:dyDescent="0.2">
      <c r="A95" s="16">
        <v>2000</v>
      </c>
      <c r="B95" s="16">
        <v>4</v>
      </c>
      <c r="C95" s="19">
        <v>93.3029880691101</v>
      </c>
      <c r="D95" s="18">
        <v>1.7408403029405699E-2</v>
      </c>
      <c r="E95" s="19">
        <v>92.538039589604395</v>
      </c>
      <c r="F95" s="18">
        <v>1.76666941744015E-2</v>
      </c>
      <c r="G95" s="19">
        <v>93.914794831466097</v>
      </c>
      <c r="H95" s="18">
        <v>-7.4706240941651694E-2</v>
      </c>
      <c r="I95" s="19">
        <v>72.058114320426895</v>
      </c>
      <c r="J95" s="18">
        <v>6.5407804149193397E-3</v>
      </c>
      <c r="K95" s="19">
        <v>105.932038438443</v>
      </c>
      <c r="L95" s="18">
        <v>1.0912575399828E-2</v>
      </c>
      <c r="M95" s="19">
        <v>171.24287651939301</v>
      </c>
      <c r="N95" s="18">
        <v>-8.5166490134658301E-4</v>
      </c>
      <c r="O95" s="19">
        <v>85.861693303191501</v>
      </c>
      <c r="P95" s="18">
        <v>1.32789540210547E-2</v>
      </c>
      <c r="Q95" s="19">
        <v>69.226207031925</v>
      </c>
      <c r="R95" s="18">
        <v>6.3050164590976496E-2</v>
      </c>
      <c r="S95" s="19">
        <v>152.48442485878999</v>
      </c>
      <c r="T95" s="18">
        <v>-1.6978940333166399E-2</v>
      </c>
      <c r="U95" s="19">
        <v>81.853967053101798</v>
      </c>
      <c r="V95" s="18">
        <v>4.2345991379270503E-2</v>
      </c>
      <c r="W95" s="19">
        <v>106.018848265671</v>
      </c>
      <c r="X95" s="18">
        <v>1.4615438734817399E-2</v>
      </c>
      <c r="Y95" s="19">
        <v>120.20042658527299</v>
      </c>
      <c r="Z95" s="18">
        <v>5.3672389872463401E-3</v>
      </c>
      <c r="AA95" s="19">
        <v>70.337565450329393</v>
      </c>
      <c r="AB95" s="18">
        <v>1.32842524016328E-2</v>
      </c>
      <c r="AC95" s="19">
        <v>76.150689027711294</v>
      </c>
      <c r="AD95" s="18">
        <v>6.2011628801683597E-3</v>
      </c>
      <c r="AE95" s="19">
        <v>97.704501821476697</v>
      </c>
      <c r="AF95" s="18">
        <v>-5.5258649764792202E-2</v>
      </c>
      <c r="AG95" s="19">
        <v>132.46060746240599</v>
      </c>
      <c r="AH95" s="18">
        <v>3.0968023399242699E-2</v>
      </c>
      <c r="AI95" s="19">
        <v>141.645392373768</v>
      </c>
      <c r="AJ95" s="18">
        <v>4.8364287192972602E-2</v>
      </c>
      <c r="AK95" s="19">
        <v>141.82740007337</v>
      </c>
      <c r="AL95" s="18">
        <v>1.3873206316743001E-2</v>
      </c>
      <c r="AM95" s="19">
        <v>71.987584773644997</v>
      </c>
      <c r="AN95" s="18">
        <v>3.1804309625786099E-2</v>
      </c>
      <c r="AO95" s="19">
        <v>81.074576402920002</v>
      </c>
      <c r="AP95" s="18">
        <v>1.8720481735359201E-2</v>
      </c>
      <c r="AQ95" s="19">
        <v>73.249794827748204</v>
      </c>
      <c r="AR95" s="18">
        <v>6.2483983579955299E-2</v>
      </c>
      <c r="AS95" s="19">
        <v>86.519907249695507</v>
      </c>
      <c r="AT95" s="18">
        <v>6.8122052789292304E-3</v>
      </c>
      <c r="AU95" s="19">
        <v>68.240010926259203</v>
      </c>
      <c r="AV95" s="18">
        <v>1.10961569692021E-2</v>
      </c>
      <c r="AW95" s="19">
        <v>70.365516293044607</v>
      </c>
      <c r="AX95" s="18">
        <v>1.3504213838004601E-2</v>
      </c>
      <c r="AY95" s="19">
        <v>91.117865994528401</v>
      </c>
      <c r="AZ95" s="18">
        <v>9.6834185953425002E-3</v>
      </c>
      <c r="BA95" s="19">
        <v>117.654906495986</v>
      </c>
      <c r="BB95" s="18">
        <v>1.53454763826211E-2</v>
      </c>
      <c r="BC95" s="19">
        <v>105.30287471516</v>
      </c>
      <c r="BD95" s="18">
        <v>1.8272913683150999E-2</v>
      </c>
      <c r="BE95" s="19">
        <v>88.248657407521804</v>
      </c>
      <c r="BF95" s="18">
        <v>3.3630656340818202E-2</v>
      </c>
      <c r="BG95" s="19"/>
      <c r="BH95" s="18"/>
    </row>
    <row r="96" spans="1:60" x14ac:dyDescent="0.2">
      <c r="A96" s="16">
        <v>2001</v>
      </c>
      <c r="B96" s="16">
        <v>1</v>
      </c>
      <c r="C96" s="19">
        <v>94.365275456100903</v>
      </c>
      <c r="D96" s="18">
        <v>1.85588189938506E-2</v>
      </c>
      <c r="E96" s="19">
        <v>93.013265298922406</v>
      </c>
      <c r="F96" s="18">
        <v>1.78148842433665E-2</v>
      </c>
      <c r="G96" s="19">
        <v>92.5191943398288</v>
      </c>
      <c r="H96" s="18">
        <v>-9.2414359045554603E-2</v>
      </c>
      <c r="I96" s="19">
        <v>74.926672211280703</v>
      </c>
      <c r="J96" s="18">
        <v>3.1849610578373898E-2</v>
      </c>
      <c r="K96" s="19">
        <v>106.242593761195</v>
      </c>
      <c r="L96" s="18">
        <v>1.3241947607505E-2</v>
      </c>
      <c r="M96" s="19">
        <v>170.593625979423</v>
      </c>
      <c r="N96" s="18">
        <v>-9.2466990880333295E-3</v>
      </c>
      <c r="O96" s="19">
        <v>86.357932851717194</v>
      </c>
      <c r="P96" s="18">
        <v>1.88634752983983E-2</v>
      </c>
      <c r="Q96" s="19">
        <v>70.6303077751855</v>
      </c>
      <c r="R96" s="18">
        <v>4.3880648468636298E-2</v>
      </c>
      <c r="S96" s="19">
        <v>157.993765586206</v>
      </c>
      <c r="T96" s="18">
        <v>-9.1335151607141504E-3</v>
      </c>
      <c r="U96" s="19">
        <v>83.1431309386886</v>
      </c>
      <c r="V96" s="18">
        <v>5.0627643997419099E-2</v>
      </c>
      <c r="W96" s="19">
        <v>106.178106005624</v>
      </c>
      <c r="X96" s="18">
        <v>7.0126284581519798E-3</v>
      </c>
      <c r="Y96" s="19">
        <v>119.858551922058</v>
      </c>
      <c r="Z96" s="18">
        <v>-6.5324080561118799E-3</v>
      </c>
      <c r="AA96" s="19">
        <v>71.410340988705997</v>
      </c>
      <c r="AB96" s="18">
        <v>5.5976544095652801E-2</v>
      </c>
      <c r="AC96" s="19">
        <v>77.689215643133295</v>
      </c>
      <c r="AD96" s="18">
        <v>2.28925419936283E-2</v>
      </c>
      <c r="AE96" s="19">
        <v>98.084389505941701</v>
      </c>
      <c r="AF96" s="18">
        <v>-2.93920874284644E-2</v>
      </c>
      <c r="AG96" s="19">
        <v>130.328391776622</v>
      </c>
      <c r="AH96" s="18">
        <v>3.2862875285026801E-3</v>
      </c>
      <c r="AI96" s="19">
        <v>140.28189877854501</v>
      </c>
      <c r="AJ96" s="18">
        <v>3.00106728067344E-2</v>
      </c>
      <c r="AK96" s="19">
        <v>137.430712706549</v>
      </c>
      <c r="AL96" s="18">
        <v>-4.0798005720022699E-2</v>
      </c>
      <c r="AM96" s="19">
        <v>72.6715366787096</v>
      </c>
      <c r="AN96" s="18">
        <v>3.5851512909789801E-2</v>
      </c>
      <c r="AO96" s="19">
        <v>81.533222247741193</v>
      </c>
      <c r="AP96" s="18">
        <v>1.9102549399080199E-2</v>
      </c>
      <c r="AQ96" s="19">
        <v>74.4494842888123</v>
      </c>
      <c r="AR96" s="18">
        <v>6.4706578374901694E-2</v>
      </c>
      <c r="AS96" s="19">
        <v>86.916996393528095</v>
      </c>
      <c r="AT96" s="18">
        <v>6.4190844809961503E-3</v>
      </c>
      <c r="AU96" s="19">
        <v>68.772812785409101</v>
      </c>
      <c r="AV96" s="18">
        <v>2.29009481723144E-2</v>
      </c>
      <c r="AW96" s="19">
        <v>71.408780428606605</v>
      </c>
      <c r="AX96" s="18">
        <v>2.2519324579039601E-2</v>
      </c>
      <c r="AY96" s="19">
        <v>91.026610066169795</v>
      </c>
      <c r="AZ96" s="18">
        <v>4.0859455748749598E-3</v>
      </c>
      <c r="BA96" s="19">
        <v>136.68441798771099</v>
      </c>
      <c r="BB96" s="18">
        <v>3.5897291629476399E-2</v>
      </c>
      <c r="BC96" s="19">
        <v>116.933202097517</v>
      </c>
      <c r="BD96" s="18">
        <v>3.0874328950889301E-2</v>
      </c>
      <c r="BE96" s="19">
        <v>88.307713816768896</v>
      </c>
      <c r="BF96" s="18">
        <v>2.13570085947501E-2</v>
      </c>
      <c r="BG96" s="19"/>
      <c r="BH96" s="18"/>
    </row>
    <row r="97" spans="1:60" x14ac:dyDescent="0.2">
      <c r="A97" s="16">
        <v>2001</v>
      </c>
      <c r="B97" s="16">
        <v>2</v>
      </c>
      <c r="C97" s="19">
        <v>93.872788677160102</v>
      </c>
      <c r="D97" s="18">
        <v>1.3509832794456699E-2</v>
      </c>
      <c r="E97" s="19">
        <v>93.207129584656599</v>
      </c>
      <c r="F97" s="18">
        <v>1.4835103719295299E-2</v>
      </c>
      <c r="G97" s="19">
        <v>96.781630819880107</v>
      </c>
      <c r="H97" s="18">
        <v>-3.6940575034867397E-2</v>
      </c>
      <c r="I97" s="19">
        <v>74.642945832852206</v>
      </c>
      <c r="J97" s="18">
        <v>1.9003903832219799E-2</v>
      </c>
      <c r="K97" s="19">
        <v>106.981301300583</v>
      </c>
      <c r="L97" s="18">
        <v>1.18293217715846E-2</v>
      </c>
      <c r="M97" s="19">
        <v>171.30789355968901</v>
      </c>
      <c r="N97" s="18">
        <v>-6.1360045789917699E-3</v>
      </c>
      <c r="O97" s="19">
        <v>87.0303054016278</v>
      </c>
      <c r="P97" s="18">
        <v>1.6671131458670899E-2</v>
      </c>
      <c r="Q97" s="19">
        <v>64.441588511544495</v>
      </c>
      <c r="R97" s="18">
        <v>1.0393297797573101E-2</v>
      </c>
      <c r="S97" s="19">
        <v>157.463951334782</v>
      </c>
      <c r="T97" s="18">
        <v>-6.6445870090684504E-3</v>
      </c>
      <c r="U97" s="19">
        <v>83.494871204507803</v>
      </c>
      <c r="V97" s="18">
        <v>4.7257256543587998E-2</v>
      </c>
      <c r="W97" s="19">
        <v>106.472058415059</v>
      </c>
      <c r="X97" s="18">
        <v>6.4252224166427797E-3</v>
      </c>
      <c r="Y97" s="19">
        <v>121.090428880465</v>
      </c>
      <c r="Z97" s="18">
        <v>1.2957384929617199E-3</v>
      </c>
      <c r="AA97" s="19">
        <v>71.685363100066695</v>
      </c>
      <c r="AB97" s="18">
        <v>5.0662295179973303E-2</v>
      </c>
      <c r="AC97" s="19">
        <v>77.980232509579906</v>
      </c>
      <c r="AD97" s="18">
        <v>2.4465361563342801E-2</v>
      </c>
      <c r="AE97" s="19">
        <v>98.231443777809602</v>
      </c>
      <c r="AF97" s="18">
        <v>1.1015020231432301E-2</v>
      </c>
      <c r="AG97" s="19">
        <v>130.03822102032501</v>
      </c>
      <c r="AH97" s="18">
        <v>-2.7562470319027799E-2</v>
      </c>
      <c r="AI97" s="19">
        <v>142.42581455131699</v>
      </c>
      <c r="AJ97" s="18">
        <v>-8.9240989256333906E-5</v>
      </c>
      <c r="AK97" s="19">
        <v>133.15334495127499</v>
      </c>
      <c r="AL97" s="18">
        <v>-7.9349988648773295E-2</v>
      </c>
      <c r="AM97" s="19">
        <v>73.157168525687794</v>
      </c>
      <c r="AN97" s="18">
        <v>3.5485077759477103E-2</v>
      </c>
      <c r="AO97" s="19">
        <v>81.801859121788297</v>
      </c>
      <c r="AP97" s="18">
        <v>1.9287961834669701E-2</v>
      </c>
      <c r="AQ97" s="19">
        <v>74.901782090145403</v>
      </c>
      <c r="AR97" s="18">
        <v>5.8643356889691599E-2</v>
      </c>
      <c r="AS97" s="19">
        <v>87.172821298541805</v>
      </c>
      <c r="AT97" s="18">
        <v>8.8225932557184396E-3</v>
      </c>
      <c r="AU97" s="19">
        <v>69.444807829624196</v>
      </c>
      <c r="AV97" s="18">
        <v>3.2297524777960399E-2</v>
      </c>
      <c r="AW97" s="19">
        <v>72.019574001228705</v>
      </c>
      <c r="AX97" s="18">
        <v>2.69783970031141E-2</v>
      </c>
      <c r="AY97" s="19">
        <v>91.264593787556905</v>
      </c>
      <c r="AZ97" s="18">
        <v>2.4043907551130099E-4</v>
      </c>
      <c r="BA97" s="19">
        <v>114.683821509411</v>
      </c>
      <c r="BB97" s="18">
        <v>-2.2701469669165801E-2</v>
      </c>
      <c r="BC97" s="19">
        <v>103.787836437164</v>
      </c>
      <c r="BD97" s="18">
        <v>-9.6502498313343291E-3</v>
      </c>
      <c r="BE97" s="19">
        <v>88.401729656672799</v>
      </c>
      <c r="BF97" s="18">
        <v>1.24770207119971E-2</v>
      </c>
      <c r="BG97" s="19"/>
      <c r="BH97" s="18"/>
    </row>
    <row r="98" spans="1:60" x14ac:dyDescent="0.2">
      <c r="A98" s="16">
        <v>2001</v>
      </c>
      <c r="B98" s="16">
        <v>3</v>
      </c>
      <c r="C98" s="19">
        <v>94.177780057798202</v>
      </c>
      <c r="D98" s="18">
        <v>8.0021159282546196E-3</v>
      </c>
      <c r="E98" s="19">
        <v>92.958901520137303</v>
      </c>
      <c r="F98" s="18">
        <v>1.03464430025524E-2</v>
      </c>
      <c r="G98" s="19">
        <v>95.855685531683307</v>
      </c>
      <c r="H98" s="18">
        <v>-1.2690108979747801E-2</v>
      </c>
      <c r="I98" s="19">
        <v>74.296884889548707</v>
      </c>
      <c r="J98" s="18">
        <v>2.7686806584872499E-2</v>
      </c>
      <c r="K98" s="19">
        <v>106.588594824219</v>
      </c>
      <c r="L98" s="18">
        <v>6.6766699240912199E-3</v>
      </c>
      <c r="M98" s="19">
        <v>170.04398119319001</v>
      </c>
      <c r="N98" s="18">
        <v>-1.4572776510222599E-2</v>
      </c>
      <c r="O98" s="19">
        <v>86.802727962591803</v>
      </c>
      <c r="P98" s="18">
        <v>1.2461866799188001E-2</v>
      </c>
      <c r="Q98" s="19">
        <v>68.225366706477402</v>
      </c>
      <c r="R98" s="18">
        <v>3.0013326101830499E-2</v>
      </c>
      <c r="S98" s="19">
        <v>159.72395134073901</v>
      </c>
      <c r="T98" s="18">
        <v>5.4254964956961499E-2</v>
      </c>
      <c r="U98" s="19">
        <v>83.313658491843995</v>
      </c>
      <c r="V98" s="18">
        <v>3.22402341475614E-2</v>
      </c>
      <c r="W98" s="19">
        <v>105.992827837582</v>
      </c>
      <c r="X98" s="18">
        <v>-4.4150923794439301E-4</v>
      </c>
      <c r="Y98" s="19">
        <v>120.12990417493801</v>
      </c>
      <c r="Z98" s="18">
        <v>-4.4693512025993903E-3</v>
      </c>
      <c r="AA98" s="19">
        <v>71.696949739672405</v>
      </c>
      <c r="AB98" s="18">
        <v>3.3620063405081599E-2</v>
      </c>
      <c r="AC98" s="19">
        <v>78.175299768028594</v>
      </c>
      <c r="AD98" s="18">
        <v>2.8960801073883099E-2</v>
      </c>
      <c r="AE98" s="19">
        <v>98.397214732480904</v>
      </c>
      <c r="AF98" s="18">
        <v>1.0729516058817E-2</v>
      </c>
      <c r="AG98" s="19">
        <v>125.28443409767399</v>
      </c>
      <c r="AH98" s="18">
        <v>-4.6498601265082498E-2</v>
      </c>
      <c r="AI98" s="19">
        <v>136.39256277752901</v>
      </c>
      <c r="AJ98" s="18">
        <v>-1.5570473641513901E-2</v>
      </c>
      <c r="AK98" s="19">
        <v>128.533392933127</v>
      </c>
      <c r="AL98" s="18">
        <v>-0.108340926619222</v>
      </c>
      <c r="AM98" s="19">
        <v>73.426328457818897</v>
      </c>
      <c r="AN98" s="18">
        <v>3.3054013575198903E-2</v>
      </c>
      <c r="AO98" s="19">
        <v>82.005101149230896</v>
      </c>
      <c r="AP98" s="18">
        <v>1.6359596506980701E-2</v>
      </c>
      <c r="AQ98" s="19">
        <v>75.451743246673004</v>
      </c>
      <c r="AR98" s="18">
        <v>5.0749897998359397E-2</v>
      </c>
      <c r="AS98" s="19">
        <v>87.189057466843295</v>
      </c>
      <c r="AT98" s="18">
        <v>8.6208764297652802E-3</v>
      </c>
      <c r="AU98" s="19">
        <v>69.987601136537194</v>
      </c>
      <c r="AV98" s="18">
        <v>3.2718993338936901E-2</v>
      </c>
      <c r="AW98" s="19">
        <v>72.120026154995003</v>
      </c>
      <c r="AX98" s="18">
        <v>2.6830924739882099E-2</v>
      </c>
      <c r="AY98" s="19">
        <v>91.3441223733128</v>
      </c>
      <c r="AZ98" s="18">
        <v>-1.0879806940600201E-3</v>
      </c>
      <c r="BA98" s="19">
        <v>132.52699970170301</v>
      </c>
      <c r="BB98" s="18">
        <v>-3.7118089490407298E-2</v>
      </c>
      <c r="BC98" s="19">
        <v>114.45430005079599</v>
      </c>
      <c r="BD98" s="18">
        <v>-2.5581842853408001E-2</v>
      </c>
      <c r="BE98" s="19">
        <v>88.531669943607099</v>
      </c>
      <c r="BF98" s="18">
        <v>7.0307921401553397E-3</v>
      </c>
      <c r="BG98" s="19"/>
      <c r="BH98" s="18"/>
    </row>
    <row r="99" spans="1:60" x14ac:dyDescent="0.2">
      <c r="A99" s="16">
        <v>2001</v>
      </c>
      <c r="B99" s="16">
        <v>4</v>
      </c>
      <c r="C99" s="19">
        <v>93.681777105186399</v>
      </c>
      <c r="D99" s="18">
        <v>4.0597739034433601E-3</v>
      </c>
      <c r="E99" s="19">
        <v>93.002984082621097</v>
      </c>
      <c r="F99" s="18">
        <v>5.0243607394180297E-3</v>
      </c>
      <c r="G99" s="19">
        <v>96.6051633930403</v>
      </c>
      <c r="H99" s="18">
        <v>2.8646908790059999E-2</v>
      </c>
      <c r="I99" s="19">
        <v>75.076832714734394</v>
      </c>
      <c r="J99" s="18">
        <v>4.1892830846001601E-2</v>
      </c>
      <c r="K99" s="19">
        <v>106.467017937352</v>
      </c>
      <c r="L99" s="18">
        <v>5.0502143336019802E-3</v>
      </c>
      <c r="M99" s="19">
        <v>171.24714348908299</v>
      </c>
      <c r="N99" s="18">
        <v>2.4917647829303401E-5</v>
      </c>
      <c r="O99" s="19">
        <v>86.489960476401393</v>
      </c>
      <c r="P99" s="18">
        <v>7.3171998948513596E-3</v>
      </c>
      <c r="Q99" s="19">
        <v>69.490062033718701</v>
      </c>
      <c r="R99" s="18">
        <v>3.8114900860022299E-3</v>
      </c>
      <c r="S99" s="19">
        <v>157.836299917681</v>
      </c>
      <c r="T99" s="18">
        <v>3.5097847297166397E-2</v>
      </c>
      <c r="U99" s="19">
        <v>83.319563315497206</v>
      </c>
      <c r="V99" s="18">
        <v>1.7905012000757999E-2</v>
      </c>
      <c r="W99" s="19">
        <v>105.798371109678</v>
      </c>
      <c r="X99" s="18">
        <v>-2.0796033875097901E-3</v>
      </c>
      <c r="Y99" s="19">
        <v>119.775909506346</v>
      </c>
      <c r="Z99" s="18">
        <v>-3.53174353026631E-3</v>
      </c>
      <c r="AA99" s="19">
        <v>71.492000995703805</v>
      </c>
      <c r="AB99" s="18">
        <v>1.64127879317859E-2</v>
      </c>
      <c r="AC99" s="19">
        <v>78.377285877748307</v>
      </c>
      <c r="AD99" s="18">
        <v>2.9239352637067999E-2</v>
      </c>
      <c r="AE99" s="19">
        <v>98.584707148795601</v>
      </c>
      <c r="AF99" s="18">
        <v>9.0088512904666906E-3</v>
      </c>
      <c r="AG99" s="19">
        <v>125.016962324611</v>
      </c>
      <c r="AH99" s="18">
        <v>-5.61951608134292E-2</v>
      </c>
      <c r="AI99" s="19">
        <v>139.232804118058</v>
      </c>
      <c r="AJ99" s="18">
        <v>-1.70325925558092E-2</v>
      </c>
      <c r="AK99" s="19">
        <v>123.067555788909</v>
      </c>
      <c r="AL99" s="18">
        <v>-0.13227235551632499</v>
      </c>
      <c r="AM99" s="19">
        <v>73.5850752728049</v>
      </c>
      <c r="AN99" s="18">
        <v>2.2191194553658099E-2</v>
      </c>
      <c r="AO99" s="19">
        <v>82.311924490222196</v>
      </c>
      <c r="AP99" s="18">
        <v>1.52618507823334E-2</v>
      </c>
      <c r="AQ99" s="19">
        <v>76.033971117301306</v>
      </c>
      <c r="AR99" s="18">
        <v>3.8009339085526103E-2</v>
      </c>
      <c r="AS99" s="19">
        <v>87.735824495073899</v>
      </c>
      <c r="AT99" s="18">
        <v>1.40536124463155E-2</v>
      </c>
      <c r="AU99" s="19">
        <v>70.153677397274905</v>
      </c>
      <c r="AV99" s="18">
        <v>2.80431735728131E-2</v>
      </c>
      <c r="AW99" s="19">
        <v>72.234394898377104</v>
      </c>
      <c r="AX99" s="18">
        <v>2.6559580655236999E-2</v>
      </c>
      <c r="AY99" s="19">
        <v>91.268575151428394</v>
      </c>
      <c r="AZ99" s="18">
        <v>1.65400226678947E-3</v>
      </c>
      <c r="BA99" s="19">
        <v>114.701932201795</v>
      </c>
      <c r="BB99" s="18">
        <v>-2.5098607292609699E-2</v>
      </c>
      <c r="BC99" s="19">
        <v>103.964228613145</v>
      </c>
      <c r="BD99" s="18">
        <v>-1.2712341478194601E-2</v>
      </c>
      <c r="BE99" s="19">
        <v>88.698768013948694</v>
      </c>
      <c r="BF99" s="18">
        <v>5.1004810684920398E-3</v>
      </c>
      <c r="BG99" s="19"/>
      <c r="BH99" s="18"/>
    </row>
    <row r="100" spans="1:60" x14ac:dyDescent="0.2">
      <c r="A100" s="16">
        <v>2002</v>
      </c>
      <c r="B100" s="16">
        <v>1</v>
      </c>
      <c r="C100" s="19">
        <v>93.804806811384495</v>
      </c>
      <c r="D100" s="18">
        <v>-5.9393526062150297E-3</v>
      </c>
      <c r="E100" s="19">
        <v>92.677055995348994</v>
      </c>
      <c r="F100" s="18">
        <v>-3.6146382184624199E-3</v>
      </c>
      <c r="G100" s="19">
        <v>93.715600188107203</v>
      </c>
      <c r="H100" s="18">
        <v>1.29314339236877E-2</v>
      </c>
      <c r="I100" s="19">
        <v>75.532982680145906</v>
      </c>
      <c r="J100" s="18">
        <v>8.0920512144921908E-3</v>
      </c>
      <c r="K100" s="19">
        <v>106.345763654411</v>
      </c>
      <c r="L100" s="18">
        <v>9.7107844945765198E-4</v>
      </c>
      <c r="M100" s="19">
        <v>169.622482389873</v>
      </c>
      <c r="N100" s="18">
        <v>-5.6927308038328102E-3</v>
      </c>
      <c r="O100" s="19">
        <v>86.614916318104406</v>
      </c>
      <c r="P100" s="18">
        <v>2.9757945553012801E-3</v>
      </c>
      <c r="Q100" s="19">
        <v>69.932034180504502</v>
      </c>
      <c r="R100" s="18">
        <v>-9.8863167480950399E-3</v>
      </c>
      <c r="S100" s="19">
        <v>158.80906256334401</v>
      </c>
      <c r="T100" s="18">
        <v>5.1603110674163198E-3</v>
      </c>
      <c r="U100" s="19">
        <v>83.116262432957299</v>
      </c>
      <c r="V100" s="18">
        <v>-3.2315965766516202E-4</v>
      </c>
      <c r="W100" s="19">
        <v>105.208383941524</v>
      </c>
      <c r="X100" s="18">
        <v>-9.1329757195714994E-3</v>
      </c>
      <c r="Y100" s="19">
        <v>119.375185507903</v>
      </c>
      <c r="Z100" s="18">
        <v>-4.0328070580228897E-3</v>
      </c>
      <c r="AA100" s="19">
        <v>71.288579154337299</v>
      </c>
      <c r="AB100" s="18">
        <v>-1.70510086750497E-3</v>
      </c>
      <c r="AC100" s="19">
        <v>80.479242787015195</v>
      </c>
      <c r="AD100" s="18">
        <v>3.5912669741677603E-2</v>
      </c>
      <c r="AE100" s="19">
        <v>98.533589955652502</v>
      </c>
      <c r="AF100" s="18">
        <v>4.5797343692863804E-3</v>
      </c>
      <c r="AG100" s="19">
        <v>120.702597532525</v>
      </c>
      <c r="AH100" s="18">
        <v>-7.3857999111925796E-2</v>
      </c>
      <c r="AI100" s="19">
        <v>135.93240615097</v>
      </c>
      <c r="AJ100" s="18">
        <v>-3.1005373219541402E-2</v>
      </c>
      <c r="AK100" s="19">
        <v>116.151399726346</v>
      </c>
      <c r="AL100" s="18">
        <v>-0.154836663225634</v>
      </c>
      <c r="AM100" s="19">
        <v>73.684824603215802</v>
      </c>
      <c r="AN100" s="18">
        <v>1.39433947707217E-2</v>
      </c>
      <c r="AO100" s="19">
        <v>82.684312300844496</v>
      </c>
      <c r="AP100" s="18">
        <v>1.4118049322344299E-2</v>
      </c>
      <c r="AQ100" s="19">
        <v>75.796177221741303</v>
      </c>
      <c r="AR100" s="18">
        <v>1.8088680476344501E-2</v>
      </c>
      <c r="AS100" s="19">
        <v>87.999716479194305</v>
      </c>
      <c r="AT100" s="18">
        <v>1.2456943182483001E-2</v>
      </c>
      <c r="AU100" s="19">
        <v>70.188621719114394</v>
      </c>
      <c r="AV100" s="18">
        <v>2.0586753345730201E-2</v>
      </c>
      <c r="AW100" s="19">
        <v>72.709696564900099</v>
      </c>
      <c r="AX100" s="18">
        <v>1.8217873607211801E-2</v>
      </c>
      <c r="AY100" s="19">
        <v>91.055845010242507</v>
      </c>
      <c r="AZ100" s="18">
        <v>3.2116920592195597E-4</v>
      </c>
      <c r="BA100" s="19">
        <v>129.36600488053901</v>
      </c>
      <c r="BB100" s="18">
        <v>-5.3542409697570501E-2</v>
      </c>
      <c r="BC100" s="19">
        <v>112.68594280410601</v>
      </c>
      <c r="BD100" s="18">
        <v>-3.6322098576151797E-2</v>
      </c>
      <c r="BE100" s="19">
        <v>88.903788959113996</v>
      </c>
      <c r="BF100" s="18">
        <v>6.7499781908277904E-3</v>
      </c>
      <c r="BG100" s="19"/>
      <c r="BH100" s="18"/>
    </row>
    <row r="101" spans="1:60" x14ac:dyDescent="0.2">
      <c r="A101" s="16">
        <v>2002</v>
      </c>
      <c r="B101" s="16">
        <v>2</v>
      </c>
      <c r="C101" s="19">
        <v>93.417038320316195</v>
      </c>
      <c r="D101" s="18">
        <v>-4.8549783517274304E-3</v>
      </c>
      <c r="E101" s="19">
        <v>92.750303483998707</v>
      </c>
      <c r="F101" s="18">
        <v>-4.9011926737099198E-3</v>
      </c>
      <c r="G101" s="19">
        <v>92.790988924415103</v>
      </c>
      <c r="H101" s="18">
        <v>-4.1233464053648597E-2</v>
      </c>
      <c r="I101" s="19">
        <v>75.871211249385496</v>
      </c>
      <c r="J101" s="18">
        <v>1.6455210908794302E-2</v>
      </c>
      <c r="K101" s="19">
        <v>106.457373119217</v>
      </c>
      <c r="L101" s="18">
        <v>-4.8973808973758999E-3</v>
      </c>
      <c r="M101" s="19">
        <v>166.469478110203</v>
      </c>
      <c r="N101" s="18">
        <v>-2.8243972586119201E-2</v>
      </c>
      <c r="O101" s="19">
        <v>87.247848567977499</v>
      </c>
      <c r="P101" s="18">
        <v>2.4996254505342801E-3</v>
      </c>
      <c r="Q101" s="19">
        <v>64.736544218692501</v>
      </c>
      <c r="R101" s="18">
        <v>4.5771017437787904E-3</v>
      </c>
      <c r="S101" s="19">
        <v>160.86799913396601</v>
      </c>
      <c r="T101" s="18">
        <v>2.16179498248847E-2</v>
      </c>
      <c r="U101" s="19">
        <v>82.615994258960598</v>
      </c>
      <c r="V101" s="18">
        <v>-1.0526118944413399E-2</v>
      </c>
      <c r="W101" s="19">
        <v>105.516016600352</v>
      </c>
      <c r="X101" s="18">
        <v>-8.9792742710056404E-3</v>
      </c>
      <c r="Y101" s="19">
        <v>121.296775567648</v>
      </c>
      <c r="Z101" s="18">
        <v>1.7040709913338501E-3</v>
      </c>
      <c r="AA101" s="19">
        <v>72.564059079453898</v>
      </c>
      <c r="AB101" s="18">
        <v>1.22576763426674E-2</v>
      </c>
      <c r="AC101" s="19">
        <v>80.640338498617396</v>
      </c>
      <c r="AD101" s="18">
        <v>3.4112568062818899E-2</v>
      </c>
      <c r="AE101" s="19">
        <v>99.221811452028106</v>
      </c>
      <c r="AF101" s="18">
        <v>1.00819822668872E-2</v>
      </c>
      <c r="AG101" s="19">
        <v>121.330402058007</v>
      </c>
      <c r="AH101" s="18">
        <v>-6.6963534982202602E-2</v>
      </c>
      <c r="AI101" s="19">
        <v>139.217269317117</v>
      </c>
      <c r="AJ101" s="18">
        <v>-2.2527834889393101E-2</v>
      </c>
      <c r="AK101" s="19">
        <v>113.50966720009799</v>
      </c>
      <c r="AL101" s="18">
        <v>-0.14752673136649599</v>
      </c>
      <c r="AM101" s="19">
        <v>73.775258181325597</v>
      </c>
      <c r="AN101" s="18">
        <v>8.4487913911102108E-3</v>
      </c>
      <c r="AO101" s="19">
        <v>82.952181689821998</v>
      </c>
      <c r="AP101" s="18">
        <v>1.4062303477981699E-2</v>
      </c>
      <c r="AQ101" s="19">
        <v>75.362833666815405</v>
      </c>
      <c r="AR101" s="18">
        <v>6.1554153159546496E-3</v>
      </c>
      <c r="AS101" s="19">
        <v>88.262941382121397</v>
      </c>
      <c r="AT101" s="18">
        <v>1.2505274778778599E-2</v>
      </c>
      <c r="AU101" s="19">
        <v>70.471889690425002</v>
      </c>
      <c r="AV101" s="18">
        <v>1.4789901403726E-2</v>
      </c>
      <c r="AW101" s="19">
        <v>73.050384503209898</v>
      </c>
      <c r="AX101" s="18">
        <v>1.4312921400556801E-2</v>
      </c>
      <c r="AY101" s="19">
        <v>91.173899080811495</v>
      </c>
      <c r="AZ101" s="18">
        <v>-9.9375566122084091E-4</v>
      </c>
      <c r="BA101" s="19">
        <v>113.845342671639</v>
      </c>
      <c r="BB101" s="18">
        <v>-7.3112216416901799E-3</v>
      </c>
      <c r="BC101" s="19">
        <v>103.80389101592399</v>
      </c>
      <c r="BD101" s="18">
        <v>1.54686515411395E-4</v>
      </c>
      <c r="BE101" s="19">
        <v>89.138376421672803</v>
      </c>
      <c r="BF101" s="18">
        <v>8.3329451568534604E-3</v>
      </c>
      <c r="BG101" s="19"/>
      <c r="BH101" s="18"/>
    </row>
    <row r="102" spans="1:60" x14ac:dyDescent="0.2">
      <c r="A102" s="16">
        <v>2002</v>
      </c>
      <c r="B102" s="16">
        <v>3</v>
      </c>
      <c r="C102" s="19">
        <v>93.581912158794395</v>
      </c>
      <c r="D102" s="18">
        <v>-6.3270539891484602E-3</v>
      </c>
      <c r="E102" s="19">
        <v>92.795582500617201</v>
      </c>
      <c r="F102" s="18">
        <v>-1.7568948949421299E-3</v>
      </c>
      <c r="G102" s="19">
        <v>94.373038763109406</v>
      </c>
      <c r="H102" s="18">
        <v>-1.5467489073288701E-2</v>
      </c>
      <c r="I102" s="19">
        <v>74.944419393998302</v>
      </c>
      <c r="J102" s="18">
        <v>8.7155000564591596E-3</v>
      </c>
      <c r="K102" s="19">
        <v>105.811751758017</v>
      </c>
      <c r="L102" s="18">
        <v>-7.2882381786069103E-3</v>
      </c>
      <c r="M102" s="19">
        <v>165.01616352965101</v>
      </c>
      <c r="N102" s="18">
        <v>-2.9567748462829498E-2</v>
      </c>
      <c r="O102" s="19">
        <v>86.7955963751551</v>
      </c>
      <c r="P102" s="18">
        <v>-8.2158563493139894E-5</v>
      </c>
      <c r="Q102" s="19">
        <v>64.7907393303813</v>
      </c>
      <c r="R102" s="18">
        <v>-5.0342380582178402E-2</v>
      </c>
      <c r="S102" s="19">
        <v>161.111100440847</v>
      </c>
      <c r="T102" s="18">
        <v>8.6846655649544004E-3</v>
      </c>
      <c r="U102" s="19">
        <v>82.409558471491096</v>
      </c>
      <c r="V102" s="18">
        <v>-1.08517623246779E-2</v>
      </c>
      <c r="W102" s="19">
        <v>104.80134057475701</v>
      </c>
      <c r="X102" s="18">
        <v>-1.12412064772065E-2</v>
      </c>
      <c r="Y102" s="19">
        <v>118.74273792792199</v>
      </c>
      <c r="Z102" s="18">
        <v>-1.1547218459410801E-2</v>
      </c>
      <c r="AA102" s="19">
        <v>72.583117345403195</v>
      </c>
      <c r="AB102" s="18">
        <v>1.235990664803E-2</v>
      </c>
      <c r="AC102" s="19">
        <v>80.236018652623002</v>
      </c>
      <c r="AD102" s="18">
        <v>2.6360230030575599E-2</v>
      </c>
      <c r="AE102" s="19">
        <v>99.278629342085793</v>
      </c>
      <c r="AF102" s="18">
        <v>8.9577190980589805E-3</v>
      </c>
      <c r="AG102" s="19">
        <v>123.67740118386</v>
      </c>
      <c r="AH102" s="18">
        <v>-1.28270756490065E-2</v>
      </c>
      <c r="AI102" s="19">
        <v>142.86278957538701</v>
      </c>
      <c r="AJ102" s="18">
        <v>4.7438266912045397E-2</v>
      </c>
      <c r="AK102" s="19">
        <v>114.873681737385</v>
      </c>
      <c r="AL102" s="18">
        <v>-0.10627363741069901</v>
      </c>
      <c r="AM102" s="19">
        <v>73.883961636185305</v>
      </c>
      <c r="AN102" s="18">
        <v>6.2325488415142499E-3</v>
      </c>
      <c r="AO102" s="19">
        <v>83.187600061850404</v>
      </c>
      <c r="AP102" s="18">
        <v>1.4419821401934201E-2</v>
      </c>
      <c r="AQ102" s="19">
        <v>75.443288589575104</v>
      </c>
      <c r="AR102" s="18">
        <v>-1.12053833802084E-4</v>
      </c>
      <c r="AS102" s="19">
        <v>88.399059556138496</v>
      </c>
      <c r="AT102" s="18">
        <v>1.38779122569983E-2</v>
      </c>
      <c r="AU102" s="19">
        <v>70.638308180478404</v>
      </c>
      <c r="AV102" s="18">
        <v>9.2974617414269805E-3</v>
      </c>
      <c r="AW102" s="19">
        <v>73.276909808706307</v>
      </c>
      <c r="AX102" s="18">
        <v>1.6041087550702701E-2</v>
      </c>
      <c r="AY102" s="19">
        <v>91.438270638389298</v>
      </c>
      <c r="AZ102" s="18">
        <v>1.03069866599359E-3</v>
      </c>
      <c r="BA102" s="19">
        <v>117.90671183369901</v>
      </c>
      <c r="BB102" s="18">
        <v>-0.110319315316212</v>
      </c>
      <c r="BC102" s="19">
        <v>106.308009088354</v>
      </c>
      <c r="BD102" s="18">
        <v>-7.1175053788517906E-2</v>
      </c>
      <c r="BE102" s="19">
        <v>89.403422030108402</v>
      </c>
      <c r="BF102" s="18">
        <v>9.8467823667696096E-3</v>
      </c>
      <c r="BG102" s="19"/>
      <c r="BH102" s="18"/>
    </row>
    <row r="103" spans="1:60" x14ac:dyDescent="0.2">
      <c r="A103" s="16">
        <v>2002</v>
      </c>
      <c r="B103" s="16">
        <v>4</v>
      </c>
      <c r="C103" s="19">
        <v>93.565816454415298</v>
      </c>
      <c r="D103" s="18">
        <v>-1.2378143792132199E-3</v>
      </c>
      <c r="E103" s="19">
        <v>93.0441081614197</v>
      </c>
      <c r="F103" s="18">
        <v>4.42180207487208E-4</v>
      </c>
      <c r="G103" s="19">
        <v>94.626100311478197</v>
      </c>
      <c r="H103" s="18">
        <v>-2.04861004531431E-2</v>
      </c>
      <c r="I103" s="19">
        <v>74.361731211454199</v>
      </c>
      <c r="J103" s="18">
        <v>-9.5249290283363503E-3</v>
      </c>
      <c r="K103" s="19">
        <v>105.81898505682101</v>
      </c>
      <c r="L103" s="18">
        <v>-6.0867007744398504E-3</v>
      </c>
      <c r="M103" s="19">
        <v>165.79234897292</v>
      </c>
      <c r="N103" s="18">
        <v>-3.1853346018067802E-2</v>
      </c>
      <c r="O103" s="19">
        <v>86.618396380207699</v>
      </c>
      <c r="P103" s="18">
        <v>1.4849804890517699E-3</v>
      </c>
      <c r="Q103" s="19">
        <v>65.133608837478107</v>
      </c>
      <c r="R103" s="18">
        <v>-6.2691744240013905E-2</v>
      </c>
      <c r="S103" s="19">
        <v>160.85808747558701</v>
      </c>
      <c r="T103" s="18">
        <v>1.91450734684111E-2</v>
      </c>
      <c r="U103" s="19">
        <v>82.059676559939504</v>
      </c>
      <c r="V103" s="18">
        <v>-1.51211396870502E-2</v>
      </c>
      <c r="W103" s="19">
        <v>105.096531660512</v>
      </c>
      <c r="X103" s="18">
        <v>-6.6337453195627304E-3</v>
      </c>
      <c r="Y103" s="19">
        <v>120.28450315582801</v>
      </c>
      <c r="Z103" s="18">
        <v>4.2462098729061397E-3</v>
      </c>
      <c r="AA103" s="19">
        <v>71.918636191605998</v>
      </c>
      <c r="AB103" s="18">
        <v>5.96759343647157E-3</v>
      </c>
      <c r="AC103" s="19">
        <v>80.266369902326602</v>
      </c>
      <c r="AD103" s="18">
        <v>2.4102442479634601E-2</v>
      </c>
      <c r="AE103" s="19">
        <v>99.657025826501197</v>
      </c>
      <c r="AF103" s="18">
        <v>1.08771300206552E-2</v>
      </c>
      <c r="AG103" s="19">
        <v>126.151751923704</v>
      </c>
      <c r="AH103" s="18">
        <v>9.0770850450398993E-3</v>
      </c>
      <c r="AI103" s="19">
        <v>143.28420653265201</v>
      </c>
      <c r="AJ103" s="18">
        <v>2.9098045106948901E-2</v>
      </c>
      <c r="AK103" s="19">
        <v>120.448751439766</v>
      </c>
      <c r="AL103" s="18">
        <v>-2.1279404895586801E-2</v>
      </c>
      <c r="AM103" s="19">
        <v>73.980304486585098</v>
      </c>
      <c r="AN103" s="18">
        <v>5.3710512942335403E-3</v>
      </c>
      <c r="AO103" s="19">
        <v>83.245202855047694</v>
      </c>
      <c r="AP103" s="18">
        <v>1.13383130160734E-2</v>
      </c>
      <c r="AQ103" s="19">
        <v>76.285363201497802</v>
      </c>
      <c r="AR103" s="18">
        <v>3.3063126981576199E-3</v>
      </c>
      <c r="AS103" s="19">
        <v>88.523164139456497</v>
      </c>
      <c r="AT103" s="18">
        <v>8.9739812546787406E-3</v>
      </c>
      <c r="AU103" s="19">
        <v>70.717201317779796</v>
      </c>
      <c r="AV103" s="18">
        <v>8.0327067861840594E-3</v>
      </c>
      <c r="AW103" s="19">
        <v>73.560006459341494</v>
      </c>
      <c r="AX103" s="18">
        <v>1.8351528559619201E-2</v>
      </c>
      <c r="AY103" s="19">
        <v>91.485682364475494</v>
      </c>
      <c r="AZ103" s="18">
        <v>2.3787728984143702E-3</v>
      </c>
      <c r="BA103" s="19">
        <v>109.31781029825601</v>
      </c>
      <c r="BB103" s="18">
        <v>-4.6940115133075097E-2</v>
      </c>
      <c r="BC103" s="19">
        <v>101.390053194296</v>
      </c>
      <c r="BD103" s="18">
        <v>-2.47602031312876E-2</v>
      </c>
      <c r="BE103" s="19">
        <v>89.700028733405006</v>
      </c>
      <c r="BF103" s="18">
        <v>1.12883272437214E-2</v>
      </c>
      <c r="BG103" s="19"/>
      <c r="BH103" s="18"/>
    </row>
    <row r="104" spans="1:60" x14ac:dyDescent="0.2">
      <c r="A104" s="16">
        <v>2003</v>
      </c>
      <c r="B104" s="16">
        <v>1</v>
      </c>
      <c r="C104" s="19">
        <v>94.488414051628595</v>
      </c>
      <c r="D104" s="18">
        <v>7.2875502171081399E-3</v>
      </c>
      <c r="E104" s="19">
        <v>93.495047258042803</v>
      </c>
      <c r="F104" s="18">
        <v>8.8262542860111405E-3</v>
      </c>
      <c r="G104" s="19">
        <v>94.438688896581596</v>
      </c>
      <c r="H104" s="18">
        <v>7.7157773841602896E-3</v>
      </c>
      <c r="I104" s="19">
        <v>74.064631477620296</v>
      </c>
      <c r="J104" s="18">
        <v>-1.9439867862010799E-2</v>
      </c>
      <c r="K104" s="19">
        <v>105.88238486515699</v>
      </c>
      <c r="L104" s="18">
        <v>-4.3572848915763903E-3</v>
      </c>
      <c r="M104" s="19">
        <v>165.68614509325701</v>
      </c>
      <c r="N104" s="18">
        <v>-2.32064596694667E-2</v>
      </c>
      <c r="O104" s="19">
        <v>86.748586600771901</v>
      </c>
      <c r="P104" s="18">
        <v>1.5432709324168E-3</v>
      </c>
      <c r="Q104" s="19">
        <v>64.908829293481901</v>
      </c>
      <c r="R104" s="18">
        <v>-7.1829812272542606E-2</v>
      </c>
      <c r="S104" s="19">
        <v>169.885311515696</v>
      </c>
      <c r="T104" s="18">
        <v>6.9745698221309202E-2</v>
      </c>
      <c r="U104" s="19">
        <v>81.437525246501096</v>
      </c>
      <c r="V104" s="18">
        <v>-2.0197457601155201E-2</v>
      </c>
      <c r="W104" s="19">
        <v>104.58133766106199</v>
      </c>
      <c r="X104" s="18">
        <v>-5.9600409869564599E-3</v>
      </c>
      <c r="Y104" s="19">
        <v>118.88571857961099</v>
      </c>
      <c r="Z104" s="18">
        <v>-4.1002401479780497E-3</v>
      </c>
      <c r="AA104" s="19">
        <v>72.863149298141295</v>
      </c>
      <c r="AB104" s="18">
        <v>2.2087270674803001E-2</v>
      </c>
      <c r="AC104" s="19">
        <v>81.880343509462307</v>
      </c>
      <c r="AD104" s="18">
        <v>1.74094670119487E-2</v>
      </c>
      <c r="AE104" s="19">
        <v>99.820430982417605</v>
      </c>
      <c r="AF104" s="18">
        <v>1.30599222797443E-2</v>
      </c>
      <c r="AG104" s="19">
        <v>129.60357889242701</v>
      </c>
      <c r="AH104" s="18">
        <v>7.3743080446162304E-2</v>
      </c>
      <c r="AI104" s="19">
        <v>141.29568706916299</v>
      </c>
      <c r="AJ104" s="18">
        <v>3.9455499023803603E-2</v>
      </c>
      <c r="AK104" s="19">
        <v>130.938374385804</v>
      </c>
      <c r="AL104" s="18">
        <v>0.12730776120043599</v>
      </c>
      <c r="AM104" s="19">
        <v>74.083577246630497</v>
      </c>
      <c r="AN104" s="18">
        <v>5.4115979180502398E-3</v>
      </c>
      <c r="AO104" s="19">
        <v>83.500482758190103</v>
      </c>
      <c r="AP104" s="18">
        <v>9.8709227256559302E-3</v>
      </c>
      <c r="AQ104" s="19">
        <v>76.488364983546205</v>
      </c>
      <c r="AR104" s="18">
        <v>9.1322252279291104E-3</v>
      </c>
      <c r="AS104" s="19">
        <v>89.368006528801899</v>
      </c>
      <c r="AT104" s="18">
        <v>1.55488006592734E-2</v>
      </c>
      <c r="AU104" s="19">
        <v>71.005768284327502</v>
      </c>
      <c r="AV104" s="18">
        <v>1.16421514655631E-2</v>
      </c>
      <c r="AW104" s="19">
        <v>74.121973500003904</v>
      </c>
      <c r="AX104" s="18">
        <v>1.9423501978766501E-2</v>
      </c>
      <c r="AY104" s="19">
        <v>91.515203319506398</v>
      </c>
      <c r="AZ104" s="18">
        <v>5.0447976097767197E-3</v>
      </c>
      <c r="BA104" s="19">
        <v>125.69536026970501</v>
      </c>
      <c r="BB104" s="18">
        <v>-2.8374105038049002E-2</v>
      </c>
      <c r="BC104" s="19">
        <v>110.964161885366</v>
      </c>
      <c r="BD104" s="18">
        <v>-1.5279464997094301E-2</v>
      </c>
      <c r="BE104" s="19">
        <v>90.028940039954406</v>
      </c>
      <c r="BF104" s="18">
        <v>1.2655828216251899E-2</v>
      </c>
      <c r="BG104" s="19"/>
      <c r="BH104" s="18"/>
    </row>
    <row r="105" spans="1:60" x14ac:dyDescent="0.2">
      <c r="A105" s="16">
        <v>2003</v>
      </c>
      <c r="B105" s="16">
        <v>2</v>
      </c>
      <c r="C105" s="19">
        <v>94.761506945873506</v>
      </c>
      <c r="D105" s="18">
        <v>1.4392113577260701E-2</v>
      </c>
      <c r="E105" s="19">
        <v>94.028020625992198</v>
      </c>
      <c r="F105" s="18">
        <v>1.3775880983654801E-2</v>
      </c>
      <c r="G105" s="19">
        <v>98.416021766645798</v>
      </c>
      <c r="H105" s="18">
        <v>6.06204644161377E-2</v>
      </c>
      <c r="I105" s="19">
        <v>75.493369621796703</v>
      </c>
      <c r="J105" s="18">
        <v>-4.9800394822601098E-3</v>
      </c>
      <c r="K105" s="19">
        <v>106.347364874698</v>
      </c>
      <c r="L105" s="18">
        <v>-1.0333548658643099E-3</v>
      </c>
      <c r="M105" s="19">
        <v>166.24542321957901</v>
      </c>
      <c r="N105" s="18">
        <v>-1.34592174593751E-3</v>
      </c>
      <c r="O105" s="19">
        <v>87.158594328833104</v>
      </c>
      <c r="P105" s="18">
        <v>-1.02299644758441E-3</v>
      </c>
      <c r="Q105" s="19">
        <v>64.639753870008605</v>
      </c>
      <c r="R105" s="18">
        <v>-1.49514234737302E-3</v>
      </c>
      <c r="S105" s="19">
        <v>164.63902649093501</v>
      </c>
      <c r="T105" s="18">
        <v>2.3441749616270699E-2</v>
      </c>
      <c r="U105" s="19">
        <v>81.300450179875199</v>
      </c>
      <c r="V105" s="18">
        <v>-1.5923600398269799E-2</v>
      </c>
      <c r="W105" s="19">
        <v>105.435976676685</v>
      </c>
      <c r="X105" s="18">
        <v>-7.5855710104899597E-4</v>
      </c>
      <c r="Y105" s="19">
        <v>121.290248720707</v>
      </c>
      <c r="Z105" s="18">
        <v>-5.3808907208963101E-5</v>
      </c>
      <c r="AA105" s="19">
        <v>72.363305228262703</v>
      </c>
      <c r="AB105" s="18">
        <v>-2.76657416547466E-3</v>
      </c>
      <c r="AC105" s="19">
        <v>81.789431206609393</v>
      </c>
      <c r="AD105" s="18">
        <v>1.4249601742578799E-2</v>
      </c>
      <c r="AE105" s="19">
        <v>100.50257566116601</v>
      </c>
      <c r="AF105" s="18">
        <v>1.2908091380256399E-2</v>
      </c>
      <c r="AG105" s="19">
        <v>133.05109893414499</v>
      </c>
      <c r="AH105" s="18">
        <v>9.6601483860034407E-2</v>
      </c>
      <c r="AI105" s="19">
        <v>143.24159927185099</v>
      </c>
      <c r="AJ105" s="18">
        <v>2.8906830125846199E-2</v>
      </c>
      <c r="AK105" s="19">
        <v>136.999964930722</v>
      </c>
      <c r="AL105" s="18">
        <v>0.20694534932619399</v>
      </c>
      <c r="AM105" s="19">
        <v>74.222884232720006</v>
      </c>
      <c r="AN105" s="18">
        <v>6.0674277858065997E-3</v>
      </c>
      <c r="AO105" s="19">
        <v>83.569242171453396</v>
      </c>
      <c r="AP105" s="18">
        <v>7.4387492777319196E-3</v>
      </c>
      <c r="AQ105" s="19">
        <v>76.452690020503894</v>
      </c>
      <c r="AR105" s="18">
        <v>1.44614566711605E-2</v>
      </c>
      <c r="AS105" s="19">
        <v>89.705255930976193</v>
      </c>
      <c r="AT105" s="18">
        <v>1.63411113007275E-2</v>
      </c>
      <c r="AU105" s="19">
        <v>71.416514444229705</v>
      </c>
      <c r="AV105" s="18">
        <v>1.3404277336031899E-2</v>
      </c>
      <c r="AW105" s="19">
        <v>74.504635911859594</v>
      </c>
      <c r="AX105" s="18">
        <v>1.99075120348731E-2</v>
      </c>
      <c r="AY105" s="19">
        <v>91.251335015410305</v>
      </c>
      <c r="AZ105" s="18">
        <v>8.4932130115666904E-4</v>
      </c>
      <c r="BA105" s="19">
        <v>117.36725911276901</v>
      </c>
      <c r="BB105" s="18">
        <v>3.0935972947858E-2</v>
      </c>
      <c r="BC105" s="19">
        <v>106.343796055292</v>
      </c>
      <c r="BD105" s="18">
        <v>2.4468302820920499E-2</v>
      </c>
      <c r="BE105" s="19">
        <v>90.265473366285605</v>
      </c>
      <c r="BF105" s="18">
        <v>1.26443512868246E-2</v>
      </c>
      <c r="BG105" s="19"/>
      <c r="BH105" s="18"/>
    </row>
    <row r="106" spans="1:60" x14ac:dyDescent="0.2">
      <c r="A106" s="16">
        <v>2003</v>
      </c>
      <c r="B106" s="16">
        <v>3</v>
      </c>
      <c r="C106" s="19">
        <v>94.761881207245096</v>
      </c>
      <c r="D106" s="18">
        <v>1.2608943557901301E-2</v>
      </c>
      <c r="E106" s="19">
        <v>94.058501659630494</v>
      </c>
      <c r="F106" s="18">
        <v>1.36096905152243E-2</v>
      </c>
      <c r="G106" s="19">
        <v>101.84535504450901</v>
      </c>
      <c r="H106" s="18">
        <v>7.9178506693593304E-2</v>
      </c>
      <c r="I106" s="19">
        <v>74.892354008900199</v>
      </c>
      <c r="J106" s="18">
        <v>-6.9471997407000196E-4</v>
      </c>
      <c r="K106" s="19">
        <v>106.581698440957</v>
      </c>
      <c r="L106" s="18">
        <v>7.2765706090973702E-3</v>
      </c>
      <c r="M106" s="19">
        <v>167.811260702749</v>
      </c>
      <c r="N106" s="18">
        <v>1.6938323575771901E-2</v>
      </c>
      <c r="O106" s="19">
        <v>87.146388743727002</v>
      </c>
      <c r="P106" s="18">
        <v>4.0415917767961896E-3</v>
      </c>
      <c r="Q106" s="19">
        <v>64.415351733524602</v>
      </c>
      <c r="R106" s="18">
        <v>-5.7938464776960998E-3</v>
      </c>
      <c r="S106" s="19">
        <v>156.20830806550799</v>
      </c>
      <c r="T106" s="18">
        <v>-3.0431127103738902E-2</v>
      </c>
      <c r="U106" s="19">
        <v>81.709360142134003</v>
      </c>
      <c r="V106" s="18">
        <v>-8.4965669316061608E-3</v>
      </c>
      <c r="W106" s="19">
        <v>104.96571028687001</v>
      </c>
      <c r="X106" s="18">
        <v>1.5683932210399699E-3</v>
      </c>
      <c r="Y106" s="19">
        <v>118.781996522048</v>
      </c>
      <c r="Z106" s="18">
        <v>3.3061890613761402E-4</v>
      </c>
      <c r="AA106" s="19">
        <v>72.265141709343894</v>
      </c>
      <c r="AB106" s="18">
        <v>-4.3808484354036503E-3</v>
      </c>
      <c r="AC106" s="19">
        <v>81.448469615584401</v>
      </c>
      <c r="AD106" s="18">
        <v>1.51110558988548E-2</v>
      </c>
      <c r="AE106" s="19">
        <v>100.521955192652</v>
      </c>
      <c r="AF106" s="18">
        <v>1.25236000819642E-2</v>
      </c>
      <c r="AG106" s="19">
        <v>132.144250796921</v>
      </c>
      <c r="AH106" s="18">
        <v>6.8459148817938006E-2</v>
      </c>
      <c r="AI106" s="19">
        <v>139.90979696058801</v>
      </c>
      <c r="AJ106" s="18">
        <v>-2.0670131274743202E-2</v>
      </c>
      <c r="AK106" s="19">
        <v>139.39783088620001</v>
      </c>
      <c r="AL106" s="18">
        <v>0.213487970246141</v>
      </c>
      <c r="AM106" s="19">
        <v>74.531690340464195</v>
      </c>
      <c r="AN106" s="18">
        <v>8.7668377538874208E-3</v>
      </c>
      <c r="AO106" s="19">
        <v>83.733416855691701</v>
      </c>
      <c r="AP106" s="18">
        <v>6.5612758804864902E-3</v>
      </c>
      <c r="AQ106" s="19">
        <v>76.537144475880396</v>
      </c>
      <c r="AR106" s="18">
        <v>1.44990483150338E-2</v>
      </c>
      <c r="AS106" s="19">
        <v>89.863733316712796</v>
      </c>
      <c r="AT106" s="18">
        <v>1.6568883966963099E-2</v>
      </c>
      <c r="AU106" s="19">
        <v>72.2327278372845</v>
      </c>
      <c r="AV106" s="18">
        <v>2.25716002814287E-2</v>
      </c>
      <c r="AW106" s="19">
        <v>74.770115625564699</v>
      </c>
      <c r="AX106" s="18">
        <v>2.0377576248186601E-2</v>
      </c>
      <c r="AY106" s="19">
        <v>91.299450057509503</v>
      </c>
      <c r="AZ106" s="18">
        <v>-1.51818904612522E-3</v>
      </c>
      <c r="BA106" s="19">
        <v>116.389528354677</v>
      </c>
      <c r="BB106" s="18">
        <v>-1.2867659995151401E-2</v>
      </c>
      <c r="BC106" s="19">
        <v>105.84971895579299</v>
      </c>
      <c r="BD106" s="18">
        <v>-4.3109652460904301E-3</v>
      </c>
      <c r="BE106" s="19">
        <v>90.407372410676103</v>
      </c>
      <c r="BF106" s="18">
        <v>1.1229440191109901E-2</v>
      </c>
      <c r="BG106" s="19"/>
      <c r="BH106" s="18"/>
    </row>
    <row r="107" spans="1:60" x14ac:dyDescent="0.2">
      <c r="A107" s="16">
        <v>2003</v>
      </c>
      <c r="B107" s="16">
        <v>4</v>
      </c>
      <c r="C107" s="19">
        <v>94.760176013997096</v>
      </c>
      <c r="D107" s="18">
        <v>1.27649135639576E-2</v>
      </c>
      <c r="E107" s="19">
        <v>94.279487682028801</v>
      </c>
      <c r="F107" s="18">
        <v>1.32773535586577E-2</v>
      </c>
      <c r="G107" s="19">
        <v>104.30402739251799</v>
      </c>
      <c r="H107" s="18">
        <v>0.10227545095045699</v>
      </c>
      <c r="I107" s="19">
        <v>75.496990769416399</v>
      </c>
      <c r="J107" s="18">
        <v>1.52667176982997E-2</v>
      </c>
      <c r="K107" s="19">
        <v>107.065255013026</v>
      </c>
      <c r="L107" s="18">
        <v>1.1777375822835201E-2</v>
      </c>
      <c r="M107" s="19">
        <v>167.542198054794</v>
      </c>
      <c r="N107" s="18">
        <v>1.0554462209590601E-2</v>
      </c>
      <c r="O107" s="19">
        <v>87.710393230456503</v>
      </c>
      <c r="P107" s="18">
        <v>1.2606985304318301E-2</v>
      </c>
      <c r="Q107" s="19">
        <v>65.691840626840801</v>
      </c>
      <c r="R107" s="18">
        <v>8.5705644033267098E-3</v>
      </c>
      <c r="S107" s="19">
        <v>156.893879603215</v>
      </c>
      <c r="T107" s="18">
        <v>-2.4644131573263402E-2</v>
      </c>
      <c r="U107" s="19">
        <v>81.783730178295798</v>
      </c>
      <c r="V107" s="18">
        <v>-3.3627524895520899E-3</v>
      </c>
      <c r="W107" s="19">
        <v>105.847138673549</v>
      </c>
      <c r="X107" s="18">
        <v>7.1420721614452497E-3</v>
      </c>
      <c r="Y107" s="19">
        <v>120.70345883075601</v>
      </c>
      <c r="Z107" s="18">
        <v>3.4830394933380599E-3</v>
      </c>
      <c r="AA107" s="19">
        <v>72.268000671293507</v>
      </c>
      <c r="AB107" s="18">
        <v>4.8577739816531001E-3</v>
      </c>
      <c r="AC107" s="19">
        <v>81.513528507660794</v>
      </c>
      <c r="AD107" s="18">
        <v>1.5537747712421199E-2</v>
      </c>
      <c r="AE107" s="19">
        <v>101.108390700985</v>
      </c>
      <c r="AF107" s="18">
        <v>1.45635981251384E-2</v>
      </c>
      <c r="AG107" s="19">
        <v>130.358487007375</v>
      </c>
      <c r="AH107" s="18">
        <v>3.3346624359323201E-2</v>
      </c>
      <c r="AI107" s="19">
        <v>138.10775335062101</v>
      </c>
      <c r="AJ107" s="18">
        <v>-3.6127172054039397E-2</v>
      </c>
      <c r="AK107" s="19">
        <v>138.45947430996</v>
      </c>
      <c r="AL107" s="18">
        <v>0.14953017490762499</v>
      </c>
      <c r="AM107" s="19">
        <v>74.8071613830449</v>
      </c>
      <c r="AN107" s="18">
        <v>1.11767165896113E-2</v>
      </c>
      <c r="AO107" s="19">
        <v>83.681769656069406</v>
      </c>
      <c r="AP107" s="18">
        <v>5.2443478548764898E-3</v>
      </c>
      <c r="AQ107" s="19">
        <v>76.903927437341807</v>
      </c>
      <c r="AR107" s="18">
        <v>8.1085572629475706E-3</v>
      </c>
      <c r="AS107" s="19">
        <v>89.869197290686103</v>
      </c>
      <c r="AT107" s="18">
        <v>1.5205434242151299E-2</v>
      </c>
      <c r="AU107" s="19">
        <v>72.420081862422606</v>
      </c>
      <c r="AV107" s="18">
        <v>2.4080146172507099E-2</v>
      </c>
      <c r="AW107" s="19">
        <v>75.0816040237588</v>
      </c>
      <c r="AX107" s="18">
        <v>2.0685120049008601E-2</v>
      </c>
      <c r="AY107" s="19">
        <v>91.321735896905295</v>
      </c>
      <c r="AZ107" s="18">
        <v>-1.79204508654152E-3</v>
      </c>
      <c r="BA107" s="19">
        <v>109.338961966955</v>
      </c>
      <c r="BB107" s="18">
        <v>1.9348785564798901E-4</v>
      </c>
      <c r="BC107" s="19">
        <v>101.71764938474</v>
      </c>
      <c r="BD107" s="18">
        <v>3.23104861002754E-3</v>
      </c>
      <c r="BE107" s="19">
        <v>90.452687979696407</v>
      </c>
      <c r="BF107" s="18">
        <v>8.3908473265750204E-3</v>
      </c>
      <c r="BG107" s="19"/>
      <c r="BH107" s="18"/>
    </row>
    <row r="108" spans="1:60" x14ac:dyDescent="0.2">
      <c r="A108" s="16">
        <v>2004</v>
      </c>
      <c r="B108" s="16">
        <v>1</v>
      </c>
      <c r="C108" s="19">
        <v>95.123565957445194</v>
      </c>
      <c r="D108" s="18">
        <v>6.7220083244230499E-3</v>
      </c>
      <c r="E108" s="19">
        <v>94.293800056823798</v>
      </c>
      <c r="F108" s="18">
        <v>8.5432632230930707E-3</v>
      </c>
      <c r="G108" s="19">
        <v>101.437614517131</v>
      </c>
      <c r="H108" s="18">
        <v>7.4110787668961495E-2</v>
      </c>
      <c r="I108" s="19">
        <v>75.934434907625203</v>
      </c>
      <c r="J108" s="18">
        <v>2.52455644847152E-2</v>
      </c>
      <c r="K108" s="19">
        <v>107.269824219786</v>
      </c>
      <c r="L108" s="18">
        <v>1.3103589954037299E-2</v>
      </c>
      <c r="M108" s="19">
        <v>168.36266769486099</v>
      </c>
      <c r="N108" s="18">
        <v>1.6154172698614501E-2</v>
      </c>
      <c r="O108" s="19">
        <v>87.793611933569593</v>
      </c>
      <c r="P108" s="18">
        <v>1.2046597803455799E-2</v>
      </c>
      <c r="Q108" s="19">
        <v>66.945653051117901</v>
      </c>
      <c r="R108" s="18">
        <v>3.1379764198590697E-2</v>
      </c>
      <c r="S108" s="19">
        <v>164.791764274522</v>
      </c>
      <c r="T108" s="18">
        <v>-2.99822697779469E-2</v>
      </c>
      <c r="U108" s="19">
        <v>81.583779913963596</v>
      </c>
      <c r="V108" s="18">
        <v>1.79591247425281E-3</v>
      </c>
      <c r="W108" s="19">
        <v>105.96858116697101</v>
      </c>
      <c r="X108" s="18">
        <v>1.32647328570772E-2</v>
      </c>
      <c r="Y108" s="19">
        <v>118.518253370056</v>
      </c>
      <c r="Z108" s="18">
        <v>-3.0909112881276602E-3</v>
      </c>
      <c r="AA108" s="19">
        <v>73.100111849277397</v>
      </c>
      <c r="AB108" s="18">
        <v>3.2521590600829201E-3</v>
      </c>
      <c r="AC108" s="19">
        <v>82.310132972595795</v>
      </c>
      <c r="AD108" s="18">
        <v>5.2489943826854501E-3</v>
      </c>
      <c r="AE108" s="19">
        <v>101.413778238286</v>
      </c>
      <c r="AF108" s="18">
        <v>1.5962135608778901E-2</v>
      </c>
      <c r="AG108" s="19">
        <v>128.01944242932001</v>
      </c>
      <c r="AH108" s="18">
        <v>-1.22229376429641E-2</v>
      </c>
      <c r="AI108" s="19">
        <v>136.35431839588799</v>
      </c>
      <c r="AJ108" s="18">
        <v>-3.49718294717382E-2</v>
      </c>
      <c r="AK108" s="19">
        <v>134.11437161194701</v>
      </c>
      <c r="AL108" s="18">
        <v>2.42556640942031E-2</v>
      </c>
      <c r="AM108" s="19">
        <v>75.208674419789006</v>
      </c>
      <c r="AN108" s="18">
        <v>1.51868634719543E-2</v>
      </c>
      <c r="AO108" s="19">
        <v>83.824278227286698</v>
      </c>
      <c r="AP108" s="18">
        <v>3.8777676296106699E-3</v>
      </c>
      <c r="AQ108" s="19">
        <v>75.8514791218265</v>
      </c>
      <c r="AR108" s="18">
        <v>-8.3265717845679692E-3</v>
      </c>
      <c r="AS108" s="19">
        <v>90.542271719674901</v>
      </c>
      <c r="AT108" s="18">
        <v>1.3139659666622901E-2</v>
      </c>
      <c r="AU108" s="19">
        <v>72.772847854221396</v>
      </c>
      <c r="AV108" s="18">
        <v>2.48864227877665E-2</v>
      </c>
      <c r="AW108" s="19">
        <v>75.522356049434507</v>
      </c>
      <c r="AX108" s="18">
        <v>1.8892947439270499E-2</v>
      </c>
      <c r="AY108" s="19">
        <v>91.234532316901394</v>
      </c>
      <c r="AZ108" s="18">
        <v>-3.06693306056638E-3</v>
      </c>
      <c r="BA108" s="19">
        <v>120.793628609322</v>
      </c>
      <c r="BB108" s="18">
        <v>-3.8996918023590198E-2</v>
      </c>
      <c r="BC108" s="19">
        <v>108.381542155079</v>
      </c>
      <c r="BD108" s="18">
        <v>-2.3274358913785299E-2</v>
      </c>
      <c r="BE108" s="19">
        <v>90.401460345959606</v>
      </c>
      <c r="BF108" s="18">
        <v>4.1377839819043399E-3</v>
      </c>
      <c r="BG108" s="19"/>
      <c r="BH108" s="18"/>
    </row>
    <row r="109" spans="1:60" x14ac:dyDescent="0.2">
      <c r="A109" s="16">
        <v>2004</v>
      </c>
      <c r="B109" s="16">
        <v>2</v>
      </c>
      <c r="C109" s="19">
        <v>95.124758705447306</v>
      </c>
      <c r="D109" s="18">
        <v>3.8333261181808802E-3</v>
      </c>
      <c r="E109" s="19">
        <v>94.343359176127606</v>
      </c>
      <c r="F109" s="18">
        <v>3.3536657268342699E-3</v>
      </c>
      <c r="G109" s="19">
        <v>98.688148016503405</v>
      </c>
      <c r="H109" s="18">
        <v>2.7650604543114602E-3</v>
      </c>
      <c r="I109" s="19">
        <v>75.629541261079396</v>
      </c>
      <c r="J109" s="18">
        <v>1.8037562764108301E-3</v>
      </c>
      <c r="K109" s="19">
        <v>107.565477399728</v>
      </c>
      <c r="L109" s="18">
        <v>1.1454092223775801E-2</v>
      </c>
      <c r="M109" s="19">
        <v>166.26683994040999</v>
      </c>
      <c r="N109" s="18">
        <v>1.2882592745166999E-4</v>
      </c>
      <c r="O109" s="19">
        <v>88.505641731167003</v>
      </c>
      <c r="P109" s="18">
        <v>1.5455129958289E-2</v>
      </c>
      <c r="Q109" s="19">
        <v>63.241867922934702</v>
      </c>
      <c r="R109" s="18">
        <v>-2.1625793159501701E-2</v>
      </c>
      <c r="S109" s="19">
        <v>162.05301740149201</v>
      </c>
      <c r="T109" s="18">
        <v>-1.5707145168188399E-2</v>
      </c>
      <c r="U109" s="19">
        <v>81.714177581170503</v>
      </c>
      <c r="V109" s="18">
        <v>5.0888697464768198E-3</v>
      </c>
      <c r="W109" s="19">
        <v>106.989986102332</v>
      </c>
      <c r="X109" s="18">
        <v>1.4738891549435799E-2</v>
      </c>
      <c r="Y109" s="19">
        <v>121.513873342069</v>
      </c>
      <c r="Z109" s="18">
        <v>1.8437147563010699E-3</v>
      </c>
      <c r="AA109" s="19">
        <v>72.386939019594195</v>
      </c>
      <c r="AB109" s="18">
        <v>3.2659911341737001E-4</v>
      </c>
      <c r="AC109" s="19">
        <v>82.6284037782128</v>
      </c>
      <c r="AD109" s="18">
        <v>1.02577137317914E-2</v>
      </c>
      <c r="AE109" s="19">
        <v>101.60823137132699</v>
      </c>
      <c r="AF109" s="18">
        <v>1.10012674091957E-2</v>
      </c>
      <c r="AG109" s="19">
        <v>126.630855013228</v>
      </c>
      <c r="AH109" s="18">
        <v>-4.8253971386543498E-2</v>
      </c>
      <c r="AI109" s="19">
        <v>136.025431381517</v>
      </c>
      <c r="AJ109" s="18">
        <v>-5.0377599293896798E-2</v>
      </c>
      <c r="AK109" s="19">
        <v>130.87545851813601</v>
      </c>
      <c r="AL109" s="18">
        <v>-4.4704437812688E-2</v>
      </c>
      <c r="AM109" s="19">
        <v>75.614309451512696</v>
      </c>
      <c r="AN109" s="18">
        <v>1.8746579753354399E-2</v>
      </c>
      <c r="AO109" s="19">
        <v>84.020070339734104</v>
      </c>
      <c r="AP109" s="18">
        <v>5.39466622607043E-3</v>
      </c>
      <c r="AQ109" s="19">
        <v>74.985675728641496</v>
      </c>
      <c r="AR109" s="18">
        <v>-1.9188524190174899E-2</v>
      </c>
      <c r="AS109" s="19">
        <v>91.167629538578495</v>
      </c>
      <c r="AT109" s="18">
        <v>1.6301983561893801E-2</v>
      </c>
      <c r="AU109" s="19">
        <v>73.124180807192303</v>
      </c>
      <c r="AV109" s="18">
        <v>2.3911365266869E-2</v>
      </c>
      <c r="AW109" s="19">
        <v>76.013637061968495</v>
      </c>
      <c r="AX109" s="18">
        <v>2.0253788662144601E-2</v>
      </c>
      <c r="AY109" s="19">
        <v>91.359253507880396</v>
      </c>
      <c r="AZ109" s="18">
        <v>1.1826511080839099E-3</v>
      </c>
      <c r="BA109" s="19">
        <v>119.238246489875</v>
      </c>
      <c r="BB109" s="18">
        <v>1.5941305873970801E-2</v>
      </c>
      <c r="BC109" s="19">
        <v>107.54672383313201</v>
      </c>
      <c r="BD109" s="18">
        <v>1.1311687399375299E-2</v>
      </c>
      <c r="BE109" s="19">
        <v>90.529706591255007</v>
      </c>
      <c r="BF109" s="18">
        <v>2.9272900824115502E-3</v>
      </c>
      <c r="BG109" s="19"/>
      <c r="BH109" s="18"/>
    </row>
    <row r="110" spans="1:60" x14ac:dyDescent="0.2">
      <c r="A110" s="16">
        <v>2004</v>
      </c>
      <c r="B110" s="16">
        <v>3</v>
      </c>
      <c r="C110" s="19">
        <v>94.839678569198</v>
      </c>
      <c r="D110" s="18">
        <v>8.2097739050568397E-4</v>
      </c>
      <c r="E110" s="19">
        <v>94.362448241673405</v>
      </c>
      <c r="F110" s="18">
        <v>3.23146314984624E-3</v>
      </c>
      <c r="G110" s="19">
        <v>95.6201548243383</v>
      </c>
      <c r="H110" s="18">
        <v>-6.1124046525735699E-2</v>
      </c>
      <c r="I110" s="19">
        <v>75.073032419328896</v>
      </c>
      <c r="J110" s="18">
        <v>2.4125080967176702E-3</v>
      </c>
      <c r="K110" s="19">
        <v>107.72378870667499</v>
      </c>
      <c r="L110" s="18">
        <v>1.07156320683968E-2</v>
      </c>
      <c r="M110" s="19">
        <v>167.89123662984699</v>
      </c>
      <c r="N110" s="18">
        <v>4.7658260096872202E-4</v>
      </c>
      <c r="O110" s="19">
        <v>88.382042696901095</v>
      </c>
      <c r="P110" s="18">
        <v>1.4179060899560701E-2</v>
      </c>
      <c r="Q110" s="19">
        <v>64.0592406151939</v>
      </c>
      <c r="R110" s="18">
        <v>-5.5283578952397498E-3</v>
      </c>
      <c r="S110" s="19">
        <v>167.406375691482</v>
      </c>
      <c r="T110" s="18">
        <v>7.1686760868560101E-2</v>
      </c>
      <c r="U110" s="19">
        <v>83.051414656652895</v>
      </c>
      <c r="V110" s="18">
        <v>1.64247341086061E-2</v>
      </c>
      <c r="W110" s="19">
        <v>106.471254986845</v>
      </c>
      <c r="X110" s="18">
        <v>1.4343204993906501E-2</v>
      </c>
      <c r="Y110" s="19">
        <v>118.38712950051099</v>
      </c>
      <c r="Z110" s="18">
        <v>-3.3243002567617799E-3</v>
      </c>
      <c r="AA110" s="19">
        <v>72.246439051398099</v>
      </c>
      <c r="AB110" s="18">
        <v>-2.58806078606844E-4</v>
      </c>
      <c r="AC110" s="19">
        <v>82.130688409843799</v>
      </c>
      <c r="AD110" s="18">
        <v>8.3760787339446398E-3</v>
      </c>
      <c r="AE110" s="19">
        <v>100.957905378378</v>
      </c>
      <c r="AF110" s="18">
        <v>4.3368653633051304E-3</v>
      </c>
      <c r="AG110" s="19">
        <v>124.976210167486</v>
      </c>
      <c r="AH110" s="18">
        <v>-5.4244059701476201E-2</v>
      </c>
      <c r="AI110" s="19">
        <v>134.49661802660901</v>
      </c>
      <c r="AJ110" s="18">
        <v>-3.8690492385633997E-2</v>
      </c>
      <c r="AK110" s="19">
        <v>128.402274155025</v>
      </c>
      <c r="AL110" s="18">
        <v>-7.8878965772085793E-2</v>
      </c>
      <c r="AM110" s="19">
        <v>76.277784683636099</v>
      </c>
      <c r="AN110" s="18">
        <v>2.34275425016621E-2</v>
      </c>
      <c r="AO110" s="19">
        <v>84.3704775963553</v>
      </c>
      <c r="AP110" s="18">
        <v>7.6082018934144902E-3</v>
      </c>
      <c r="AQ110" s="19">
        <v>74.828770627450595</v>
      </c>
      <c r="AR110" s="18">
        <v>-2.2320846435134101E-2</v>
      </c>
      <c r="AS110" s="19">
        <v>91.292797693626298</v>
      </c>
      <c r="AT110" s="18">
        <v>1.5902570749836399E-2</v>
      </c>
      <c r="AU110" s="19">
        <v>73.854782126758806</v>
      </c>
      <c r="AV110" s="18">
        <v>2.24559467438121E-2</v>
      </c>
      <c r="AW110" s="19">
        <v>76.136815902438698</v>
      </c>
      <c r="AX110" s="18">
        <v>1.8278696848861499E-2</v>
      </c>
      <c r="AY110" s="19">
        <v>91.366942270170597</v>
      </c>
      <c r="AZ110" s="18">
        <v>7.3924007886727605E-4</v>
      </c>
      <c r="BA110" s="19">
        <v>109.37023565693799</v>
      </c>
      <c r="BB110" s="18">
        <v>-6.0308627390851403E-2</v>
      </c>
      <c r="BC110" s="19">
        <v>101.929586164051</v>
      </c>
      <c r="BD110" s="18">
        <v>-3.7034890885058798E-2</v>
      </c>
      <c r="BE110" s="19">
        <v>90.839072687071393</v>
      </c>
      <c r="BF110" s="18">
        <v>4.7750561141657296E-3</v>
      </c>
      <c r="BG110" s="19"/>
      <c r="BH110" s="18"/>
    </row>
    <row r="111" spans="1:60" x14ac:dyDescent="0.2">
      <c r="A111" s="16">
        <v>2004</v>
      </c>
      <c r="B111" s="16">
        <v>4</v>
      </c>
      <c r="C111" s="19">
        <v>95.316522339302495</v>
      </c>
      <c r="D111" s="18">
        <v>5.8710984794205804E-3</v>
      </c>
      <c r="E111" s="19">
        <v>94.643582124420007</v>
      </c>
      <c r="F111" s="18">
        <v>3.8618627587283499E-3</v>
      </c>
      <c r="G111" s="19">
        <v>95.398549991795207</v>
      </c>
      <c r="H111" s="18">
        <v>-8.5379995608504497E-2</v>
      </c>
      <c r="I111" s="19">
        <v>75.792739012696302</v>
      </c>
      <c r="J111" s="18">
        <v>3.91735141051086E-3</v>
      </c>
      <c r="K111" s="19">
        <v>107.823006262166</v>
      </c>
      <c r="L111" s="18">
        <v>7.0774711090684202E-3</v>
      </c>
      <c r="M111" s="19">
        <v>166.42826200480701</v>
      </c>
      <c r="N111" s="18">
        <v>-6.6486894819312E-3</v>
      </c>
      <c r="O111" s="19">
        <v>88.727288362968906</v>
      </c>
      <c r="P111" s="18">
        <v>1.15937814785589E-2</v>
      </c>
      <c r="Q111" s="19">
        <v>65.556538266349506</v>
      </c>
      <c r="R111" s="18">
        <v>-2.0596524499880702E-3</v>
      </c>
      <c r="S111" s="19">
        <v>179.99385283242501</v>
      </c>
      <c r="T111" s="18">
        <v>0.14723310614556701</v>
      </c>
      <c r="U111" s="19">
        <v>83.547488445820704</v>
      </c>
      <c r="V111" s="18">
        <v>2.1566126461581601E-2</v>
      </c>
      <c r="W111" s="19">
        <v>107.27872213197</v>
      </c>
      <c r="X111" s="18">
        <v>1.3525008577098801E-2</v>
      </c>
      <c r="Y111" s="19">
        <v>120.355538960468</v>
      </c>
      <c r="Z111" s="18">
        <v>-2.8824349663073602E-3</v>
      </c>
      <c r="AA111" s="19">
        <v>72.213770101875596</v>
      </c>
      <c r="AB111" s="18">
        <v>-7.5040915639235095E-4</v>
      </c>
      <c r="AC111" s="19">
        <v>82.285382987308594</v>
      </c>
      <c r="AD111" s="18">
        <v>9.4690353095836493E-3</v>
      </c>
      <c r="AE111" s="19">
        <v>101.631625362215</v>
      </c>
      <c r="AF111" s="18">
        <v>5.1749875317193004E-3</v>
      </c>
      <c r="AG111" s="19">
        <v>123.215769353318</v>
      </c>
      <c r="AH111" s="18">
        <v>-5.4792885511572499E-2</v>
      </c>
      <c r="AI111" s="19">
        <v>132.189244395712</v>
      </c>
      <c r="AJ111" s="18">
        <v>-4.2854284508438499E-2</v>
      </c>
      <c r="AK111" s="19">
        <v>126.445525998215</v>
      </c>
      <c r="AL111" s="18">
        <v>-8.6768698000760702E-2</v>
      </c>
      <c r="AM111" s="19">
        <v>76.902350667038505</v>
      </c>
      <c r="AN111" s="18">
        <v>2.8007870439908E-2</v>
      </c>
      <c r="AO111" s="19">
        <v>84.535572417521195</v>
      </c>
      <c r="AP111" s="18">
        <v>1.02029721044494E-2</v>
      </c>
      <c r="AQ111" s="19">
        <v>75.140390975175293</v>
      </c>
      <c r="AR111" s="18">
        <v>-2.2931682697264099E-2</v>
      </c>
      <c r="AS111" s="19">
        <v>91.403473346682802</v>
      </c>
      <c r="AT111" s="18">
        <v>1.7072324024815601E-2</v>
      </c>
      <c r="AU111" s="19">
        <v>73.981419129077906</v>
      </c>
      <c r="AV111" s="18">
        <v>2.1559451833007299E-2</v>
      </c>
      <c r="AW111" s="19">
        <v>76.372379406213199</v>
      </c>
      <c r="AX111" s="18">
        <v>1.7191633013673401E-2</v>
      </c>
      <c r="AY111" s="19">
        <v>91.623426894164695</v>
      </c>
      <c r="AZ111" s="18">
        <v>3.30360559067655E-3</v>
      </c>
      <c r="BA111" s="19">
        <v>116.030711052051</v>
      </c>
      <c r="BB111" s="18">
        <v>6.1201871361452602E-2</v>
      </c>
      <c r="BC111" s="19">
        <v>105.99407394325701</v>
      </c>
      <c r="BD111" s="18">
        <v>4.20421095491679E-2</v>
      </c>
      <c r="BE111" s="19">
        <v>91.334692468366697</v>
      </c>
      <c r="BF111" s="18">
        <v>9.7510036281980295E-3</v>
      </c>
      <c r="BG111" s="19"/>
      <c r="BH111" s="18"/>
    </row>
    <row r="112" spans="1:60" x14ac:dyDescent="0.2">
      <c r="A112" s="16">
        <v>2005</v>
      </c>
      <c r="B112" s="16">
        <v>1</v>
      </c>
      <c r="C112" s="19">
        <v>95.651293285090802</v>
      </c>
      <c r="D112" s="18">
        <v>5.5478084987026204E-3</v>
      </c>
      <c r="E112" s="19">
        <v>94.904711446185004</v>
      </c>
      <c r="F112" s="18">
        <v>6.4788076097588299E-3</v>
      </c>
      <c r="G112" s="19">
        <v>93.847866031942502</v>
      </c>
      <c r="H112" s="18">
        <v>-7.4821835285834304E-2</v>
      </c>
      <c r="I112" s="19">
        <v>76.525249345042795</v>
      </c>
      <c r="J112" s="18">
        <v>7.7805864774827E-3</v>
      </c>
      <c r="K112" s="19">
        <v>107.940095495452</v>
      </c>
      <c r="L112" s="18">
        <v>6.2484606509007898E-3</v>
      </c>
      <c r="M112" s="19">
        <v>164.370827409078</v>
      </c>
      <c r="N112" s="18">
        <v>-2.3709770939350699E-2</v>
      </c>
      <c r="O112" s="19">
        <v>89.306344617043294</v>
      </c>
      <c r="P112" s="18">
        <v>1.7230555277966401E-2</v>
      </c>
      <c r="Q112" s="19">
        <v>67.764059801748402</v>
      </c>
      <c r="R112" s="18">
        <v>1.2224942372368999E-2</v>
      </c>
      <c r="S112" s="19">
        <v>161.75398773055201</v>
      </c>
      <c r="T112" s="18">
        <v>-1.8434031320333399E-2</v>
      </c>
      <c r="U112" s="19">
        <v>83.247803416546304</v>
      </c>
      <c r="V112" s="18">
        <v>2.0396499210229499E-2</v>
      </c>
      <c r="W112" s="19">
        <v>107.33545434567</v>
      </c>
      <c r="X112" s="18">
        <v>1.28988532605279E-2</v>
      </c>
      <c r="Y112" s="19">
        <v>118.475266515697</v>
      </c>
      <c r="Z112" s="18">
        <v>-3.6270239508673401E-4</v>
      </c>
      <c r="AA112" s="19">
        <v>75.151527428899897</v>
      </c>
      <c r="AB112" s="18">
        <v>2.8063097685162401E-2</v>
      </c>
      <c r="AC112" s="19">
        <v>82.768904482461096</v>
      </c>
      <c r="AD112" s="18">
        <v>5.5736941892439197E-3</v>
      </c>
      <c r="AE112" s="19">
        <v>101.69310611746999</v>
      </c>
      <c r="AF112" s="18">
        <v>2.7543385527795099E-3</v>
      </c>
      <c r="AG112" s="19">
        <v>123.296880848447</v>
      </c>
      <c r="AH112" s="18">
        <v>-3.6889409071436702E-2</v>
      </c>
      <c r="AI112" s="19">
        <v>132.900302877618</v>
      </c>
      <c r="AJ112" s="18">
        <v>-2.5331178058051899E-2</v>
      </c>
      <c r="AK112" s="19">
        <v>124.81768513865499</v>
      </c>
      <c r="AL112" s="18">
        <v>-6.9319092067116103E-2</v>
      </c>
      <c r="AM112" s="19">
        <v>77.202771571253905</v>
      </c>
      <c r="AN112" s="18">
        <v>2.6514190907480899E-2</v>
      </c>
      <c r="AO112" s="19">
        <v>84.810056859736505</v>
      </c>
      <c r="AP112" s="18">
        <v>1.17600610860837E-2</v>
      </c>
      <c r="AQ112" s="19">
        <v>75.197003507698199</v>
      </c>
      <c r="AR112" s="18">
        <v>-8.6283830151435703E-3</v>
      </c>
      <c r="AS112" s="19">
        <v>91.896924223065199</v>
      </c>
      <c r="AT112" s="18">
        <v>1.49615475474751E-2</v>
      </c>
      <c r="AU112" s="19">
        <v>74.251133853482798</v>
      </c>
      <c r="AV112" s="18">
        <v>2.0313702745599099E-2</v>
      </c>
      <c r="AW112" s="19">
        <v>76.866684520124096</v>
      </c>
      <c r="AX112" s="18">
        <v>1.78004042910112E-2</v>
      </c>
      <c r="AY112" s="19">
        <v>91.536672887692404</v>
      </c>
      <c r="AZ112" s="18">
        <v>3.3116909038513101E-3</v>
      </c>
      <c r="BA112" s="19">
        <v>118.67322644141299</v>
      </c>
      <c r="BB112" s="18">
        <v>-1.7553923930598399E-2</v>
      </c>
      <c r="BC112" s="19">
        <v>107.841238157826</v>
      </c>
      <c r="BD112" s="18">
        <v>-4.9852030752567398E-3</v>
      </c>
      <c r="BE112" s="19">
        <v>92.023592347040903</v>
      </c>
      <c r="BF112" s="18">
        <v>1.7943648198530698E-2</v>
      </c>
      <c r="BG112" s="19"/>
      <c r="BH112" s="18"/>
    </row>
    <row r="113" spans="1:60" x14ac:dyDescent="0.2">
      <c r="A113" s="16">
        <v>2005</v>
      </c>
      <c r="B113" s="16">
        <v>2</v>
      </c>
      <c r="C113" s="19">
        <v>95.693605541713495</v>
      </c>
      <c r="D113" s="18">
        <v>5.98000819142763E-3</v>
      </c>
      <c r="E113" s="19">
        <v>95.112909242265104</v>
      </c>
      <c r="F113" s="18">
        <v>8.1569076282392797E-3</v>
      </c>
      <c r="G113" s="19">
        <v>91.623072230304601</v>
      </c>
      <c r="H113" s="18">
        <v>-7.1589911536463005E-2</v>
      </c>
      <c r="I113" s="19">
        <v>77.865560837936897</v>
      </c>
      <c r="J113" s="18">
        <v>2.9565425620374799E-2</v>
      </c>
      <c r="K113" s="19">
        <v>107.83177729867499</v>
      </c>
      <c r="L113" s="18">
        <v>2.47570043274292E-3</v>
      </c>
      <c r="M113" s="19">
        <v>164.48474537848799</v>
      </c>
      <c r="N113" s="18">
        <v>-1.07182801005993E-2</v>
      </c>
      <c r="O113" s="19">
        <v>89.136497685192296</v>
      </c>
      <c r="P113" s="18">
        <v>7.1278614751086903E-3</v>
      </c>
      <c r="Q113" s="19">
        <v>64.577443795809003</v>
      </c>
      <c r="R113" s="18">
        <v>2.1118539295863499E-2</v>
      </c>
      <c r="S113" s="19">
        <v>139.43654492171299</v>
      </c>
      <c r="T113" s="18">
        <v>-0.13956218059023101</v>
      </c>
      <c r="U113" s="19">
        <v>83.542661390823298</v>
      </c>
      <c r="V113" s="18">
        <v>2.2376579729220799E-2</v>
      </c>
      <c r="W113" s="19">
        <v>109.101587226916</v>
      </c>
      <c r="X113" s="18">
        <v>1.9736437039673999E-2</v>
      </c>
      <c r="Y113" s="19">
        <v>120.971267052393</v>
      </c>
      <c r="Z113" s="18">
        <v>-4.4653855132125199E-3</v>
      </c>
      <c r="AA113" s="19">
        <v>75.384339766905498</v>
      </c>
      <c r="AB113" s="18">
        <v>4.1408032828959197E-2</v>
      </c>
      <c r="AC113" s="19">
        <v>83.154777355634394</v>
      </c>
      <c r="AD113" s="18">
        <v>6.37037088159631E-3</v>
      </c>
      <c r="AE113" s="19">
        <v>101.252795441808</v>
      </c>
      <c r="AF113" s="18">
        <v>-3.4981017258292101E-3</v>
      </c>
      <c r="AG113" s="19">
        <v>124.07266523243</v>
      </c>
      <c r="AH113" s="18">
        <v>-2.0201946678247699E-2</v>
      </c>
      <c r="AI113" s="19">
        <v>134.417560016876</v>
      </c>
      <c r="AJ113" s="18">
        <v>-1.18203732074994E-2</v>
      </c>
      <c r="AK113" s="19">
        <v>124.27917855711399</v>
      </c>
      <c r="AL113" s="18">
        <v>-5.0401198480682398E-2</v>
      </c>
      <c r="AM113" s="19">
        <v>77.409703781344703</v>
      </c>
      <c r="AN113" s="18">
        <v>2.3744107998278498E-2</v>
      </c>
      <c r="AO113" s="19">
        <v>85.009948525910801</v>
      </c>
      <c r="AP113" s="18">
        <v>1.17814491486874E-2</v>
      </c>
      <c r="AQ113" s="19">
        <v>75.180011360252294</v>
      </c>
      <c r="AR113" s="18">
        <v>2.5916367322471601E-3</v>
      </c>
      <c r="AS113" s="19">
        <v>92.096807821845005</v>
      </c>
      <c r="AT113" s="18">
        <v>1.0191975901635999E-2</v>
      </c>
      <c r="AU113" s="19">
        <v>74.545605210952402</v>
      </c>
      <c r="AV113" s="18">
        <v>1.9438500207037399E-2</v>
      </c>
      <c r="AW113" s="19">
        <v>77.278639487243098</v>
      </c>
      <c r="AX113" s="18">
        <v>1.6641782634915898E-2</v>
      </c>
      <c r="AY113" s="19">
        <v>91.351599373116301</v>
      </c>
      <c r="AZ113" s="18">
        <v>-8.37806184952328E-5</v>
      </c>
      <c r="BA113" s="19">
        <v>113.488015199831</v>
      </c>
      <c r="BB113" s="18">
        <v>-4.82247220109231E-2</v>
      </c>
      <c r="BC113" s="19">
        <v>105.034041251048</v>
      </c>
      <c r="BD113" s="18">
        <v>-2.3363636682995001E-2</v>
      </c>
      <c r="BE113" s="19">
        <v>92.607391965863101</v>
      </c>
      <c r="BF113" s="18">
        <v>2.2950316010511101E-2</v>
      </c>
      <c r="BG113" s="19"/>
      <c r="BH113" s="18"/>
    </row>
    <row r="114" spans="1:60" x14ac:dyDescent="0.2">
      <c r="A114" s="16">
        <v>2005</v>
      </c>
      <c r="B114" s="16">
        <v>3</v>
      </c>
      <c r="C114" s="19">
        <v>96.163217902960099</v>
      </c>
      <c r="D114" s="18">
        <v>1.3955544279880199E-2</v>
      </c>
      <c r="E114" s="19">
        <v>95.460261921581093</v>
      </c>
      <c r="F114" s="18">
        <v>1.16340101424248E-2</v>
      </c>
      <c r="G114" s="19">
        <v>91.5419018769404</v>
      </c>
      <c r="H114" s="18">
        <v>-4.2650557875481401E-2</v>
      </c>
      <c r="I114" s="19">
        <v>77.237089933401606</v>
      </c>
      <c r="J114" s="18">
        <v>2.8826030391113401E-2</v>
      </c>
      <c r="K114" s="19">
        <v>108.372095650361</v>
      </c>
      <c r="L114" s="18">
        <v>6.0182337761209804E-3</v>
      </c>
      <c r="M114" s="19">
        <v>167.79966520970601</v>
      </c>
      <c r="N114" s="18">
        <v>-5.4542108318966797E-4</v>
      </c>
      <c r="O114" s="19">
        <v>89.114311319363395</v>
      </c>
      <c r="P114" s="18">
        <v>8.28526474516522E-3</v>
      </c>
      <c r="Q114" s="19">
        <v>61.042754390460701</v>
      </c>
      <c r="R114" s="18">
        <v>-4.7089010043896498E-2</v>
      </c>
      <c r="S114" s="19">
        <v>155.57717028636901</v>
      </c>
      <c r="T114" s="18">
        <v>-7.0661618210488997E-2</v>
      </c>
      <c r="U114" s="19">
        <v>84.263353216369595</v>
      </c>
      <c r="V114" s="18">
        <v>1.45926299356489E-2</v>
      </c>
      <c r="W114" s="19">
        <v>109.89772400692399</v>
      </c>
      <c r="X114" s="18">
        <v>3.2182104179216103E-2</v>
      </c>
      <c r="Y114" s="19">
        <v>117.73087753935501</v>
      </c>
      <c r="Z114" s="18">
        <v>-5.5432711640589502E-3</v>
      </c>
      <c r="AA114" s="19">
        <v>75.332127300443105</v>
      </c>
      <c r="AB114" s="18">
        <v>4.2710592931088899E-2</v>
      </c>
      <c r="AC114" s="19">
        <v>82.954385741046295</v>
      </c>
      <c r="AD114" s="18">
        <v>1.00291054068864E-2</v>
      </c>
      <c r="AE114" s="19">
        <v>98.790087646386198</v>
      </c>
      <c r="AF114" s="18">
        <v>-2.1472491172111901E-2</v>
      </c>
      <c r="AG114" s="19">
        <v>125.506174752219</v>
      </c>
      <c r="AH114" s="18">
        <v>4.2405237286542398E-3</v>
      </c>
      <c r="AI114" s="19">
        <v>136.541725631921</v>
      </c>
      <c r="AJ114" s="18">
        <v>1.52056433486487E-2</v>
      </c>
      <c r="AK114" s="19">
        <v>124.81062242012101</v>
      </c>
      <c r="AL114" s="18">
        <v>-2.79718701131993E-2</v>
      </c>
      <c r="AM114" s="19">
        <v>77.770142583133705</v>
      </c>
      <c r="AN114" s="18">
        <v>1.9564777683137399E-2</v>
      </c>
      <c r="AO114" s="19">
        <v>85.368288071454401</v>
      </c>
      <c r="AP114" s="18">
        <v>1.1826535815914901E-2</v>
      </c>
      <c r="AQ114" s="19">
        <v>75.465811308474798</v>
      </c>
      <c r="AR114" s="18">
        <v>8.5133121349241208E-3</v>
      </c>
      <c r="AS114" s="19">
        <v>92.201178892283195</v>
      </c>
      <c r="AT114" s="18">
        <v>9.9501956518566192E-3</v>
      </c>
      <c r="AU114" s="19">
        <v>75.302790241480196</v>
      </c>
      <c r="AV114" s="18">
        <v>1.96061524118523E-2</v>
      </c>
      <c r="AW114" s="19">
        <v>77.481389535552196</v>
      </c>
      <c r="AX114" s="18">
        <v>1.7659966695172401E-2</v>
      </c>
      <c r="AY114" s="19">
        <v>91.905469433694194</v>
      </c>
      <c r="AZ114" s="18">
        <v>5.8941138900243696E-3</v>
      </c>
      <c r="BA114" s="19">
        <v>117.80248079197101</v>
      </c>
      <c r="BB114" s="18">
        <v>7.7098171036983604E-2</v>
      </c>
      <c r="BC114" s="19">
        <v>107.77128317067699</v>
      </c>
      <c r="BD114" s="18">
        <v>5.7311102953212303E-2</v>
      </c>
      <c r="BE114" s="19">
        <v>93.081111552157694</v>
      </c>
      <c r="BF114" s="18">
        <v>2.46814371697721E-2</v>
      </c>
      <c r="BG114" s="19"/>
      <c r="BH114" s="18"/>
    </row>
    <row r="115" spans="1:60" x14ac:dyDescent="0.2">
      <c r="A115" s="16">
        <v>2005</v>
      </c>
      <c r="B115" s="16">
        <v>4</v>
      </c>
      <c r="C115" s="19">
        <v>96.491215850236898</v>
      </c>
      <c r="D115" s="18">
        <v>1.23241331314292E-2</v>
      </c>
      <c r="E115" s="19">
        <v>96.131202470564304</v>
      </c>
      <c r="F115" s="18">
        <v>1.5718132310214499E-2</v>
      </c>
      <c r="G115" s="19">
        <v>91.226132783412297</v>
      </c>
      <c r="H115" s="18">
        <v>-4.37366942028138E-2</v>
      </c>
      <c r="I115" s="19">
        <v>78.581645930759095</v>
      </c>
      <c r="J115" s="18">
        <v>3.6796492043857702E-2</v>
      </c>
      <c r="K115" s="19">
        <v>108.624211087617</v>
      </c>
      <c r="L115" s="18">
        <v>7.4307409265130797E-3</v>
      </c>
      <c r="M115" s="19">
        <v>167.73913444826999</v>
      </c>
      <c r="N115" s="18">
        <v>7.8765014287351907E-3</v>
      </c>
      <c r="O115" s="19">
        <v>89.3938373486465</v>
      </c>
      <c r="P115" s="18">
        <v>7.5123335557243402E-3</v>
      </c>
      <c r="Q115" s="19">
        <v>60.993023039148603</v>
      </c>
      <c r="R115" s="18">
        <v>-6.9611900626292494E-2</v>
      </c>
      <c r="S115" s="19">
        <v>157.274134948767</v>
      </c>
      <c r="T115" s="18">
        <v>-0.126224965609295</v>
      </c>
      <c r="U115" s="19">
        <v>84.9503386498384</v>
      </c>
      <c r="V115" s="18">
        <v>1.6791051773236101E-2</v>
      </c>
      <c r="W115" s="19">
        <v>112.112678541029</v>
      </c>
      <c r="X115" s="18">
        <v>4.5059787374353899E-2</v>
      </c>
      <c r="Y115" s="19">
        <v>119.8261094763</v>
      </c>
      <c r="Z115" s="18">
        <v>-4.3988792600719896E-3</v>
      </c>
      <c r="AA115" s="19">
        <v>75.395144675115006</v>
      </c>
      <c r="AB115" s="18">
        <v>4.40549575067362E-2</v>
      </c>
      <c r="AC115" s="19">
        <v>83.307734888697595</v>
      </c>
      <c r="AD115" s="18">
        <v>1.2424465491600801E-2</v>
      </c>
      <c r="AE115" s="19">
        <v>98.748092982410597</v>
      </c>
      <c r="AF115" s="18">
        <v>-2.83723926437979E-2</v>
      </c>
      <c r="AG115" s="19">
        <v>126.268415500928</v>
      </c>
      <c r="AH115" s="18">
        <v>2.4774800852453299E-2</v>
      </c>
      <c r="AI115" s="19">
        <v>136.69576217155199</v>
      </c>
      <c r="AJ115" s="18">
        <v>3.4091410359753598E-2</v>
      </c>
      <c r="AK115" s="19">
        <v>126.519309306731</v>
      </c>
      <c r="AL115" s="18">
        <v>5.8351853838489699E-4</v>
      </c>
      <c r="AM115" s="19">
        <v>78.296040437270193</v>
      </c>
      <c r="AN115" s="18">
        <v>1.8122850057808101E-2</v>
      </c>
      <c r="AO115" s="19">
        <v>85.530261751222696</v>
      </c>
      <c r="AP115" s="18">
        <v>1.17665179906596E-2</v>
      </c>
      <c r="AQ115" s="19">
        <v>76.353672603166004</v>
      </c>
      <c r="AR115" s="18">
        <v>1.6146863387915399E-2</v>
      </c>
      <c r="AS115" s="19">
        <v>92.240398280290094</v>
      </c>
      <c r="AT115" s="18">
        <v>9.1563799816767304E-3</v>
      </c>
      <c r="AU115" s="19">
        <v>75.561164015307199</v>
      </c>
      <c r="AV115" s="18">
        <v>2.1353265520266201E-2</v>
      </c>
      <c r="AW115" s="19">
        <v>77.632909641361806</v>
      </c>
      <c r="AX115" s="18">
        <v>1.6505053855190299E-2</v>
      </c>
      <c r="AY115" s="19">
        <v>92.0954286040932</v>
      </c>
      <c r="AZ115" s="18">
        <v>5.15153957812253E-3</v>
      </c>
      <c r="BA115" s="19">
        <v>107.534053360413</v>
      </c>
      <c r="BB115" s="18">
        <v>-7.3227662009471298E-2</v>
      </c>
      <c r="BC115" s="19">
        <v>101.716663937146</v>
      </c>
      <c r="BD115" s="18">
        <v>-4.0355180690586599E-2</v>
      </c>
      <c r="BE115" s="19">
        <v>93.439830225500501</v>
      </c>
      <c r="BF115" s="18">
        <v>2.30486105579524E-2</v>
      </c>
      <c r="BG115" s="19"/>
      <c r="BH115" s="18"/>
    </row>
    <row r="116" spans="1:60" x14ac:dyDescent="0.2">
      <c r="A116" s="16">
        <v>2006</v>
      </c>
      <c r="B116" s="16">
        <v>1</v>
      </c>
      <c r="C116" s="19">
        <v>97.601995808196506</v>
      </c>
      <c r="D116" s="18">
        <v>2.0393895953833702E-2</v>
      </c>
      <c r="E116" s="19">
        <v>96.731309325930198</v>
      </c>
      <c r="F116" s="18">
        <v>1.92466512137381E-2</v>
      </c>
      <c r="G116" s="19">
        <v>92.223551911922897</v>
      </c>
      <c r="H116" s="18">
        <v>-1.7307949436662799E-2</v>
      </c>
      <c r="I116" s="19">
        <v>79.798058884101295</v>
      </c>
      <c r="J116" s="18">
        <v>4.2767708267134497E-2</v>
      </c>
      <c r="K116" s="19">
        <v>109.11870644572799</v>
      </c>
      <c r="L116" s="18">
        <v>1.09191208778019E-2</v>
      </c>
      <c r="M116" s="19">
        <v>166.51962810408699</v>
      </c>
      <c r="N116" s="18">
        <v>1.30728836064156E-2</v>
      </c>
      <c r="O116" s="19">
        <v>90.193537062346394</v>
      </c>
      <c r="P116" s="18">
        <v>9.9342599801555097E-3</v>
      </c>
      <c r="Q116" s="19">
        <v>66.246796222957201</v>
      </c>
      <c r="R116" s="18">
        <v>-2.2390387813689801E-2</v>
      </c>
      <c r="S116" s="19">
        <v>158.319520180794</v>
      </c>
      <c r="T116" s="18">
        <v>-2.1232660770498499E-2</v>
      </c>
      <c r="U116" s="19">
        <v>85.346446915205703</v>
      </c>
      <c r="V116" s="18">
        <v>2.5209596079771801E-2</v>
      </c>
      <c r="W116" s="19">
        <v>113.04529329543401</v>
      </c>
      <c r="X116" s="18">
        <v>5.3196206086534498E-2</v>
      </c>
      <c r="Y116" s="19">
        <v>118.456524452793</v>
      </c>
      <c r="Z116" s="18">
        <v>-1.58193886837688E-4</v>
      </c>
      <c r="AA116" s="19">
        <v>75.925747000963696</v>
      </c>
      <c r="AB116" s="18">
        <v>1.03021135903891E-2</v>
      </c>
      <c r="AC116" s="19">
        <v>84.656129283884994</v>
      </c>
      <c r="AD116" s="18">
        <v>2.28011330248283E-2</v>
      </c>
      <c r="AE116" s="19">
        <v>98.443795531535301</v>
      </c>
      <c r="AF116" s="18">
        <v>-3.1952122518331599E-2</v>
      </c>
      <c r="AG116" s="19">
        <v>126.63114093610901</v>
      </c>
      <c r="AH116" s="18">
        <v>2.7042533961259E-2</v>
      </c>
      <c r="AI116" s="19">
        <v>135.688039964544</v>
      </c>
      <c r="AJ116" s="18">
        <v>2.0976153000142699E-2</v>
      </c>
      <c r="AK116" s="19">
        <v>129.65191581955301</v>
      </c>
      <c r="AL116" s="18">
        <v>3.8730334371507698E-2</v>
      </c>
      <c r="AM116" s="19">
        <v>79.018143575312607</v>
      </c>
      <c r="AN116" s="18">
        <v>2.3514337207223499E-2</v>
      </c>
      <c r="AO116" s="19">
        <v>85.776058617556302</v>
      </c>
      <c r="AP116" s="18">
        <v>1.1390179344148399E-2</v>
      </c>
      <c r="AQ116" s="19">
        <v>76.462807570312407</v>
      </c>
      <c r="AR116" s="18">
        <v>1.6833171583553699E-2</v>
      </c>
      <c r="AS116" s="19">
        <v>92.429340871597503</v>
      </c>
      <c r="AT116" s="18">
        <v>5.7936286011048797E-3</v>
      </c>
      <c r="AU116" s="19">
        <v>75.448035574418796</v>
      </c>
      <c r="AV116" s="18">
        <v>1.6119642338362699E-2</v>
      </c>
      <c r="AW116" s="19">
        <v>78.081655116401706</v>
      </c>
      <c r="AX116" s="18">
        <v>1.5806205300288301E-2</v>
      </c>
      <c r="AY116" s="19">
        <v>92.279222979345406</v>
      </c>
      <c r="AZ116" s="18">
        <v>8.1120502660616493E-3</v>
      </c>
      <c r="BA116" s="19">
        <v>124.359247396691</v>
      </c>
      <c r="BB116" s="18">
        <v>4.79132583294615E-2</v>
      </c>
      <c r="BC116" s="19">
        <v>111.951654777648</v>
      </c>
      <c r="BD116" s="18">
        <v>3.8115443498580003E-2</v>
      </c>
      <c r="BE116" s="19">
        <v>93.681575733575499</v>
      </c>
      <c r="BF116" s="18">
        <v>1.8016938311666598E-2</v>
      </c>
      <c r="BG116" s="19"/>
      <c r="BH116" s="18"/>
    </row>
    <row r="117" spans="1:60" x14ac:dyDescent="0.2">
      <c r="A117" s="16">
        <v>2006</v>
      </c>
      <c r="B117" s="16">
        <v>2</v>
      </c>
      <c r="C117" s="19">
        <v>97.843400352395705</v>
      </c>
      <c r="D117" s="18">
        <v>2.2465396705583E-2</v>
      </c>
      <c r="E117" s="19">
        <v>97.268306728674602</v>
      </c>
      <c r="F117" s="18">
        <v>2.2661461031744601E-2</v>
      </c>
      <c r="G117" s="19">
        <v>92.845012295749498</v>
      </c>
      <c r="H117" s="18">
        <v>1.3336597820835501E-2</v>
      </c>
      <c r="I117" s="19">
        <v>79.509662980138103</v>
      </c>
      <c r="J117" s="18">
        <v>2.1114625317129699E-2</v>
      </c>
      <c r="K117" s="19">
        <v>109.63639045998001</v>
      </c>
      <c r="L117" s="18">
        <v>1.6735448552485498E-2</v>
      </c>
      <c r="M117" s="19">
        <v>164.37391318339101</v>
      </c>
      <c r="N117" s="18">
        <v>-6.7381443088432302E-4</v>
      </c>
      <c r="O117" s="19">
        <v>91.205100667014705</v>
      </c>
      <c r="P117" s="18">
        <v>2.3207137766711301E-2</v>
      </c>
      <c r="Q117" s="19">
        <v>63.0611174966904</v>
      </c>
      <c r="R117" s="18">
        <v>-2.3480742036076498E-2</v>
      </c>
      <c r="S117" s="19">
        <v>168.05586286098401</v>
      </c>
      <c r="T117" s="18">
        <v>0.205249764007987</v>
      </c>
      <c r="U117" s="19">
        <v>86.092944945106694</v>
      </c>
      <c r="V117" s="18">
        <v>3.0526721459744902E-2</v>
      </c>
      <c r="W117" s="19">
        <v>113.803408730237</v>
      </c>
      <c r="X117" s="18">
        <v>4.3095812103462597E-2</v>
      </c>
      <c r="Y117" s="19">
        <v>120.762454447</v>
      </c>
      <c r="Z117" s="18">
        <v>-1.7261339033715099E-3</v>
      </c>
      <c r="AA117" s="19">
        <v>75.651686683770393</v>
      </c>
      <c r="AB117" s="18">
        <v>3.5464516594778698E-3</v>
      </c>
      <c r="AC117" s="19">
        <v>84.656211666575402</v>
      </c>
      <c r="AD117" s="18">
        <v>1.8055899596961501E-2</v>
      </c>
      <c r="AE117" s="19">
        <v>97.948574364170199</v>
      </c>
      <c r="AF117" s="18">
        <v>-3.2633381263406598E-2</v>
      </c>
      <c r="AG117" s="19">
        <v>128.81905234941701</v>
      </c>
      <c r="AH117" s="18">
        <v>3.8254897709298498E-2</v>
      </c>
      <c r="AI117" s="19">
        <v>137.077835858854</v>
      </c>
      <c r="AJ117" s="18">
        <v>1.97911332540452E-2</v>
      </c>
      <c r="AK117" s="19">
        <v>134.148434097311</v>
      </c>
      <c r="AL117" s="18">
        <v>7.9411979180902495E-2</v>
      </c>
      <c r="AM117" s="19">
        <v>79.626009307286793</v>
      </c>
      <c r="AN117" s="18">
        <v>2.86308488171256E-2</v>
      </c>
      <c r="AO117" s="19">
        <v>86.102830005692098</v>
      </c>
      <c r="AP117" s="18">
        <v>1.28559244974518E-2</v>
      </c>
      <c r="AQ117" s="19">
        <v>76.182035451497896</v>
      </c>
      <c r="AR117" s="18">
        <v>1.3328331202879099E-2</v>
      </c>
      <c r="AS117" s="19">
        <v>92.923454579403398</v>
      </c>
      <c r="AT117" s="18">
        <v>8.9758459289654997E-3</v>
      </c>
      <c r="AU117" s="19">
        <v>75.669459749223606</v>
      </c>
      <c r="AV117" s="18">
        <v>1.50760669940346E-2</v>
      </c>
      <c r="AW117" s="19">
        <v>78.529512645258507</v>
      </c>
      <c r="AX117" s="18">
        <v>1.6186531832278299E-2</v>
      </c>
      <c r="AY117" s="19">
        <v>92.0144390143831</v>
      </c>
      <c r="AZ117" s="18">
        <v>7.2559172014001697E-3</v>
      </c>
      <c r="BA117" s="19">
        <v>115.489564206222</v>
      </c>
      <c r="BB117" s="18">
        <v>1.7636655314366499E-2</v>
      </c>
      <c r="BC117" s="19">
        <v>106.710577493245</v>
      </c>
      <c r="BD117" s="18">
        <v>1.5961836964740701E-2</v>
      </c>
      <c r="BE117" s="19">
        <v>93.833009826878097</v>
      </c>
      <c r="BF117" s="18">
        <v>1.3234557576859299E-2</v>
      </c>
      <c r="BG117" s="19"/>
      <c r="BH117" s="18"/>
    </row>
    <row r="118" spans="1:60" x14ac:dyDescent="0.2">
      <c r="A118" s="16">
        <v>2006</v>
      </c>
      <c r="B118" s="16">
        <v>3</v>
      </c>
      <c r="C118" s="19">
        <v>98.244142183035606</v>
      </c>
      <c r="D118" s="18">
        <v>2.1639503392819399E-2</v>
      </c>
      <c r="E118" s="19">
        <v>97.576489872975102</v>
      </c>
      <c r="F118" s="18">
        <v>2.2168679498622001E-2</v>
      </c>
      <c r="G118" s="19">
        <v>95.852205300705194</v>
      </c>
      <c r="H118" s="18">
        <v>4.7085578684602301E-2</v>
      </c>
      <c r="I118" s="19">
        <v>79.485603947108203</v>
      </c>
      <c r="J118" s="18">
        <v>2.9111842712425499E-2</v>
      </c>
      <c r="K118" s="19">
        <v>109.608163264544</v>
      </c>
      <c r="L118" s="18">
        <v>1.14057738457931E-2</v>
      </c>
      <c r="M118" s="19">
        <v>164.26226310130599</v>
      </c>
      <c r="N118" s="18">
        <v>-2.1081103493139401E-2</v>
      </c>
      <c r="O118" s="19">
        <v>91.216147965321497</v>
      </c>
      <c r="P118" s="18">
        <v>2.3585848499974499E-2</v>
      </c>
      <c r="Q118" s="19">
        <v>61.479249137216001</v>
      </c>
      <c r="R118" s="18">
        <v>7.1506397624732099E-3</v>
      </c>
      <c r="S118" s="19">
        <v>171.42421791165199</v>
      </c>
      <c r="T118" s="18">
        <v>0.10185972399493901</v>
      </c>
      <c r="U118" s="19">
        <v>87.836636051960795</v>
      </c>
      <c r="V118" s="18">
        <v>4.2406131481805602E-2</v>
      </c>
      <c r="W118" s="19">
        <v>112.557782975611</v>
      </c>
      <c r="X118" s="18">
        <v>2.42048594975433E-2</v>
      </c>
      <c r="Y118" s="19">
        <v>117.279368457411</v>
      </c>
      <c r="Z118" s="18">
        <v>-3.8350948483609798E-3</v>
      </c>
      <c r="AA118" s="19">
        <v>75.583494536971898</v>
      </c>
      <c r="AB118" s="18">
        <v>3.3367866478308801E-3</v>
      </c>
      <c r="AC118" s="19">
        <v>84.622285967951399</v>
      </c>
      <c r="AD118" s="18">
        <v>2.0106233226917299E-2</v>
      </c>
      <c r="AE118" s="19">
        <v>98.017595453505095</v>
      </c>
      <c r="AF118" s="18">
        <v>-7.8195314052779095E-3</v>
      </c>
      <c r="AG118" s="19">
        <v>131.28083938259499</v>
      </c>
      <c r="AH118" s="18">
        <v>4.6011000190046197E-2</v>
      </c>
      <c r="AI118" s="19">
        <v>137.747168669469</v>
      </c>
      <c r="AJ118" s="18">
        <v>8.8283858430069397E-3</v>
      </c>
      <c r="AK118" s="19">
        <v>140.58565000007101</v>
      </c>
      <c r="AL118" s="18">
        <v>0.12639170668383201</v>
      </c>
      <c r="AM118" s="19">
        <v>80.119294671333506</v>
      </c>
      <c r="AN118" s="18">
        <v>3.0206349251432198E-2</v>
      </c>
      <c r="AO118" s="19">
        <v>86.686747329735695</v>
      </c>
      <c r="AP118" s="18">
        <v>1.5444368020801199E-2</v>
      </c>
      <c r="AQ118" s="19">
        <v>76.329932530252904</v>
      </c>
      <c r="AR118" s="18">
        <v>1.1450499329371399E-2</v>
      </c>
      <c r="AS118" s="19">
        <v>93.702562284503799</v>
      </c>
      <c r="AT118" s="18">
        <v>1.6283776522798998E-2</v>
      </c>
      <c r="AU118" s="19">
        <v>76.207011215170496</v>
      </c>
      <c r="AV118" s="18">
        <v>1.2007801713464401E-2</v>
      </c>
      <c r="AW118" s="19">
        <v>78.754497745461506</v>
      </c>
      <c r="AX118" s="18">
        <v>1.6431148402740799E-2</v>
      </c>
      <c r="AY118" s="19">
        <v>92.495453238524206</v>
      </c>
      <c r="AZ118" s="18">
        <v>6.4194634820471403E-3</v>
      </c>
      <c r="BA118" s="19">
        <v>118.70867271970501</v>
      </c>
      <c r="BB118" s="18">
        <v>7.69246896705189E-3</v>
      </c>
      <c r="BC118" s="19">
        <v>108.683254087375</v>
      </c>
      <c r="BD118" s="18">
        <v>8.4620957444996297E-3</v>
      </c>
      <c r="BE118" s="19">
        <v>93.8934150892768</v>
      </c>
      <c r="BF118" s="18">
        <v>8.7268353758753695E-3</v>
      </c>
      <c r="BG118" s="19"/>
      <c r="BH118" s="18"/>
    </row>
    <row r="119" spans="1:60" x14ac:dyDescent="0.2">
      <c r="A119" s="16">
        <v>2006</v>
      </c>
      <c r="B119" s="16">
        <v>4</v>
      </c>
      <c r="C119" s="19">
        <v>98.477575694768703</v>
      </c>
      <c r="D119" s="18">
        <v>2.0585913723118601E-2</v>
      </c>
      <c r="E119" s="19">
        <v>98.418386335368695</v>
      </c>
      <c r="F119" s="18">
        <v>2.37923151487121E-2</v>
      </c>
      <c r="G119" s="19">
        <v>95.465648209094198</v>
      </c>
      <c r="H119" s="18">
        <v>4.64725983260443E-2</v>
      </c>
      <c r="I119" s="19">
        <v>80.637926393135302</v>
      </c>
      <c r="J119" s="18">
        <v>2.6167439457656799E-2</v>
      </c>
      <c r="K119" s="19">
        <v>110.450028956849</v>
      </c>
      <c r="L119" s="18">
        <v>1.6808571965223999E-2</v>
      </c>
      <c r="M119" s="19">
        <v>165.52797628096101</v>
      </c>
      <c r="N119" s="18">
        <v>-1.3182124580421299E-2</v>
      </c>
      <c r="O119" s="19">
        <v>91.865377777796297</v>
      </c>
      <c r="P119" s="18">
        <v>2.7647771954463701E-2</v>
      </c>
      <c r="Q119" s="19">
        <v>70.710579174800699</v>
      </c>
      <c r="R119" s="18">
        <v>0.15932242167132399</v>
      </c>
      <c r="S119" s="19">
        <v>170.38773686429599</v>
      </c>
      <c r="T119" s="18">
        <v>8.3380537555018994E-2</v>
      </c>
      <c r="U119" s="19">
        <v>89.4187285392116</v>
      </c>
      <c r="V119" s="18">
        <v>5.2600024442418999E-2</v>
      </c>
      <c r="W119" s="19">
        <v>112.60285253008099</v>
      </c>
      <c r="X119" s="18">
        <v>4.3721548305739599E-3</v>
      </c>
      <c r="Y119" s="19">
        <v>118.970834821821</v>
      </c>
      <c r="Z119" s="18">
        <v>-7.1376318418173703E-3</v>
      </c>
      <c r="AA119" s="19">
        <v>75.648866364422105</v>
      </c>
      <c r="AB119" s="18">
        <v>3.3652258431284801E-3</v>
      </c>
      <c r="AC119" s="19">
        <v>84.519867378704006</v>
      </c>
      <c r="AD119" s="18">
        <v>1.4550059386753101E-2</v>
      </c>
      <c r="AE119" s="19">
        <v>98.375806752466005</v>
      </c>
      <c r="AF119" s="18">
        <v>-3.7700599444581199E-3</v>
      </c>
      <c r="AG119" s="19">
        <v>133.44195049276701</v>
      </c>
      <c r="AH119" s="18">
        <v>5.6811792271095299E-2</v>
      </c>
      <c r="AI119" s="19">
        <v>137.002456535372</v>
      </c>
      <c r="AJ119" s="18">
        <v>2.2436274464370199E-3</v>
      </c>
      <c r="AK119" s="19">
        <v>149.77020337141099</v>
      </c>
      <c r="AL119" s="18">
        <v>0.18377348242007599</v>
      </c>
      <c r="AM119" s="19">
        <v>80.725801291566995</v>
      </c>
      <c r="AN119" s="18">
        <v>3.1032997846724499E-2</v>
      </c>
      <c r="AO119" s="19">
        <v>87.083224231847794</v>
      </c>
      <c r="AP119" s="18">
        <v>1.8156877446980899E-2</v>
      </c>
      <c r="AQ119" s="19">
        <v>77.357380504036101</v>
      </c>
      <c r="AR119" s="18">
        <v>1.31455091372832E-2</v>
      </c>
      <c r="AS119" s="19">
        <v>93.650636664651103</v>
      </c>
      <c r="AT119" s="18">
        <v>1.5288728264981E-2</v>
      </c>
      <c r="AU119" s="19">
        <v>76.4968153717452</v>
      </c>
      <c r="AV119" s="18">
        <v>1.2382701730858E-2</v>
      </c>
      <c r="AW119" s="19">
        <v>79.011075596879905</v>
      </c>
      <c r="AX119" s="18">
        <v>1.7752341911243801E-2</v>
      </c>
      <c r="AY119" s="19">
        <v>92.640032784828193</v>
      </c>
      <c r="AZ119" s="18">
        <v>5.9134768032431699E-3</v>
      </c>
      <c r="BA119" s="19">
        <v>100.819083627496</v>
      </c>
      <c r="BB119" s="18">
        <v>-6.2445053665107698E-2</v>
      </c>
      <c r="BC119" s="19">
        <v>97.597862850302604</v>
      </c>
      <c r="BD119" s="18">
        <v>-4.0492884129469497E-2</v>
      </c>
      <c r="BE119" s="19">
        <v>93.862174200063606</v>
      </c>
      <c r="BF119" s="18">
        <v>4.5199565703823996E-3</v>
      </c>
      <c r="BG119" s="19"/>
      <c r="BH119" s="18"/>
    </row>
    <row r="120" spans="1:60" x14ac:dyDescent="0.2">
      <c r="A120" s="16">
        <v>2007</v>
      </c>
      <c r="B120" s="16">
        <v>1</v>
      </c>
      <c r="C120" s="19">
        <v>100.051926175047</v>
      </c>
      <c r="D120" s="18">
        <v>2.5101232270544799E-2</v>
      </c>
      <c r="E120" s="19">
        <v>99.2534708738078</v>
      </c>
      <c r="F120" s="18">
        <v>2.60738902993576E-2</v>
      </c>
      <c r="G120" s="19">
        <v>94.020043142929495</v>
      </c>
      <c r="H120" s="18">
        <v>1.9479744531226501E-2</v>
      </c>
      <c r="I120" s="19">
        <v>82.935835960700402</v>
      </c>
      <c r="J120" s="18">
        <v>3.9321471229725798E-2</v>
      </c>
      <c r="K120" s="19">
        <v>112.03101675336499</v>
      </c>
      <c r="L120" s="18">
        <v>2.6689377124221599E-2</v>
      </c>
      <c r="M120" s="19">
        <v>168.68977580133699</v>
      </c>
      <c r="N120" s="18">
        <v>1.30323837613522E-2</v>
      </c>
      <c r="O120" s="19">
        <v>93.049730719119097</v>
      </c>
      <c r="P120" s="18">
        <v>3.1667387152123402E-2</v>
      </c>
      <c r="Q120" s="19">
        <v>69.831496042050901</v>
      </c>
      <c r="R120" s="18">
        <v>5.4111293277175197E-2</v>
      </c>
      <c r="S120" s="19">
        <v>180.06042515479101</v>
      </c>
      <c r="T120" s="18">
        <v>0.13732295897037899</v>
      </c>
      <c r="U120" s="19">
        <v>90.029632018233599</v>
      </c>
      <c r="V120" s="18">
        <v>5.487264288437E-2</v>
      </c>
      <c r="W120" s="19">
        <v>111.91441649954299</v>
      </c>
      <c r="X120" s="18">
        <v>-1.00037494965478E-2</v>
      </c>
      <c r="Y120" s="19">
        <v>116.53474786486299</v>
      </c>
      <c r="Z120" s="18">
        <v>-1.6223476054253099E-2</v>
      </c>
      <c r="AA120" s="19">
        <v>76.373049500473101</v>
      </c>
      <c r="AB120" s="18">
        <v>5.8913150963621997E-3</v>
      </c>
      <c r="AC120" s="19">
        <v>86.339620751106096</v>
      </c>
      <c r="AD120" s="18">
        <v>1.9886232473206499E-2</v>
      </c>
      <c r="AE120" s="19">
        <v>98.695346844539998</v>
      </c>
      <c r="AF120" s="18">
        <v>2.5552784880600301E-3</v>
      </c>
      <c r="AG120" s="19">
        <v>136.92034552777</v>
      </c>
      <c r="AH120" s="18">
        <v>8.1253351392078996E-2</v>
      </c>
      <c r="AI120" s="19">
        <v>136.23469562768801</v>
      </c>
      <c r="AJ120" s="18">
        <v>4.0287682192672297E-3</v>
      </c>
      <c r="AK120" s="19">
        <v>162.83417075141699</v>
      </c>
      <c r="AL120" s="18">
        <v>0.25593339459824399</v>
      </c>
      <c r="AM120" s="19">
        <v>81.587821140329396</v>
      </c>
      <c r="AN120" s="18">
        <v>3.2520095369839699E-2</v>
      </c>
      <c r="AO120" s="19">
        <v>87.548472564327597</v>
      </c>
      <c r="AP120" s="18">
        <v>2.0663271026171399E-2</v>
      </c>
      <c r="AQ120" s="19">
        <v>77.039675845134099</v>
      </c>
      <c r="AR120" s="18">
        <v>7.5444296796349803E-3</v>
      </c>
      <c r="AS120" s="19">
        <v>93.852699736238904</v>
      </c>
      <c r="AT120" s="18">
        <v>1.53994267536612E-2</v>
      </c>
      <c r="AU120" s="19">
        <v>76.954382190258997</v>
      </c>
      <c r="AV120" s="18">
        <v>1.9965352369636799E-2</v>
      </c>
      <c r="AW120" s="19">
        <v>79.640090767617195</v>
      </c>
      <c r="AX120" s="18">
        <v>1.9959049906053301E-2</v>
      </c>
      <c r="AY120" s="19">
        <v>92.816349890957298</v>
      </c>
      <c r="AZ120" s="18">
        <v>5.8206700736107599E-3</v>
      </c>
      <c r="BA120" s="19">
        <v>124.339429401635</v>
      </c>
      <c r="BB120" s="18">
        <v>-1.59360847468926E-4</v>
      </c>
      <c r="BC120" s="19">
        <v>112.157655939375</v>
      </c>
      <c r="BD120" s="18">
        <v>1.84009036880206E-3</v>
      </c>
      <c r="BE120" s="19">
        <v>93.741217533932399</v>
      </c>
      <c r="BF120" s="18">
        <v>6.3664386396022898E-4</v>
      </c>
      <c r="BG120" s="19"/>
      <c r="BH120" s="18"/>
    </row>
    <row r="121" spans="1:60" x14ac:dyDescent="0.2">
      <c r="A121" s="16">
        <v>2007</v>
      </c>
      <c r="B121" s="16">
        <v>2</v>
      </c>
      <c r="C121" s="19">
        <v>100.261799716078</v>
      </c>
      <c r="D121" s="18">
        <v>2.47170412615716E-2</v>
      </c>
      <c r="E121" s="19">
        <v>99.698721632346107</v>
      </c>
      <c r="F121" s="18">
        <v>2.4986709293202999E-2</v>
      </c>
      <c r="G121" s="19">
        <v>93.731530710277198</v>
      </c>
      <c r="H121" s="18">
        <v>9.5483687557038604E-3</v>
      </c>
      <c r="I121" s="19">
        <v>81.943455476468699</v>
      </c>
      <c r="J121" s="18">
        <v>3.06100215383696E-2</v>
      </c>
      <c r="K121" s="19">
        <v>112.891335749204</v>
      </c>
      <c r="L121" s="18">
        <v>2.9688548442433401E-2</v>
      </c>
      <c r="M121" s="19">
        <v>168.24195492955201</v>
      </c>
      <c r="N121" s="18">
        <v>2.35319684933517E-2</v>
      </c>
      <c r="O121" s="19">
        <v>94.125360252445503</v>
      </c>
      <c r="P121" s="18">
        <v>3.2018599443165902E-2</v>
      </c>
      <c r="Q121" s="19">
        <v>63.100372185321902</v>
      </c>
      <c r="R121" s="18">
        <v>6.2248640984874403E-4</v>
      </c>
      <c r="S121" s="19">
        <v>185.91491937553101</v>
      </c>
      <c r="T121" s="18">
        <v>0.106268571714869</v>
      </c>
      <c r="U121" s="19">
        <v>90.173249114195102</v>
      </c>
      <c r="V121" s="18">
        <v>4.73941758141736E-2</v>
      </c>
      <c r="W121" s="19">
        <v>113.545847138897</v>
      </c>
      <c r="X121" s="18">
        <v>-2.2632150848006499E-3</v>
      </c>
      <c r="Y121" s="19">
        <v>119.76180202977</v>
      </c>
      <c r="Z121" s="18">
        <v>-8.2861218895507998E-3</v>
      </c>
      <c r="AA121" s="19">
        <v>76.3446972665934</v>
      </c>
      <c r="AB121" s="18">
        <v>9.1605437129216299E-3</v>
      </c>
      <c r="AC121" s="19">
        <v>85.851312398942596</v>
      </c>
      <c r="AD121" s="18">
        <v>1.41171062210319E-2</v>
      </c>
      <c r="AE121" s="19">
        <v>98.102117254998802</v>
      </c>
      <c r="AF121" s="18">
        <v>1.5675867854667599E-3</v>
      </c>
      <c r="AG121" s="19">
        <v>137.33637464500501</v>
      </c>
      <c r="AH121" s="18">
        <v>6.6118498314097204E-2</v>
      </c>
      <c r="AI121" s="19">
        <v>134.432716062916</v>
      </c>
      <c r="AJ121" s="18">
        <v>-1.9296480567886399E-2</v>
      </c>
      <c r="AK121" s="19">
        <v>168.549214117839</v>
      </c>
      <c r="AL121" s="18">
        <v>0.25643817799299901</v>
      </c>
      <c r="AM121" s="19">
        <v>82.368743037770898</v>
      </c>
      <c r="AN121" s="18">
        <v>3.4445198928650701E-2</v>
      </c>
      <c r="AO121" s="19">
        <v>87.9894744863348</v>
      </c>
      <c r="AP121" s="18">
        <v>2.1911526955826301E-2</v>
      </c>
      <c r="AQ121" s="19">
        <v>76.827870495108399</v>
      </c>
      <c r="AR121" s="18">
        <v>8.4775241273469196E-3</v>
      </c>
      <c r="AS121" s="19">
        <v>94.060433004958398</v>
      </c>
      <c r="AT121" s="18">
        <v>1.22356452491066E-2</v>
      </c>
      <c r="AU121" s="19">
        <v>76.8491561110243</v>
      </c>
      <c r="AV121" s="18">
        <v>1.55901253386816E-2</v>
      </c>
      <c r="AW121" s="19">
        <v>80.1109075829321</v>
      </c>
      <c r="AX121" s="18">
        <v>2.0137587569366799E-2</v>
      </c>
      <c r="AY121" s="19">
        <v>92.150402482384095</v>
      </c>
      <c r="AZ121" s="18">
        <v>1.4776318744908999E-3</v>
      </c>
      <c r="BA121" s="19">
        <v>117.542203990972</v>
      </c>
      <c r="BB121" s="18">
        <v>1.77733789096686E-2</v>
      </c>
      <c r="BC121" s="19">
        <v>107.995010227045</v>
      </c>
      <c r="BD121" s="18">
        <v>1.2036601843724799E-2</v>
      </c>
      <c r="BE121" s="19">
        <v>93.788831335422302</v>
      </c>
      <c r="BF121" s="18">
        <v>-4.70820359885105E-4</v>
      </c>
      <c r="BG121" s="19"/>
      <c r="BH121" s="18"/>
    </row>
    <row r="122" spans="1:60" x14ac:dyDescent="0.2">
      <c r="A122" s="16">
        <v>2007</v>
      </c>
      <c r="B122" s="16">
        <v>3</v>
      </c>
      <c r="C122" s="19">
        <v>100.608589393369</v>
      </c>
      <c r="D122" s="18">
        <v>2.40670553764732E-2</v>
      </c>
      <c r="E122" s="19">
        <v>100.05851763138899</v>
      </c>
      <c r="F122" s="18">
        <v>2.54367395429498E-2</v>
      </c>
      <c r="G122" s="19">
        <v>97.7679139285529</v>
      </c>
      <c r="H122" s="18">
        <v>1.99860673193459E-2</v>
      </c>
      <c r="I122" s="19">
        <v>81.220398980690305</v>
      </c>
      <c r="J122" s="18">
        <v>2.1825273350586601E-2</v>
      </c>
      <c r="K122" s="19">
        <v>112.087392533963</v>
      </c>
      <c r="L122" s="18">
        <v>2.2619020295378899E-2</v>
      </c>
      <c r="M122" s="19">
        <v>165.77049598358701</v>
      </c>
      <c r="N122" s="18">
        <v>9.1818586558198908E-3</v>
      </c>
      <c r="O122" s="19">
        <v>93.730428305873602</v>
      </c>
      <c r="P122" s="18">
        <v>2.7563982876233701E-2</v>
      </c>
      <c r="Q122" s="19">
        <v>63.717725295690499</v>
      </c>
      <c r="R122" s="18">
        <v>3.6410271593890799E-2</v>
      </c>
      <c r="S122" s="19">
        <v>187.340364017382</v>
      </c>
      <c r="T122" s="18">
        <v>9.2846543502576206E-2</v>
      </c>
      <c r="U122" s="19">
        <v>91.130228578415796</v>
      </c>
      <c r="V122" s="18">
        <v>3.74967971736377E-2</v>
      </c>
      <c r="W122" s="19">
        <v>115.29097336266101</v>
      </c>
      <c r="X122" s="18">
        <v>2.4282553500912799E-2</v>
      </c>
      <c r="Y122" s="19">
        <v>117.38384111096001</v>
      </c>
      <c r="Z122" s="18">
        <v>8.9080163820320901E-4</v>
      </c>
      <c r="AA122" s="19">
        <v>76.077630199194004</v>
      </c>
      <c r="AB122" s="18">
        <v>6.5376133407057902E-3</v>
      </c>
      <c r="AC122" s="19">
        <v>85.190354375733705</v>
      </c>
      <c r="AD122" s="18">
        <v>6.7129882073553304E-3</v>
      </c>
      <c r="AE122" s="19">
        <v>98.105489942968205</v>
      </c>
      <c r="AF122" s="18">
        <v>8.9672154327446996E-4</v>
      </c>
      <c r="AG122" s="19">
        <v>137.90829512482</v>
      </c>
      <c r="AH122" s="18">
        <v>5.0483039058812199E-2</v>
      </c>
      <c r="AI122" s="19">
        <v>135.45196445900501</v>
      </c>
      <c r="AJ122" s="18">
        <v>-1.6662442013393501E-2</v>
      </c>
      <c r="AK122" s="19">
        <v>167.63394874425401</v>
      </c>
      <c r="AL122" s="18">
        <v>0.19239729477489001</v>
      </c>
      <c r="AM122" s="19">
        <v>82.651182683759998</v>
      </c>
      <c r="AN122" s="18">
        <v>3.1601476558335902E-2</v>
      </c>
      <c r="AO122" s="19">
        <v>88.579640176635706</v>
      </c>
      <c r="AP122" s="18">
        <v>2.1836011907331501E-2</v>
      </c>
      <c r="AQ122" s="19">
        <v>77.812340229053106</v>
      </c>
      <c r="AR122" s="18">
        <v>1.9421053440766799E-2</v>
      </c>
      <c r="AS122" s="19">
        <v>93.970908325746095</v>
      </c>
      <c r="AT122" s="18">
        <v>2.8638068661084302E-3</v>
      </c>
      <c r="AU122" s="19">
        <v>76.434180290460006</v>
      </c>
      <c r="AV122" s="18">
        <v>2.9809471814623602E-3</v>
      </c>
      <c r="AW122" s="19">
        <v>80.396835613444907</v>
      </c>
      <c r="AX122" s="18">
        <v>2.0853892983884601E-2</v>
      </c>
      <c r="AY122" s="19">
        <v>92.083642315803104</v>
      </c>
      <c r="AZ122" s="18">
        <v>-4.45222882101237E-3</v>
      </c>
      <c r="BA122" s="19">
        <v>117.50678522610799</v>
      </c>
      <c r="BB122" s="18">
        <v>-1.01246814243777E-2</v>
      </c>
      <c r="BC122" s="19">
        <v>108.051765850142</v>
      </c>
      <c r="BD122" s="18">
        <v>-5.8103545254986101E-3</v>
      </c>
      <c r="BE122" s="19">
        <v>94.004868965686697</v>
      </c>
      <c r="BF122" s="18">
        <v>1.18702548313854E-3</v>
      </c>
      <c r="BG122" s="19"/>
      <c r="BH122" s="18"/>
    </row>
    <row r="123" spans="1:60" x14ac:dyDescent="0.2">
      <c r="A123" s="16">
        <v>2007</v>
      </c>
      <c r="B123" s="16">
        <v>4</v>
      </c>
      <c r="C123" s="19">
        <v>100.933438695425</v>
      </c>
      <c r="D123" s="18">
        <v>2.49382966967873E-2</v>
      </c>
      <c r="E123" s="19">
        <v>100.890640739593</v>
      </c>
      <c r="F123" s="18">
        <v>2.5119842910241299E-2</v>
      </c>
      <c r="G123" s="19">
        <v>100.559382054141</v>
      </c>
      <c r="H123" s="18">
        <v>5.3356719831724603E-2</v>
      </c>
      <c r="I123" s="19">
        <v>79.606473854550202</v>
      </c>
      <c r="J123" s="18">
        <v>-1.27911590081868E-2</v>
      </c>
      <c r="K123" s="19">
        <v>111.664619477805</v>
      </c>
      <c r="L123" s="18">
        <v>1.09967424402373E-2</v>
      </c>
      <c r="M123" s="19">
        <v>165.34131501789599</v>
      </c>
      <c r="N123" s="18">
        <v>-1.1276719939392599E-3</v>
      </c>
      <c r="O123" s="19">
        <v>93.272035399079698</v>
      </c>
      <c r="P123" s="18">
        <v>1.53121628116071E-2</v>
      </c>
      <c r="Q123" s="19">
        <v>63.182091190527103</v>
      </c>
      <c r="R123" s="18">
        <v>-0.106469047094958</v>
      </c>
      <c r="S123" s="19">
        <v>189.68240282070599</v>
      </c>
      <c r="T123" s="18">
        <v>0.113239757223705</v>
      </c>
      <c r="U123" s="19">
        <v>91.823889301479994</v>
      </c>
      <c r="V123" s="18">
        <v>2.68977293857811E-2</v>
      </c>
      <c r="W123" s="19">
        <v>119.435731371472</v>
      </c>
      <c r="X123" s="18">
        <v>6.0681223324831703E-2</v>
      </c>
      <c r="Y123" s="19">
        <v>120.332822973465</v>
      </c>
      <c r="Z123" s="18">
        <v>1.1448084345073301E-2</v>
      </c>
      <c r="AA123" s="19">
        <v>78.003843589412199</v>
      </c>
      <c r="AB123" s="18">
        <v>3.1130370330277199E-2</v>
      </c>
      <c r="AC123" s="19">
        <v>84.874738135512004</v>
      </c>
      <c r="AD123" s="18">
        <v>4.1986667491788997E-3</v>
      </c>
      <c r="AE123" s="19">
        <v>98.0940412019484</v>
      </c>
      <c r="AF123" s="18">
        <v>-2.86417524612081E-3</v>
      </c>
      <c r="AG123" s="19">
        <v>137.570183666492</v>
      </c>
      <c r="AH123" s="18">
        <v>3.09365470039995E-2</v>
      </c>
      <c r="AI123" s="19">
        <v>138.723278427662</v>
      </c>
      <c r="AJ123" s="18">
        <v>1.2560518517751499E-2</v>
      </c>
      <c r="AK123" s="19">
        <v>160.01252637722899</v>
      </c>
      <c r="AL123" s="18">
        <v>6.8386920597401493E-2</v>
      </c>
      <c r="AM123" s="19">
        <v>82.922249878126493</v>
      </c>
      <c r="AN123" s="18">
        <v>2.72087554588194E-2</v>
      </c>
      <c r="AO123" s="19">
        <v>89.119722186426699</v>
      </c>
      <c r="AP123" s="18">
        <v>2.3385651743405001E-2</v>
      </c>
      <c r="AQ123" s="19">
        <v>79.764299680975896</v>
      </c>
      <c r="AR123" s="18">
        <v>3.1114279739788999E-2</v>
      </c>
      <c r="AS123" s="19">
        <v>93.928095842680705</v>
      </c>
      <c r="AT123" s="18">
        <v>2.9627046639646398E-3</v>
      </c>
      <c r="AU123" s="19">
        <v>76.310097696936197</v>
      </c>
      <c r="AV123" s="18">
        <v>-2.4408555297582599E-3</v>
      </c>
      <c r="AW123" s="19">
        <v>80.498753032556607</v>
      </c>
      <c r="AX123" s="18">
        <v>1.8828720207113101E-2</v>
      </c>
      <c r="AY123" s="19">
        <v>92.2120042087314</v>
      </c>
      <c r="AZ123" s="18">
        <v>-4.6203413711111098E-3</v>
      </c>
      <c r="BA123" s="19">
        <v>102.845298948156</v>
      </c>
      <c r="BB123" s="18">
        <v>2.0097537566866799E-2</v>
      </c>
      <c r="BC123" s="19">
        <v>98.970704974026503</v>
      </c>
      <c r="BD123" s="18">
        <v>1.40663133764478E-2</v>
      </c>
      <c r="BE123" s="19">
        <v>94.392877750927994</v>
      </c>
      <c r="BF123" s="18">
        <v>5.6540726377500797E-3</v>
      </c>
      <c r="BG123" s="19"/>
      <c r="BH123" s="18"/>
    </row>
    <row r="124" spans="1:60" x14ac:dyDescent="0.2">
      <c r="A124" s="16">
        <v>2008</v>
      </c>
      <c r="B124" s="16">
        <v>1</v>
      </c>
      <c r="C124" s="19">
        <v>101.89429877354</v>
      </c>
      <c r="D124" s="18">
        <v>1.8414164213793799E-2</v>
      </c>
      <c r="E124" s="19">
        <v>101.11582473574001</v>
      </c>
      <c r="F124" s="18">
        <v>1.8763614466435999E-2</v>
      </c>
      <c r="G124" s="19">
        <v>101.72501805396899</v>
      </c>
      <c r="H124" s="18">
        <v>8.1950344346540804E-2</v>
      </c>
      <c r="I124" s="19">
        <v>80.227798782466806</v>
      </c>
      <c r="J124" s="18">
        <v>-3.26521960846562E-2</v>
      </c>
      <c r="K124" s="19">
        <v>111.57344635933801</v>
      </c>
      <c r="L124" s="18">
        <v>-4.0843188546159101E-3</v>
      </c>
      <c r="M124" s="19">
        <v>164.946751624456</v>
      </c>
      <c r="N124" s="18">
        <v>-2.2188802842974201E-2</v>
      </c>
      <c r="O124" s="19">
        <v>93.298908937682299</v>
      </c>
      <c r="P124" s="18">
        <v>2.6779037041526599E-3</v>
      </c>
      <c r="Q124" s="19">
        <v>63.4925883366977</v>
      </c>
      <c r="R124" s="18">
        <v>-9.0774336289975305E-2</v>
      </c>
      <c r="S124" s="19">
        <v>213.396343896448</v>
      </c>
      <c r="T124" s="18">
        <v>0.18513739880931501</v>
      </c>
      <c r="U124" s="19">
        <v>91.803290953613399</v>
      </c>
      <c r="V124" s="18">
        <v>1.97008351097177E-2</v>
      </c>
      <c r="W124" s="19">
        <v>121.800673682831</v>
      </c>
      <c r="X124" s="18">
        <v>8.8337655616763405E-2</v>
      </c>
      <c r="Y124" s="19">
        <v>118.451449707905</v>
      </c>
      <c r="Z124" s="18">
        <v>1.6447470631379298E-2</v>
      </c>
      <c r="AA124" s="19">
        <v>81.154511058058105</v>
      </c>
      <c r="AB124" s="18">
        <v>6.2606660187837906E-2</v>
      </c>
      <c r="AC124" s="19">
        <v>86.447793211721702</v>
      </c>
      <c r="AD124" s="18">
        <v>1.25287162109999E-3</v>
      </c>
      <c r="AE124" s="19">
        <v>97.548332412634693</v>
      </c>
      <c r="AF124" s="18">
        <v>-1.16217680830695E-2</v>
      </c>
      <c r="AG124" s="19">
        <v>131.548003284608</v>
      </c>
      <c r="AH124" s="18">
        <v>-3.9236990108771602E-2</v>
      </c>
      <c r="AI124" s="19">
        <v>136.610460578692</v>
      </c>
      <c r="AJ124" s="18">
        <v>2.7582177159244398E-3</v>
      </c>
      <c r="AK124" s="19">
        <v>144.80500811865301</v>
      </c>
      <c r="AL124" s="18">
        <v>-0.110721002536298</v>
      </c>
      <c r="AM124" s="19">
        <v>83.352116684320194</v>
      </c>
      <c r="AN124" s="18">
        <v>2.1624496393354498E-2</v>
      </c>
      <c r="AO124" s="19">
        <v>89.844933264017101</v>
      </c>
      <c r="AP124" s="18">
        <v>2.6230734042814102E-2</v>
      </c>
      <c r="AQ124" s="19">
        <v>81.645517919800795</v>
      </c>
      <c r="AR124" s="18">
        <v>5.9785325212497402E-2</v>
      </c>
      <c r="AS124" s="19">
        <v>93.864325544528199</v>
      </c>
      <c r="AT124" s="18">
        <v>1.2387292344251399E-4</v>
      </c>
      <c r="AU124" s="19">
        <v>76.2444959210533</v>
      </c>
      <c r="AV124" s="18">
        <v>-9.2247673102047196E-3</v>
      </c>
      <c r="AW124" s="19">
        <v>80.638471396717506</v>
      </c>
      <c r="AX124" s="18">
        <v>1.25361563438375E-2</v>
      </c>
      <c r="AY124" s="19">
        <v>92.791572787097294</v>
      </c>
      <c r="AZ124" s="18">
        <v>-2.6694762171852699E-4</v>
      </c>
      <c r="BA124" s="19">
        <v>125.652458441562</v>
      </c>
      <c r="BB124" s="18">
        <v>1.0560037521848401E-2</v>
      </c>
      <c r="BC124" s="19">
        <v>113.44197846150399</v>
      </c>
      <c r="BD124" s="18">
        <v>1.14510463986763E-2</v>
      </c>
      <c r="BE124" s="19">
        <v>94.959569795727802</v>
      </c>
      <c r="BF124" s="18">
        <v>1.29969750110661E-2</v>
      </c>
      <c r="BG124" s="19"/>
      <c r="BH124" s="18"/>
    </row>
    <row r="125" spans="1:60" x14ac:dyDescent="0.2">
      <c r="A125" s="16">
        <v>2008</v>
      </c>
      <c r="B125" s="16">
        <v>2</v>
      </c>
      <c r="C125" s="19">
        <v>101.923151540853</v>
      </c>
      <c r="D125" s="18">
        <v>1.6570137674359199E-2</v>
      </c>
      <c r="E125" s="19">
        <v>101.453081748627</v>
      </c>
      <c r="F125" s="18">
        <v>1.7596615960139499E-2</v>
      </c>
      <c r="G125" s="19">
        <v>99.797728266691195</v>
      </c>
      <c r="H125" s="18">
        <v>6.4718857255884596E-2</v>
      </c>
      <c r="I125" s="19">
        <v>78.112607063851499</v>
      </c>
      <c r="J125" s="18">
        <v>-4.6749900774165298E-2</v>
      </c>
      <c r="K125" s="19">
        <v>112.798972323934</v>
      </c>
      <c r="L125" s="18">
        <v>-8.1816221463770799E-4</v>
      </c>
      <c r="M125" s="19">
        <v>159.80193052019999</v>
      </c>
      <c r="N125" s="18">
        <v>-5.01659910744955E-2</v>
      </c>
      <c r="O125" s="19">
        <v>95.849295174825997</v>
      </c>
      <c r="P125" s="18">
        <v>1.8315307561712599E-2</v>
      </c>
      <c r="Q125" s="19">
        <v>61.380342871812303</v>
      </c>
      <c r="R125" s="18">
        <v>-2.7258623902534598E-2</v>
      </c>
      <c r="S125" s="19">
        <v>268.51109046553302</v>
      </c>
      <c r="T125" s="18">
        <v>0.44426865454066</v>
      </c>
      <c r="U125" s="19">
        <v>91.569943948692597</v>
      </c>
      <c r="V125" s="18">
        <v>1.54890152924265E-2</v>
      </c>
      <c r="W125" s="19">
        <v>122.39461103870499</v>
      </c>
      <c r="X125" s="18">
        <v>7.79311980383013E-2</v>
      </c>
      <c r="Y125" s="19">
        <v>121.046953087782</v>
      </c>
      <c r="Z125" s="18">
        <v>1.07308927907799E-2</v>
      </c>
      <c r="AA125" s="19">
        <v>82.259767919666203</v>
      </c>
      <c r="AB125" s="18">
        <v>7.7478474142317996E-2</v>
      </c>
      <c r="AC125" s="19">
        <v>86.064521014859594</v>
      </c>
      <c r="AD125" s="18">
        <v>2.48346367643482E-3</v>
      </c>
      <c r="AE125" s="19">
        <v>97.396160187820499</v>
      </c>
      <c r="AF125" s="18">
        <v>-7.1961450673203604E-3</v>
      </c>
      <c r="AG125" s="19">
        <v>126.87604676230799</v>
      </c>
      <c r="AH125" s="18">
        <v>-7.6165749312488304E-2</v>
      </c>
      <c r="AI125" s="19">
        <v>134.13055492685399</v>
      </c>
      <c r="AJ125" s="18">
        <v>-2.2476756024167898E-3</v>
      </c>
      <c r="AK125" s="19">
        <v>134.880295609613</v>
      </c>
      <c r="AL125" s="18">
        <v>-0.19975719664101699</v>
      </c>
      <c r="AM125" s="19">
        <v>84.289791837911096</v>
      </c>
      <c r="AN125" s="18">
        <v>2.3322546020390501E-2</v>
      </c>
      <c r="AO125" s="19">
        <v>90.577201667444896</v>
      </c>
      <c r="AP125" s="18">
        <v>2.9409508310132899E-2</v>
      </c>
      <c r="AQ125" s="19">
        <v>82.9728044603591</v>
      </c>
      <c r="AR125" s="18">
        <v>7.9983135360259097E-2</v>
      </c>
      <c r="AS125" s="19">
        <v>94.2413420734905</v>
      </c>
      <c r="AT125" s="18">
        <v>1.9233280429673499E-3</v>
      </c>
      <c r="AU125" s="19">
        <v>76.325845871664001</v>
      </c>
      <c r="AV125" s="18">
        <v>-6.8095769146015997E-3</v>
      </c>
      <c r="AW125" s="19">
        <v>81.072733722613904</v>
      </c>
      <c r="AX125" s="18">
        <v>1.2006182038145401E-2</v>
      </c>
      <c r="AY125" s="19">
        <v>91.622729974875398</v>
      </c>
      <c r="AZ125" s="18">
        <v>-5.72620947162594E-3</v>
      </c>
      <c r="BA125" s="19">
        <v>116.45733919021301</v>
      </c>
      <c r="BB125" s="18">
        <v>-9.2295768151658998E-3</v>
      </c>
      <c r="BC125" s="19">
        <v>107.906115098665</v>
      </c>
      <c r="BD125" s="18">
        <v>-8.2314107099878996E-4</v>
      </c>
      <c r="BE125" s="19">
        <v>95.394861471650302</v>
      </c>
      <c r="BF125" s="18">
        <v>1.71238953866935E-2</v>
      </c>
      <c r="BG125" s="19"/>
      <c r="BH125" s="18"/>
    </row>
    <row r="126" spans="1:60" x14ac:dyDescent="0.2">
      <c r="A126" s="16">
        <v>2008</v>
      </c>
      <c r="B126" s="16">
        <v>3</v>
      </c>
      <c r="C126" s="19">
        <v>101.69094519481899</v>
      </c>
      <c r="D126" s="18">
        <v>1.0758085447540901E-2</v>
      </c>
      <c r="E126" s="19">
        <v>101.213087073731</v>
      </c>
      <c r="F126" s="18">
        <v>1.1538942107805801E-2</v>
      </c>
      <c r="G126" s="19">
        <v>101.796829386791</v>
      </c>
      <c r="H126" s="18">
        <v>4.1208974359237198E-2</v>
      </c>
      <c r="I126" s="19">
        <v>78.443650761660905</v>
      </c>
      <c r="J126" s="18">
        <v>-3.41878180097289E-2</v>
      </c>
      <c r="K126" s="19">
        <v>113.83717639331201</v>
      </c>
      <c r="L126" s="18">
        <v>1.5610889144545E-2</v>
      </c>
      <c r="M126" s="19">
        <v>164.99015998207801</v>
      </c>
      <c r="N126" s="18">
        <v>-4.70732742204327E-3</v>
      </c>
      <c r="O126" s="19">
        <v>95.874163913507601</v>
      </c>
      <c r="P126" s="18">
        <v>2.2871287866500101E-2</v>
      </c>
      <c r="Q126" s="19">
        <v>58.593196254780899</v>
      </c>
      <c r="R126" s="18">
        <v>-8.0425486269771404E-2</v>
      </c>
      <c r="S126" s="19">
        <v>242.010605148455</v>
      </c>
      <c r="T126" s="18">
        <v>0.291823075170284</v>
      </c>
      <c r="U126" s="19">
        <v>93.500198572250497</v>
      </c>
      <c r="V126" s="18">
        <v>2.6006408968847001E-2</v>
      </c>
      <c r="W126" s="19">
        <v>118.38650552822899</v>
      </c>
      <c r="X126" s="18">
        <v>2.6849735718952099E-2</v>
      </c>
      <c r="Y126" s="19">
        <v>118.09565176637599</v>
      </c>
      <c r="Z126" s="18">
        <v>6.0639577703280904E-3</v>
      </c>
      <c r="AA126" s="19">
        <v>82.841094297129004</v>
      </c>
      <c r="AB126" s="18">
        <v>8.8902139567520896E-2</v>
      </c>
      <c r="AC126" s="19">
        <v>86.315837628752504</v>
      </c>
      <c r="AD126" s="18">
        <v>1.32113930182143E-2</v>
      </c>
      <c r="AE126" s="19">
        <v>97.521384009562297</v>
      </c>
      <c r="AF126" s="18">
        <v>-5.9538557296391296E-3</v>
      </c>
      <c r="AG126" s="19">
        <v>124.572722113751</v>
      </c>
      <c r="AH126" s="18">
        <v>-9.6698846135392702E-2</v>
      </c>
      <c r="AI126" s="19">
        <v>133.760945286225</v>
      </c>
      <c r="AJ126" s="18">
        <v>-1.24842720408939E-2</v>
      </c>
      <c r="AK126" s="19">
        <v>129.117721268868</v>
      </c>
      <c r="AL126" s="18">
        <v>-0.22976388591875899</v>
      </c>
      <c r="AM126" s="19">
        <v>85.222930315588798</v>
      </c>
      <c r="AN126" s="18">
        <v>3.1115678545929001E-2</v>
      </c>
      <c r="AO126" s="19">
        <v>91.521739502263202</v>
      </c>
      <c r="AP126" s="18">
        <v>3.3214171109305697E-2</v>
      </c>
      <c r="AQ126" s="19">
        <v>84.5218693433618</v>
      </c>
      <c r="AR126" s="18">
        <v>8.6227057232286297E-2</v>
      </c>
      <c r="AS126" s="19">
        <v>94.553015924581999</v>
      </c>
      <c r="AT126" s="18">
        <v>6.1945511563865603E-3</v>
      </c>
      <c r="AU126" s="19">
        <v>76.646871415308894</v>
      </c>
      <c r="AV126" s="18">
        <v>2.78267031896684E-3</v>
      </c>
      <c r="AW126" s="19">
        <v>81.585134761923598</v>
      </c>
      <c r="AX126" s="18">
        <v>1.47804218836689E-2</v>
      </c>
      <c r="AY126" s="19">
        <v>92.424716293668993</v>
      </c>
      <c r="AZ126" s="18">
        <v>3.7039583718490002E-3</v>
      </c>
      <c r="BA126" s="19">
        <v>116.45404451134</v>
      </c>
      <c r="BB126" s="18">
        <v>-8.9589780942612701E-3</v>
      </c>
      <c r="BC126" s="19">
        <v>108.017841489483</v>
      </c>
      <c r="BD126" s="18">
        <v>-3.1396396340877003E-4</v>
      </c>
      <c r="BE126" s="19">
        <v>95.694080058937004</v>
      </c>
      <c r="BF126" s="18">
        <v>1.7969400009130401E-2</v>
      </c>
      <c r="BG126" s="19"/>
      <c r="BH126" s="18"/>
    </row>
    <row r="127" spans="1:60" x14ac:dyDescent="0.2">
      <c r="A127" s="16">
        <v>2008</v>
      </c>
      <c r="B127" s="16">
        <v>4</v>
      </c>
      <c r="C127" s="19">
        <v>101.81196417960101</v>
      </c>
      <c r="D127" s="18">
        <v>8.7040082605997996E-3</v>
      </c>
      <c r="E127" s="19">
        <v>101.81675221359301</v>
      </c>
      <c r="F127" s="18">
        <v>9.1793596235598702E-3</v>
      </c>
      <c r="G127" s="19">
        <v>103.734352960262</v>
      </c>
      <c r="H127" s="18">
        <v>3.1573094834773698E-2</v>
      </c>
      <c r="I127" s="19">
        <v>85.286884360060498</v>
      </c>
      <c r="J127" s="18">
        <v>7.1356137641381198E-2</v>
      </c>
      <c r="K127" s="19">
        <v>116.723044496875</v>
      </c>
      <c r="L127" s="18">
        <v>4.5300159018366599E-2</v>
      </c>
      <c r="M127" s="19">
        <v>167.85562870460001</v>
      </c>
      <c r="N127" s="18">
        <v>1.5206808331189601E-2</v>
      </c>
      <c r="O127" s="19">
        <v>98.477939118363196</v>
      </c>
      <c r="P127" s="18">
        <v>5.58141965810997E-2</v>
      </c>
      <c r="Q127" s="19">
        <v>73.649287059002802</v>
      </c>
      <c r="R127" s="18">
        <v>0.16566713243016501</v>
      </c>
      <c r="S127" s="19">
        <v>169.41745543517899</v>
      </c>
      <c r="T127" s="18">
        <v>-0.106836201377529</v>
      </c>
      <c r="U127" s="19">
        <v>94.063558767222403</v>
      </c>
      <c r="V127" s="18">
        <v>2.4390923568800901E-2</v>
      </c>
      <c r="W127" s="19">
        <v>114.02871745839499</v>
      </c>
      <c r="X127" s="18">
        <v>-4.5271325850218903E-2</v>
      </c>
      <c r="Y127" s="19">
        <v>120.238060184277</v>
      </c>
      <c r="Z127" s="18">
        <v>-7.8750574321007104E-4</v>
      </c>
      <c r="AA127" s="19">
        <v>83.103696050524505</v>
      </c>
      <c r="AB127" s="18">
        <v>6.5379502168589898E-2</v>
      </c>
      <c r="AC127" s="19">
        <v>87.945837467695696</v>
      </c>
      <c r="AD127" s="18">
        <v>3.6183903475264699E-2</v>
      </c>
      <c r="AE127" s="19">
        <v>97.512333490315896</v>
      </c>
      <c r="AF127" s="18">
        <v>-5.9301024252320601E-3</v>
      </c>
      <c r="AG127" s="19">
        <v>126.265856674909</v>
      </c>
      <c r="AH127" s="18">
        <v>-8.2171344766015703E-2</v>
      </c>
      <c r="AI127" s="19">
        <v>139.54692590628699</v>
      </c>
      <c r="AJ127" s="18">
        <v>5.9373415043277901E-3</v>
      </c>
      <c r="AK127" s="19">
        <v>126.885079848888</v>
      </c>
      <c r="AL127" s="18">
        <v>-0.20703033242687099</v>
      </c>
      <c r="AM127" s="19">
        <v>86.202872600432599</v>
      </c>
      <c r="AN127" s="18">
        <v>3.9562635204998899E-2</v>
      </c>
      <c r="AO127" s="19">
        <v>92.166602171765206</v>
      </c>
      <c r="AP127" s="18">
        <v>3.41886162859091E-2</v>
      </c>
      <c r="AQ127" s="19">
        <v>87.076976675880701</v>
      </c>
      <c r="AR127" s="18">
        <v>9.1678570791098105E-2</v>
      </c>
      <c r="AS127" s="19">
        <v>94.652332524170006</v>
      </c>
      <c r="AT127" s="18">
        <v>7.7105436343811702E-3</v>
      </c>
      <c r="AU127" s="19">
        <v>76.947770847449306</v>
      </c>
      <c r="AV127" s="18">
        <v>8.3563403764161902E-3</v>
      </c>
      <c r="AW127" s="19">
        <v>82.286963950969096</v>
      </c>
      <c r="AX127" s="18">
        <v>2.2214144332015E-2</v>
      </c>
      <c r="AY127" s="19">
        <v>92.621300058118607</v>
      </c>
      <c r="AZ127" s="18">
        <v>4.4386395556563797E-3</v>
      </c>
      <c r="BA127" s="19">
        <v>102.15806092199701</v>
      </c>
      <c r="BB127" s="18">
        <v>-6.6822502650829597E-3</v>
      </c>
      <c r="BC127" s="19">
        <v>99.233729423203698</v>
      </c>
      <c r="BD127" s="18">
        <v>2.65759902636042E-3</v>
      </c>
      <c r="BE127" s="19">
        <v>95.851875616966197</v>
      </c>
      <c r="BF127" s="18">
        <v>1.5456652035634099E-2</v>
      </c>
      <c r="BG127" s="19"/>
      <c r="BH127" s="18"/>
    </row>
    <row r="128" spans="1:60" x14ac:dyDescent="0.2">
      <c r="A128" s="16">
        <v>2009</v>
      </c>
      <c r="B128" s="16">
        <v>1</v>
      </c>
      <c r="C128" s="19">
        <v>102.49647457301</v>
      </c>
      <c r="D128" s="18">
        <v>5.9098085635551599E-3</v>
      </c>
      <c r="E128" s="19">
        <v>101.993843619305</v>
      </c>
      <c r="F128" s="18">
        <v>8.6832984437421601E-3</v>
      </c>
      <c r="G128" s="19">
        <v>96.463175012734396</v>
      </c>
      <c r="H128" s="18">
        <v>-5.1726145071247003E-2</v>
      </c>
      <c r="I128" s="19">
        <v>92.291798474164096</v>
      </c>
      <c r="J128" s="18">
        <v>0.15037181469241401</v>
      </c>
      <c r="K128" s="19">
        <v>118.65098907963799</v>
      </c>
      <c r="L128" s="18">
        <v>6.3433934786833304E-2</v>
      </c>
      <c r="M128" s="19">
        <v>170.076640361984</v>
      </c>
      <c r="N128" s="18">
        <v>3.1100271372470199E-2</v>
      </c>
      <c r="O128" s="19">
        <v>100.344893569712</v>
      </c>
      <c r="P128" s="18">
        <v>7.5520546941613795E-2</v>
      </c>
      <c r="Q128" s="19">
        <v>81.798400322527897</v>
      </c>
      <c r="R128" s="18">
        <v>0.28831415548466099</v>
      </c>
      <c r="S128" s="19">
        <v>147.31452492241101</v>
      </c>
      <c r="T128" s="18">
        <v>-0.30966706255334697</v>
      </c>
      <c r="U128" s="19">
        <v>93.113584127416701</v>
      </c>
      <c r="V128" s="18">
        <v>1.4272834450623601E-2</v>
      </c>
      <c r="W128" s="19">
        <v>109.446339930276</v>
      </c>
      <c r="X128" s="18">
        <v>-0.101430750577992</v>
      </c>
      <c r="Y128" s="19">
        <v>117.689258389055</v>
      </c>
      <c r="Z128" s="18">
        <v>-6.4346305657717604E-3</v>
      </c>
      <c r="AA128" s="19">
        <v>85.772355623507394</v>
      </c>
      <c r="AB128" s="18">
        <v>5.6901883890910797E-2</v>
      </c>
      <c r="AC128" s="19">
        <v>90.328215080558806</v>
      </c>
      <c r="AD128" s="18">
        <v>4.4887460103619999E-2</v>
      </c>
      <c r="AE128" s="19">
        <v>96.708775198083103</v>
      </c>
      <c r="AF128" s="18">
        <v>-8.6065767992851098E-3</v>
      </c>
      <c r="AG128" s="19">
        <v>127.62617785113</v>
      </c>
      <c r="AH128" s="18">
        <v>-2.9812884540651799E-2</v>
      </c>
      <c r="AI128" s="19">
        <v>140.32598758793901</v>
      </c>
      <c r="AJ128" s="18">
        <v>2.71979685414134E-2</v>
      </c>
      <c r="AK128" s="19">
        <v>127.96548618921901</v>
      </c>
      <c r="AL128" s="18">
        <v>-0.116291018855065</v>
      </c>
      <c r="AM128" s="19">
        <v>87.560194853482002</v>
      </c>
      <c r="AN128" s="18">
        <v>5.0485558574344003E-2</v>
      </c>
      <c r="AO128" s="19">
        <v>92.627067475480004</v>
      </c>
      <c r="AP128" s="18">
        <v>3.09659555679931E-2</v>
      </c>
      <c r="AQ128" s="19">
        <v>88.285812595192695</v>
      </c>
      <c r="AR128" s="18">
        <v>8.1330792486546996E-2</v>
      </c>
      <c r="AS128" s="19">
        <v>94.833762450757206</v>
      </c>
      <c r="AT128" s="18">
        <v>1.0328065541462201E-2</v>
      </c>
      <c r="AU128" s="19">
        <v>77.458579279802507</v>
      </c>
      <c r="AV128" s="18">
        <v>1.5923554140961901E-2</v>
      </c>
      <c r="AW128" s="19">
        <v>83.462258706598803</v>
      </c>
      <c r="AX128" s="18">
        <v>3.5017867538548603E-2</v>
      </c>
      <c r="AY128" s="19">
        <v>92.464702241885504</v>
      </c>
      <c r="AZ128" s="18">
        <v>-3.5226318015080201E-3</v>
      </c>
      <c r="BA128" s="19">
        <v>118.03158943925</v>
      </c>
      <c r="BB128" s="18">
        <v>-6.06503772137209E-2</v>
      </c>
      <c r="BC128" s="19">
        <v>109.011957266143</v>
      </c>
      <c r="BD128" s="18">
        <v>-3.9050986728554997E-2</v>
      </c>
      <c r="BE128" s="19">
        <v>95.864270228858899</v>
      </c>
      <c r="BF128" s="18">
        <v>9.52721705750381E-3</v>
      </c>
      <c r="BG128" s="19"/>
      <c r="BH128" s="18"/>
    </row>
    <row r="129" spans="1:60" x14ac:dyDescent="0.2">
      <c r="A129" s="16">
        <v>2009</v>
      </c>
      <c r="B129" s="16">
        <v>2</v>
      </c>
      <c r="C129" s="19">
        <v>102.10174824828</v>
      </c>
      <c r="D129" s="18">
        <v>1.7522682994735E-3</v>
      </c>
      <c r="E129" s="19">
        <v>102.014412467284</v>
      </c>
      <c r="F129" s="18">
        <v>5.5329094886207297E-3</v>
      </c>
      <c r="G129" s="19">
        <v>88.348107947580104</v>
      </c>
      <c r="H129" s="18">
        <v>-0.114728266043432</v>
      </c>
      <c r="I129" s="19">
        <v>95.209602212739199</v>
      </c>
      <c r="J129" s="18">
        <v>0.21887625815525599</v>
      </c>
      <c r="K129" s="19">
        <v>119.370586372888</v>
      </c>
      <c r="L129" s="18">
        <v>5.8259520575078001E-2</v>
      </c>
      <c r="M129" s="19">
        <v>170.58164807382099</v>
      </c>
      <c r="N129" s="18">
        <v>6.74567417210159E-2</v>
      </c>
      <c r="O129" s="19">
        <v>101.088899168002</v>
      </c>
      <c r="P129" s="18">
        <v>5.4665023708513803E-2</v>
      </c>
      <c r="Q129" s="19">
        <v>75.166878404659798</v>
      </c>
      <c r="R129" s="18">
        <v>0.22460831738329501</v>
      </c>
      <c r="S129" s="19">
        <v>127.452723661596</v>
      </c>
      <c r="T129" s="18">
        <v>-0.525335346705331</v>
      </c>
      <c r="U129" s="19">
        <v>92.525872317422795</v>
      </c>
      <c r="V129" s="18">
        <v>1.04393246026855E-2</v>
      </c>
      <c r="W129" s="19">
        <v>109.084823152282</v>
      </c>
      <c r="X129" s="18">
        <v>-0.108744884872537</v>
      </c>
      <c r="Y129" s="19">
        <v>119.945453751024</v>
      </c>
      <c r="Z129" s="18">
        <v>-9.0997692107116501E-3</v>
      </c>
      <c r="AA129" s="19">
        <v>87.109601144850998</v>
      </c>
      <c r="AB129" s="18">
        <v>5.8957535959997198E-2</v>
      </c>
      <c r="AC129" s="19">
        <v>90.953455630353801</v>
      </c>
      <c r="AD129" s="18">
        <v>5.68054589492233E-2</v>
      </c>
      <c r="AE129" s="19">
        <v>96.732916022422899</v>
      </c>
      <c r="AF129" s="18">
        <v>-6.8097568129854603E-3</v>
      </c>
      <c r="AG129" s="19">
        <v>128.13938967506701</v>
      </c>
      <c r="AH129" s="18">
        <v>9.9573004124724508E-3</v>
      </c>
      <c r="AI129" s="19">
        <v>140.59149611567301</v>
      </c>
      <c r="AJ129" s="18">
        <v>4.8169048374860197E-2</v>
      </c>
      <c r="AK129" s="19">
        <v>128.56625871969501</v>
      </c>
      <c r="AL129" s="18">
        <v>-4.6812151926129197E-2</v>
      </c>
      <c r="AM129" s="19">
        <v>88.480459046558096</v>
      </c>
      <c r="AN129" s="18">
        <v>4.9717375227426502E-2</v>
      </c>
      <c r="AO129" s="19">
        <v>93.1552015415932</v>
      </c>
      <c r="AP129" s="18">
        <v>2.8461906823015599E-2</v>
      </c>
      <c r="AQ129" s="19">
        <v>88.501970392824504</v>
      </c>
      <c r="AR129" s="18">
        <v>6.6638291527279597E-2</v>
      </c>
      <c r="AS129" s="19">
        <v>95.423331666295297</v>
      </c>
      <c r="AT129" s="18">
        <v>1.2542155775785199E-2</v>
      </c>
      <c r="AU129" s="19">
        <v>77.926441253380403</v>
      </c>
      <c r="AV129" s="18">
        <v>2.0970555431611099E-2</v>
      </c>
      <c r="AW129" s="19">
        <v>84.174613205533404</v>
      </c>
      <c r="AX129" s="18">
        <v>3.82604525651307E-2</v>
      </c>
      <c r="AY129" s="19">
        <v>92.419189449262703</v>
      </c>
      <c r="AZ129" s="18">
        <v>8.6928153593084402E-3</v>
      </c>
      <c r="BA129" s="19">
        <v>105.110470076304</v>
      </c>
      <c r="BB129" s="18">
        <v>-9.7433697118703297E-2</v>
      </c>
      <c r="BC129" s="19">
        <v>101.25783989822401</v>
      </c>
      <c r="BD129" s="18">
        <v>-6.1611663012437701E-2</v>
      </c>
      <c r="BE129" s="19">
        <v>95.918762590160696</v>
      </c>
      <c r="BF129" s="18">
        <v>5.4919217914699602E-3</v>
      </c>
      <c r="BG129" s="19"/>
      <c r="BH129" s="18"/>
    </row>
    <row r="130" spans="1:60" x14ac:dyDescent="0.2">
      <c r="A130" s="16">
        <v>2009</v>
      </c>
      <c r="B130" s="16">
        <v>3</v>
      </c>
      <c r="C130" s="19">
        <v>102.30561742406501</v>
      </c>
      <c r="D130" s="18">
        <v>6.04451289215646E-3</v>
      </c>
      <c r="E130" s="19">
        <v>102.022300434234</v>
      </c>
      <c r="F130" s="18">
        <v>7.9951455281048692E-3</v>
      </c>
      <c r="G130" s="19">
        <v>84.015721823906901</v>
      </c>
      <c r="H130" s="18">
        <v>-0.174672508662545</v>
      </c>
      <c r="I130" s="19">
        <v>94.953072327937093</v>
      </c>
      <c r="J130" s="18">
        <v>0.21046217770304401</v>
      </c>
      <c r="K130" s="19">
        <v>118.481852498118</v>
      </c>
      <c r="L130" s="18">
        <v>4.0801048057959498E-2</v>
      </c>
      <c r="M130" s="19">
        <v>168.55975081326099</v>
      </c>
      <c r="N130" s="18">
        <v>2.1635174070807402E-2</v>
      </c>
      <c r="O130" s="19">
        <v>100.530985102183</v>
      </c>
      <c r="P130" s="18">
        <v>4.8572222156500998E-2</v>
      </c>
      <c r="Q130" s="19">
        <v>71.005526335740399</v>
      </c>
      <c r="R130" s="18">
        <v>0.21183910205183101</v>
      </c>
      <c r="S130" s="19">
        <v>133.54448640435501</v>
      </c>
      <c r="T130" s="18">
        <v>-0.44818746136172</v>
      </c>
      <c r="U130" s="19">
        <v>92.728268719501003</v>
      </c>
      <c r="V130" s="18">
        <v>-8.2559167203586394E-3</v>
      </c>
      <c r="W130" s="19">
        <v>109.98999858953</v>
      </c>
      <c r="X130" s="18">
        <v>-7.0924527261233994E-2</v>
      </c>
      <c r="Y130" s="19">
        <v>117.139346302633</v>
      </c>
      <c r="Z130" s="18">
        <v>-8.0977195132887498E-3</v>
      </c>
      <c r="AA130" s="19">
        <v>87.392669844267004</v>
      </c>
      <c r="AB130" s="18">
        <v>5.4943450297901202E-2</v>
      </c>
      <c r="AC130" s="19">
        <v>91.121248366924803</v>
      </c>
      <c r="AD130" s="18">
        <v>5.5672410419517399E-2</v>
      </c>
      <c r="AE130" s="19">
        <v>96.8255189879402</v>
      </c>
      <c r="AF130" s="18">
        <v>-7.1355121616593102E-3</v>
      </c>
      <c r="AG130" s="19">
        <v>126.78801712612</v>
      </c>
      <c r="AH130" s="18">
        <v>1.7783146862171001E-2</v>
      </c>
      <c r="AI130" s="19">
        <v>137.356604794124</v>
      </c>
      <c r="AJ130" s="18">
        <v>2.6881235776287302E-2</v>
      </c>
      <c r="AK130" s="19">
        <v>128.81052436128499</v>
      </c>
      <c r="AL130" s="18">
        <v>-2.3792001947102702E-3</v>
      </c>
      <c r="AM130" s="19">
        <v>88.833914686230997</v>
      </c>
      <c r="AN130" s="18">
        <v>4.2371042127634401E-2</v>
      </c>
      <c r="AO130" s="19">
        <v>93.912182853177796</v>
      </c>
      <c r="AP130" s="18">
        <v>2.6118858359936301E-2</v>
      </c>
      <c r="AQ130" s="19">
        <v>88.897683049089807</v>
      </c>
      <c r="AR130" s="18">
        <v>5.1771378694331703E-2</v>
      </c>
      <c r="AS130" s="19">
        <v>95.781769449199402</v>
      </c>
      <c r="AT130" s="18">
        <v>1.29953921892612E-2</v>
      </c>
      <c r="AU130" s="19">
        <v>78.395340523820593</v>
      </c>
      <c r="AV130" s="18">
        <v>2.2812008842966899E-2</v>
      </c>
      <c r="AW130" s="19">
        <v>84.610374276419904</v>
      </c>
      <c r="AX130" s="18">
        <v>3.70807687371522E-2</v>
      </c>
      <c r="AY130" s="19">
        <v>92.966682079319895</v>
      </c>
      <c r="AZ130" s="18">
        <v>5.8638620423654402E-3</v>
      </c>
      <c r="BA130" s="19">
        <v>111.246436637274</v>
      </c>
      <c r="BB130" s="18">
        <v>-4.4718136634217497E-2</v>
      </c>
      <c r="BC130" s="19">
        <v>104.98300717884899</v>
      </c>
      <c r="BD130" s="18">
        <v>-2.80956763140798E-2</v>
      </c>
      <c r="BE130" s="19">
        <v>96.016160750769998</v>
      </c>
      <c r="BF130" s="18">
        <v>3.3657326726435101E-3</v>
      </c>
      <c r="BG130" s="19"/>
      <c r="BH130" s="18"/>
    </row>
    <row r="131" spans="1:60" x14ac:dyDescent="0.2">
      <c r="A131" s="16">
        <v>2009</v>
      </c>
      <c r="B131" s="16">
        <v>4</v>
      </c>
      <c r="C131" s="19">
        <v>102.35095427559099</v>
      </c>
      <c r="D131" s="18">
        <v>5.2939760109114199E-3</v>
      </c>
      <c r="E131" s="19">
        <v>102.23721201056701</v>
      </c>
      <c r="F131" s="18">
        <v>4.1295738454911702E-3</v>
      </c>
      <c r="G131" s="19">
        <v>82.895145280780696</v>
      </c>
      <c r="H131" s="18">
        <v>-0.20089013026826899</v>
      </c>
      <c r="I131" s="19">
        <v>94.624250763600699</v>
      </c>
      <c r="J131" s="18">
        <v>0.109481856133002</v>
      </c>
      <c r="K131" s="19">
        <v>117.072946028389</v>
      </c>
      <c r="L131" s="18">
        <v>2.9977073766609399E-3</v>
      </c>
      <c r="M131" s="19">
        <v>165.52818678248099</v>
      </c>
      <c r="N131" s="18">
        <v>-1.38657365265658E-2</v>
      </c>
      <c r="O131" s="19">
        <v>99.526486274904997</v>
      </c>
      <c r="P131" s="18">
        <v>1.06475335077996E-2</v>
      </c>
      <c r="Q131" s="19">
        <v>70.942392335678306</v>
      </c>
      <c r="R131" s="18">
        <v>-3.6753848291239698E-2</v>
      </c>
      <c r="S131" s="19">
        <v>135.66371115416101</v>
      </c>
      <c r="T131" s="18">
        <v>-0.19923415916214901</v>
      </c>
      <c r="U131" s="19">
        <v>92.291077135121</v>
      </c>
      <c r="V131" s="18">
        <v>-1.88434464454794E-2</v>
      </c>
      <c r="W131" s="19">
        <v>113.117969651842</v>
      </c>
      <c r="X131" s="18">
        <v>-7.98700386053686E-3</v>
      </c>
      <c r="Y131" s="19">
        <v>118.928257883466</v>
      </c>
      <c r="Z131" s="18">
        <v>-1.08934084498979E-2</v>
      </c>
      <c r="AA131" s="19">
        <v>87.064031311250204</v>
      </c>
      <c r="AB131" s="18">
        <v>4.7655344454450299E-2</v>
      </c>
      <c r="AC131" s="19">
        <v>91.100572702946096</v>
      </c>
      <c r="AD131" s="18">
        <v>3.58713422498151E-2</v>
      </c>
      <c r="AE131" s="19">
        <v>96.975089537709806</v>
      </c>
      <c r="AF131" s="18">
        <v>-5.5094974489504596E-3</v>
      </c>
      <c r="AG131" s="19">
        <v>126.496064195838</v>
      </c>
      <c r="AH131" s="18">
        <v>1.82319691951771E-3</v>
      </c>
      <c r="AI131" s="19">
        <v>136.67503835966801</v>
      </c>
      <c r="AJ131" s="18">
        <v>-2.0580084641547602E-2</v>
      </c>
      <c r="AK131" s="19">
        <v>128.77508163436599</v>
      </c>
      <c r="AL131" s="18">
        <v>1.4895382402166899E-2</v>
      </c>
      <c r="AM131" s="19">
        <v>88.975298446140698</v>
      </c>
      <c r="AN131" s="18">
        <v>3.2161641045987503E-2</v>
      </c>
      <c r="AO131" s="19">
        <v>94.465309896236406</v>
      </c>
      <c r="AP131" s="18">
        <v>2.4940788423416502E-2</v>
      </c>
      <c r="AQ131" s="19">
        <v>89.540171126491799</v>
      </c>
      <c r="AR131" s="18">
        <v>2.82875513671044E-2</v>
      </c>
      <c r="AS131" s="19">
        <v>95.860822316305303</v>
      </c>
      <c r="AT131" s="18">
        <v>1.27676704832047E-2</v>
      </c>
      <c r="AU131" s="19">
        <v>78.409582942230003</v>
      </c>
      <c r="AV131" s="18">
        <v>1.89974586486557E-2</v>
      </c>
      <c r="AW131" s="19">
        <v>85.032289233533405</v>
      </c>
      <c r="AX131" s="18">
        <v>3.3362821408748897E-2</v>
      </c>
      <c r="AY131" s="19">
        <v>92.361413885595496</v>
      </c>
      <c r="AZ131" s="18">
        <v>-2.8059007200289502E-3</v>
      </c>
      <c r="BA131" s="19">
        <v>106.35535353709901</v>
      </c>
      <c r="BB131" s="18">
        <v>4.1086259637464602E-2</v>
      </c>
      <c r="BC131" s="19">
        <v>101.99174648447899</v>
      </c>
      <c r="BD131" s="18">
        <v>2.77931412767214E-2</v>
      </c>
      <c r="BE131" s="19">
        <v>96.157133698317296</v>
      </c>
      <c r="BF131" s="18">
        <v>3.1846855305253099E-3</v>
      </c>
      <c r="BG131" s="19"/>
      <c r="BH131" s="18"/>
    </row>
    <row r="132" spans="1:60" x14ac:dyDescent="0.2">
      <c r="A132" s="16">
        <v>2010</v>
      </c>
      <c r="B132" s="16">
        <v>1</v>
      </c>
      <c r="C132" s="19">
        <v>102.788362733981</v>
      </c>
      <c r="D132" s="18">
        <v>2.84778732328839E-3</v>
      </c>
      <c r="E132" s="19">
        <v>102.326089060896</v>
      </c>
      <c r="F132" s="18">
        <v>3.2575048630485398E-3</v>
      </c>
      <c r="G132" s="19">
        <v>86.772198375558105</v>
      </c>
      <c r="H132" s="18">
        <v>-0.100462965643593</v>
      </c>
      <c r="I132" s="19">
        <v>94.267889578804798</v>
      </c>
      <c r="J132" s="18">
        <v>2.1411340306624099E-2</v>
      </c>
      <c r="K132" s="19">
        <v>116.154487393693</v>
      </c>
      <c r="L132" s="18">
        <v>-2.10407153392544E-2</v>
      </c>
      <c r="M132" s="19">
        <v>164.526494852018</v>
      </c>
      <c r="N132" s="18">
        <v>-3.2633202879320401E-2</v>
      </c>
      <c r="O132" s="19">
        <v>98.717798373557898</v>
      </c>
      <c r="P132" s="18">
        <v>-1.62150273747972E-2</v>
      </c>
      <c r="Q132" s="19">
        <v>72.768544655856203</v>
      </c>
      <c r="R132" s="18">
        <v>-0.11039159239138401</v>
      </c>
      <c r="S132" s="19">
        <v>159.00236500558199</v>
      </c>
      <c r="T132" s="18">
        <v>7.9339359708936699E-2</v>
      </c>
      <c r="U132" s="19">
        <v>91.123918331907007</v>
      </c>
      <c r="V132" s="18">
        <v>-2.13681581925468E-2</v>
      </c>
      <c r="W132" s="19">
        <v>114.188976885862</v>
      </c>
      <c r="X132" s="18">
        <v>4.3332988189530401E-2</v>
      </c>
      <c r="Y132" s="19">
        <v>116.669781362544</v>
      </c>
      <c r="Z132" s="18">
        <v>-8.6624475373986397E-3</v>
      </c>
      <c r="AA132" s="19">
        <v>86.523015857868103</v>
      </c>
      <c r="AB132" s="18">
        <v>8.7517735627518096E-3</v>
      </c>
      <c r="AC132" s="19">
        <v>92.070117079665707</v>
      </c>
      <c r="AD132" s="18">
        <v>1.9284140592763101E-2</v>
      </c>
      <c r="AE132" s="19">
        <v>96.479044637678399</v>
      </c>
      <c r="AF132" s="18">
        <v>-2.3754882629235499E-3</v>
      </c>
      <c r="AG132" s="19">
        <v>124.48112413871399</v>
      </c>
      <c r="AH132" s="18">
        <v>-2.4642700779499298E-2</v>
      </c>
      <c r="AI132" s="19">
        <v>133.061411100551</v>
      </c>
      <c r="AJ132" s="18">
        <v>-5.1769288157233702E-2</v>
      </c>
      <c r="AK132" s="19">
        <v>128.49966537485199</v>
      </c>
      <c r="AL132" s="18">
        <v>4.1744004695361001E-3</v>
      </c>
      <c r="AM132" s="19">
        <v>89.256290411509099</v>
      </c>
      <c r="AN132" s="18">
        <v>1.9370623385035299E-2</v>
      </c>
      <c r="AO132" s="19">
        <v>94.969367372515805</v>
      </c>
      <c r="AP132" s="18">
        <v>2.5287423653522101E-2</v>
      </c>
      <c r="AQ132" s="19">
        <v>89.158754171576604</v>
      </c>
      <c r="AR132" s="18">
        <v>9.8876767480910992E-3</v>
      </c>
      <c r="AS132" s="19">
        <v>95.954669705464397</v>
      </c>
      <c r="AT132" s="18">
        <v>1.1819706671336401E-2</v>
      </c>
      <c r="AU132" s="19">
        <v>78.298980529108107</v>
      </c>
      <c r="AV132" s="18">
        <v>1.0849685820725199E-2</v>
      </c>
      <c r="AW132" s="19">
        <v>85.409851980018701</v>
      </c>
      <c r="AX132" s="18">
        <v>2.3335017570833099E-2</v>
      </c>
      <c r="AY132" s="19">
        <v>92.408071921979001</v>
      </c>
      <c r="AZ132" s="18">
        <v>-6.1245338527515802E-4</v>
      </c>
      <c r="BA132" s="19">
        <v>116.952067899799</v>
      </c>
      <c r="BB132" s="18">
        <v>-9.14603916273171E-3</v>
      </c>
      <c r="BC132" s="19">
        <v>108.610416809966</v>
      </c>
      <c r="BD132" s="18">
        <v>-3.6834533224345801E-3</v>
      </c>
      <c r="BE132" s="19">
        <v>96.341948298903802</v>
      </c>
      <c r="BF132" s="18">
        <v>4.9828582526578701E-3</v>
      </c>
      <c r="BG132" s="19"/>
      <c r="BH132" s="18"/>
    </row>
    <row r="133" spans="1:60" x14ac:dyDescent="0.2">
      <c r="A133" s="16">
        <v>2010</v>
      </c>
      <c r="B133" s="16">
        <v>2</v>
      </c>
      <c r="C133" s="19">
        <v>102.820368447807</v>
      </c>
      <c r="D133" s="18">
        <v>7.0382751701674202E-3</v>
      </c>
      <c r="E133" s="19">
        <v>102.589338358118</v>
      </c>
      <c r="F133" s="18">
        <v>5.6357320199071897E-3</v>
      </c>
      <c r="G133" s="19">
        <v>86.739231041718</v>
      </c>
      <c r="H133" s="18">
        <v>-1.8210654910875299E-2</v>
      </c>
      <c r="I133" s="19">
        <v>92.997393824886203</v>
      </c>
      <c r="J133" s="18">
        <v>-2.3235139486350798E-2</v>
      </c>
      <c r="K133" s="19">
        <v>115.435860713411</v>
      </c>
      <c r="L133" s="18">
        <v>-3.2962271352058002E-2</v>
      </c>
      <c r="M133" s="19">
        <v>161.281525787927</v>
      </c>
      <c r="N133" s="18">
        <v>-5.4520063505710398E-2</v>
      </c>
      <c r="O133" s="19">
        <v>98.649502978970006</v>
      </c>
      <c r="P133" s="18">
        <v>-2.4131197481715098E-2</v>
      </c>
      <c r="Q133" s="19">
        <v>70.852839731034607</v>
      </c>
      <c r="R133" s="18">
        <v>-5.7392814031742199E-2</v>
      </c>
      <c r="S133" s="19">
        <v>188.70702894269701</v>
      </c>
      <c r="T133" s="18">
        <v>0.48060412929063401</v>
      </c>
      <c r="U133" s="19">
        <v>90.550290665532302</v>
      </c>
      <c r="V133" s="18">
        <v>-2.1351667402961301E-2</v>
      </c>
      <c r="W133" s="19">
        <v>115.67082258404901</v>
      </c>
      <c r="X133" s="18">
        <v>6.0375029646174902E-2</v>
      </c>
      <c r="Y133" s="19">
        <v>117.948394148566</v>
      </c>
      <c r="Z133" s="18">
        <v>-1.6649731523823302E-2</v>
      </c>
      <c r="AA133" s="19">
        <v>86.192528302939607</v>
      </c>
      <c r="AB133" s="18">
        <v>-1.05278043965139E-2</v>
      </c>
      <c r="AC133" s="19">
        <v>91.906786870856294</v>
      </c>
      <c r="AD133" s="18">
        <v>1.04815285345172E-2</v>
      </c>
      <c r="AE133" s="19">
        <v>96.647764910888199</v>
      </c>
      <c r="AF133" s="18">
        <v>-8.8027028478054902E-4</v>
      </c>
      <c r="AG133" s="19">
        <v>125.070452422824</v>
      </c>
      <c r="AH133" s="18">
        <v>-2.3949991177773199E-2</v>
      </c>
      <c r="AI133" s="19">
        <v>134.03938187660199</v>
      </c>
      <c r="AJ133" s="18">
        <v>-4.6603915742388403E-2</v>
      </c>
      <c r="AK133" s="19">
        <v>128.895819145264</v>
      </c>
      <c r="AL133" s="18">
        <v>2.5633508266575998E-3</v>
      </c>
      <c r="AM133" s="19">
        <v>89.405001727509799</v>
      </c>
      <c r="AN133" s="18">
        <v>1.0449117137436299E-2</v>
      </c>
      <c r="AO133" s="19">
        <v>95.470379379356402</v>
      </c>
      <c r="AP133" s="18">
        <v>2.4852909976578599E-2</v>
      </c>
      <c r="AQ133" s="19">
        <v>88.780686369180401</v>
      </c>
      <c r="AR133" s="18">
        <v>3.1492629499520999E-3</v>
      </c>
      <c r="AS133" s="19">
        <v>96.922802812758604</v>
      </c>
      <c r="AT133" s="18">
        <v>1.57138838089106E-2</v>
      </c>
      <c r="AU133" s="19">
        <v>78.112841940354102</v>
      </c>
      <c r="AV133" s="18">
        <v>2.3920082064006198E-3</v>
      </c>
      <c r="AW133" s="19">
        <v>85.854417689078701</v>
      </c>
      <c r="AX133" s="18">
        <v>1.99561889217552E-2</v>
      </c>
      <c r="AY133" s="19">
        <v>92.505224180502793</v>
      </c>
      <c r="AZ133" s="18">
        <v>9.3091847864856803E-4</v>
      </c>
      <c r="BA133" s="19">
        <v>110.21029801733</v>
      </c>
      <c r="BB133" s="18">
        <v>4.85187435402437E-2</v>
      </c>
      <c r="BC133" s="19">
        <v>104.545468044828</v>
      </c>
      <c r="BD133" s="18">
        <v>3.2467887423909297E-2</v>
      </c>
      <c r="BE133" s="19">
        <v>96.535747238183802</v>
      </c>
      <c r="BF133" s="18">
        <v>6.4323666336203499E-3</v>
      </c>
      <c r="BG133" s="19"/>
      <c r="BH133" s="18"/>
    </row>
    <row r="134" spans="1:60" x14ac:dyDescent="0.2">
      <c r="A134" s="16">
        <v>2010</v>
      </c>
      <c r="B134" s="16">
        <v>3</v>
      </c>
      <c r="C134" s="19">
        <v>102.634835464305</v>
      </c>
      <c r="D134" s="18">
        <v>3.2179859574648102E-3</v>
      </c>
      <c r="E134" s="19">
        <v>102.42433800385299</v>
      </c>
      <c r="F134" s="18">
        <v>3.9406832418780197E-3</v>
      </c>
      <c r="G134" s="19">
        <v>86.550819112508293</v>
      </c>
      <c r="H134" s="18">
        <v>3.0174082107095001E-2</v>
      </c>
      <c r="I134" s="19">
        <v>93.193129098922697</v>
      </c>
      <c r="J134" s="18">
        <v>-1.8534873973704701E-2</v>
      </c>
      <c r="K134" s="19">
        <v>114.077520040043</v>
      </c>
      <c r="L134" s="18">
        <v>-3.7173055326303002E-2</v>
      </c>
      <c r="M134" s="19">
        <v>153.65400784569701</v>
      </c>
      <c r="N134" s="18">
        <v>-8.8430024935651705E-2</v>
      </c>
      <c r="O134" s="19">
        <v>98.888645659049899</v>
      </c>
      <c r="P134" s="18">
        <v>-1.6336649257580299E-2</v>
      </c>
      <c r="Q134" s="19">
        <v>72.527049061977607</v>
      </c>
      <c r="R134" s="18">
        <v>2.14282296710664E-2</v>
      </c>
      <c r="S134" s="19">
        <v>171.246460963819</v>
      </c>
      <c r="T134" s="18">
        <v>0.282317717298391</v>
      </c>
      <c r="U134" s="19">
        <v>90.914502305468602</v>
      </c>
      <c r="V134" s="18">
        <v>-1.9560015937739799E-2</v>
      </c>
      <c r="W134" s="19">
        <v>116.09030207937199</v>
      </c>
      <c r="X134" s="18">
        <v>5.5462347195836398E-2</v>
      </c>
      <c r="Y134" s="19">
        <v>114.125503232987</v>
      </c>
      <c r="Z134" s="18">
        <v>-2.57286997475565E-2</v>
      </c>
      <c r="AA134" s="19">
        <v>85.842114247977605</v>
      </c>
      <c r="AB134" s="18">
        <v>-1.7742398750976201E-2</v>
      </c>
      <c r="AC134" s="19">
        <v>91.969701697798996</v>
      </c>
      <c r="AD134" s="18">
        <v>9.3112566616480007E-3</v>
      </c>
      <c r="AE134" s="19">
        <v>96.993292020613296</v>
      </c>
      <c r="AF134" s="18">
        <v>1.7327356922711701E-3</v>
      </c>
      <c r="AG134" s="19">
        <v>124.20654720293599</v>
      </c>
      <c r="AH134" s="18">
        <v>-2.0360519721798202E-2</v>
      </c>
      <c r="AI134" s="19">
        <v>131.347523011764</v>
      </c>
      <c r="AJ134" s="18">
        <v>-4.3748036662421497E-2</v>
      </c>
      <c r="AK134" s="19">
        <v>130.053023342828</v>
      </c>
      <c r="AL134" s="18">
        <v>9.6459430446713696E-3</v>
      </c>
      <c r="AM134" s="19">
        <v>89.263501839180094</v>
      </c>
      <c r="AN134" s="18">
        <v>4.8358462470830003E-3</v>
      </c>
      <c r="AO134" s="19">
        <v>95.9848523217142</v>
      </c>
      <c r="AP134" s="18">
        <v>2.20702938166908E-2</v>
      </c>
      <c r="AQ134" s="19">
        <v>89.024203782630295</v>
      </c>
      <c r="AR134" s="18">
        <v>1.423217447305E-3</v>
      </c>
      <c r="AS134" s="19">
        <v>97.180262688518894</v>
      </c>
      <c r="AT134" s="18">
        <v>1.46008290237447E-2</v>
      </c>
      <c r="AU134" s="19">
        <v>77.925632280681896</v>
      </c>
      <c r="AV134" s="18">
        <v>-5.9915326599805398E-3</v>
      </c>
      <c r="AW134" s="19">
        <v>86.177608890043103</v>
      </c>
      <c r="AX134" s="18">
        <v>1.85229604173964E-2</v>
      </c>
      <c r="AY134" s="19">
        <v>92.549290971894294</v>
      </c>
      <c r="AZ134" s="18">
        <v>-4.4896848859194999E-3</v>
      </c>
      <c r="BA134" s="19">
        <v>109.42109723656699</v>
      </c>
      <c r="BB134" s="18">
        <v>-1.6408070729122801E-2</v>
      </c>
      <c r="BC134" s="19">
        <v>104.13642746643301</v>
      </c>
      <c r="BD134" s="18">
        <v>-8.0639689714126998E-3</v>
      </c>
      <c r="BE134" s="19">
        <v>96.738651107821696</v>
      </c>
      <c r="BF134" s="18">
        <v>7.5246745069002001E-3</v>
      </c>
      <c r="BG134" s="19"/>
      <c r="BH134" s="18"/>
    </row>
    <row r="135" spans="1:60" x14ac:dyDescent="0.2">
      <c r="A135" s="16">
        <v>2010</v>
      </c>
      <c r="B135" s="16">
        <v>4</v>
      </c>
      <c r="C135" s="19">
        <v>102.853425198159</v>
      </c>
      <c r="D135" s="18">
        <v>4.9092939692057004E-3</v>
      </c>
      <c r="E135" s="19">
        <v>102.78011198437601</v>
      </c>
      <c r="F135" s="18">
        <v>5.3101993210940002E-3</v>
      </c>
      <c r="G135" s="19">
        <v>85.452689998141693</v>
      </c>
      <c r="H135" s="18">
        <v>3.08527683822515E-2</v>
      </c>
      <c r="I135" s="19">
        <v>92.594684140530603</v>
      </c>
      <c r="J135" s="18">
        <v>-2.1448694247952101E-2</v>
      </c>
      <c r="K135" s="19">
        <v>112.61496392974701</v>
      </c>
      <c r="L135" s="18">
        <v>-3.8078670178513102E-2</v>
      </c>
      <c r="M135" s="19">
        <v>147.71969865198099</v>
      </c>
      <c r="N135" s="18">
        <v>-0.107585834634321</v>
      </c>
      <c r="O135" s="19">
        <v>98.355516180990904</v>
      </c>
      <c r="P135" s="18">
        <v>-1.1765411778727799E-2</v>
      </c>
      <c r="Q135" s="19">
        <v>74.500152325801494</v>
      </c>
      <c r="R135" s="18">
        <v>5.0149986108290599E-2</v>
      </c>
      <c r="S135" s="19">
        <v>171.66973757721701</v>
      </c>
      <c r="T135" s="18">
        <v>0.26540646807267099</v>
      </c>
      <c r="U135" s="19">
        <v>91.917140112345606</v>
      </c>
      <c r="V135" s="18">
        <v>-4.0517137125616297E-3</v>
      </c>
      <c r="W135" s="19">
        <v>118.132989575252</v>
      </c>
      <c r="X135" s="18">
        <v>4.4334423070399698E-2</v>
      </c>
      <c r="Y135" s="19">
        <v>115.69595746661599</v>
      </c>
      <c r="Z135" s="18">
        <v>-2.7178573657551199E-2</v>
      </c>
      <c r="AA135" s="19">
        <v>86.283211356082006</v>
      </c>
      <c r="AB135" s="18">
        <v>-8.9683413851671095E-3</v>
      </c>
      <c r="AC135" s="19">
        <v>92.000730512704706</v>
      </c>
      <c r="AD135" s="18">
        <v>9.8809237203569805E-3</v>
      </c>
      <c r="AE135" s="19">
        <v>97.935413487241703</v>
      </c>
      <c r="AF135" s="18">
        <v>9.9027900269010906E-3</v>
      </c>
      <c r="AG135" s="19">
        <v>124.109432990057</v>
      </c>
      <c r="AH135" s="18">
        <v>-1.8867236865855501E-2</v>
      </c>
      <c r="AI135" s="19">
        <v>130.004939056685</v>
      </c>
      <c r="AJ135" s="18">
        <v>-4.8802615188812001E-2</v>
      </c>
      <c r="AK135" s="19">
        <v>132.15158413662201</v>
      </c>
      <c r="AL135" s="18">
        <v>2.62201542363814E-2</v>
      </c>
      <c r="AM135" s="19">
        <v>89.510800648216403</v>
      </c>
      <c r="AN135" s="18">
        <v>6.0185490965212196E-3</v>
      </c>
      <c r="AO135" s="19">
        <v>96.423761935835302</v>
      </c>
      <c r="AP135" s="18">
        <v>2.0731970728197002E-2</v>
      </c>
      <c r="AQ135" s="19">
        <v>89.715731174347795</v>
      </c>
      <c r="AR135" s="18">
        <v>1.96068474794364E-3</v>
      </c>
      <c r="AS135" s="19">
        <v>97.348716920760495</v>
      </c>
      <c r="AT135" s="18">
        <v>1.5521404558221701E-2</v>
      </c>
      <c r="AU135" s="19">
        <v>77.813836278834103</v>
      </c>
      <c r="AV135" s="18">
        <v>-7.5978807824402797E-3</v>
      </c>
      <c r="AW135" s="19">
        <v>86.396527624614606</v>
      </c>
      <c r="AX135" s="18">
        <v>1.6043768824504302E-2</v>
      </c>
      <c r="AY135" s="19">
        <v>93.133793824401295</v>
      </c>
      <c r="AZ135" s="18">
        <v>8.3625824498803104E-3</v>
      </c>
      <c r="BA135" s="19">
        <v>105.61583687697799</v>
      </c>
      <c r="BB135" s="18">
        <v>-6.9532622056781603E-3</v>
      </c>
      <c r="BC135" s="19">
        <v>101.848747087299</v>
      </c>
      <c r="BD135" s="18">
        <v>-1.4020683252156101E-3</v>
      </c>
      <c r="BE135" s="19">
        <v>96.950863178457197</v>
      </c>
      <c r="BF135" s="18">
        <v>8.2545043681330199E-3</v>
      </c>
      <c r="BG135" s="19"/>
      <c r="BH135" s="18"/>
    </row>
    <row r="136" spans="1:60" x14ac:dyDescent="0.2">
      <c r="A136" s="16">
        <v>2011</v>
      </c>
      <c r="B136" s="16">
        <v>1</v>
      </c>
      <c r="C136" s="19">
        <v>103.36272676998</v>
      </c>
      <c r="D136" s="18">
        <v>5.5878313529162896E-3</v>
      </c>
      <c r="E136" s="19">
        <v>102.892649656952</v>
      </c>
      <c r="F136" s="18">
        <v>5.5368147190544299E-3</v>
      </c>
      <c r="G136" s="19">
        <v>84.531425039930298</v>
      </c>
      <c r="H136" s="18">
        <v>-2.5823632195296899E-2</v>
      </c>
      <c r="I136" s="19">
        <v>91.469785482970295</v>
      </c>
      <c r="J136" s="18">
        <v>-2.9682473091703101E-2</v>
      </c>
      <c r="K136" s="19">
        <v>111.110803488927</v>
      </c>
      <c r="L136" s="18">
        <v>-4.3422204496247202E-2</v>
      </c>
      <c r="M136" s="19">
        <v>139.87463270763101</v>
      </c>
      <c r="N136" s="18">
        <v>-0.14983521144457401</v>
      </c>
      <c r="O136" s="19">
        <v>98.881070337796899</v>
      </c>
      <c r="P136" s="18">
        <v>1.65392631246863E-3</v>
      </c>
      <c r="Q136" s="19">
        <v>72.868409626201995</v>
      </c>
      <c r="R136" s="18">
        <v>1.3723645404493099E-3</v>
      </c>
      <c r="S136" s="19">
        <v>185.651977256766</v>
      </c>
      <c r="T136" s="18">
        <v>0.16760513122083701</v>
      </c>
      <c r="U136" s="19">
        <v>93.0278521083643</v>
      </c>
      <c r="V136" s="18">
        <v>2.08938971382076E-2</v>
      </c>
      <c r="W136" s="19">
        <v>118.208597267915</v>
      </c>
      <c r="X136" s="18">
        <v>3.5201474710389702E-2</v>
      </c>
      <c r="Y136" s="19">
        <v>113.386357243623</v>
      </c>
      <c r="Z136" s="18">
        <v>-2.8142883963403999E-2</v>
      </c>
      <c r="AA136" s="19">
        <v>87.822646316194707</v>
      </c>
      <c r="AB136" s="18">
        <v>1.5020632896818299E-2</v>
      </c>
      <c r="AC136" s="19">
        <v>93.610303984397902</v>
      </c>
      <c r="AD136" s="18">
        <v>1.6728412579289899E-2</v>
      </c>
      <c r="AE136" s="19">
        <v>98.678528808775596</v>
      </c>
      <c r="AF136" s="18">
        <v>2.2797532659628798E-2</v>
      </c>
      <c r="AG136" s="19">
        <v>124.610213512817</v>
      </c>
      <c r="AH136" s="18">
        <v>1.0370196686138001E-3</v>
      </c>
      <c r="AI136" s="19">
        <v>128.79008774176901</v>
      </c>
      <c r="AJ136" s="18">
        <v>-3.2100391266360301E-2</v>
      </c>
      <c r="AK136" s="19">
        <v>135.48386552159801</v>
      </c>
      <c r="AL136" s="18">
        <v>5.4351893651797899E-2</v>
      </c>
      <c r="AM136" s="19">
        <v>90.157334123350907</v>
      </c>
      <c r="AN136" s="18">
        <v>1.0095016358932399E-2</v>
      </c>
      <c r="AO136" s="19">
        <v>96.967100734793902</v>
      </c>
      <c r="AP136" s="18">
        <v>2.1035555122126601E-2</v>
      </c>
      <c r="AQ136" s="19">
        <v>89.677050176183499</v>
      </c>
      <c r="AR136" s="18">
        <v>5.8131813238382303E-3</v>
      </c>
      <c r="AS136" s="19">
        <v>97.718281206220894</v>
      </c>
      <c r="AT136" s="18">
        <v>1.8379631821671301E-2</v>
      </c>
      <c r="AU136" s="19">
        <v>77.606464449897402</v>
      </c>
      <c r="AV136" s="18">
        <v>-8.8445095265740105E-3</v>
      </c>
      <c r="AW136" s="19">
        <v>87.037696617240002</v>
      </c>
      <c r="AX136" s="18">
        <v>1.90592138902443E-2</v>
      </c>
      <c r="AY136" s="19">
        <v>92.899769687169297</v>
      </c>
      <c r="AZ136" s="18">
        <v>5.3209395560744896E-3</v>
      </c>
      <c r="BA136" s="19">
        <v>117.9150408764</v>
      </c>
      <c r="BB136" s="18">
        <v>8.2339114980478599E-3</v>
      </c>
      <c r="BC136" s="19">
        <v>109.467017840216</v>
      </c>
      <c r="BD136" s="18">
        <v>7.8869141230610805E-3</v>
      </c>
      <c r="BE136" s="19">
        <v>97.172623682228604</v>
      </c>
      <c r="BF136" s="18">
        <v>8.6221567862385697E-3</v>
      </c>
      <c r="BG136" s="19"/>
      <c r="BH136" s="18"/>
    </row>
    <row r="137" spans="1:60" x14ac:dyDescent="0.2">
      <c r="A137" s="16">
        <v>2011</v>
      </c>
      <c r="B137" s="16">
        <v>2</v>
      </c>
      <c r="C137" s="19">
        <v>102.943804779705</v>
      </c>
      <c r="D137" s="18">
        <v>1.2005046642134E-3</v>
      </c>
      <c r="E137" s="19">
        <v>102.51777934840599</v>
      </c>
      <c r="F137" s="18">
        <v>-6.9752871844952502E-4</v>
      </c>
      <c r="G137" s="19">
        <v>83.579444789597801</v>
      </c>
      <c r="H137" s="18">
        <v>-3.6428571180213302E-2</v>
      </c>
      <c r="I137" s="19">
        <v>91.012632783418596</v>
      </c>
      <c r="J137" s="18">
        <v>-2.1342114653286701E-2</v>
      </c>
      <c r="K137" s="19">
        <v>108.61325349544801</v>
      </c>
      <c r="L137" s="18">
        <v>-5.9103013359959197E-2</v>
      </c>
      <c r="M137" s="19">
        <v>130.83350906234099</v>
      </c>
      <c r="N137" s="18">
        <v>-0.188788000217849</v>
      </c>
      <c r="O137" s="19">
        <v>98.237725535524902</v>
      </c>
      <c r="P137" s="18">
        <v>-4.1741461539127602E-3</v>
      </c>
      <c r="Q137" s="19">
        <v>69.585326121466494</v>
      </c>
      <c r="R137" s="18">
        <v>-1.7889383324362299E-2</v>
      </c>
      <c r="S137" s="19">
        <v>179.91677075895399</v>
      </c>
      <c r="T137" s="18">
        <v>-4.6581509088419501E-2</v>
      </c>
      <c r="U137" s="19">
        <v>94.175946457815598</v>
      </c>
      <c r="V137" s="18">
        <v>4.0040244660014303E-2</v>
      </c>
      <c r="W137" s="19">
        <v>118.53156943261899</v>
      </c>
      <c r="X137" s="18">
        <v>2.4731793071599801E-2</v>
      </c>
      <c r="Y137" s="19">
        <v>114.285377779051</v>
      </c>
      <c r="Z137" s="18">
        <v>-3.10560936073557E-2</v>
      </c>
      <c r="AA137" s="19">
        <v>87.620823661336601</v>
      </c>
      <c r="AB137" s="18">
        <v>1.6570988071924E-2</v>
      </c>
      <c r="AC137" s="19">
        <v>93.621757326863602</v>
      </c>
      <c r="AD137" s="18">
        <v>1.8659889159405599E-2</v>
      </c>
      <c r="AE137" s="19">
        <v>98.997637729081205</v>
      </c>
      <c r="AF137" s="18">
        <v>2.43137833591873E-2</v>
      </c>
      <c r="AG137" s="19">
        <v>124.51709964206201</v>
      </c>
      <c r="AH137" s="18">
        <v>-4.4243286087347596E-3</v>
      </c>
      <c r="AI137" s="19">
        <v>127.076338627981</v>
      </c>
      <c r="AJ137" s="18">
        <v>-5.1947742157084802E-2</v>
      </c>
      <c r="AK137" s="19">
        <v>137.60053263289899</v>
      </c>
      <c r="AL137" s="18">
        <v>6.7532938968521694E-2</v>
      </c>
      <c r="AM137" s="19">
        <v>90.355865573736395</v>
      </c>
      <c r="AN137" s="18">
        <v>1.0635465889534E-2</v>
      </c>
      <c r="AO137" s="19">
        <v>97.256145576390296</v>
      </c>
      <c r="AP137" s="18">
        <v>1.8704924067998601E-2</v>
      </c>
      <c r="AQ137" s="19">
        <v>89.470725396843406</v>
      </c>
      <c r="AR137" s="18">
        <v>7.77240023571846E-3</v>
      </c>
      <c r="AS137" s="19">
        <v>98.465876929011898</v>
      </c>
      <c r="AT137" s="18">
        <v>1.5920650986892101E-2</v>
      </c>
      <c r="AU137" s="19">
        <v>77.686129131824003</v>
      </c>
      <c r="AV137" s="18">
        <v>-5.4627740833684798E-3</v>
      </c>
      <c r="AW137" s="19">
        <v>87.4460663486946</v>
      </c>
      <c r="AX137" s="18">
        <v>1.8538925572589599E-2</v>
      </c>
      <c r="AY137" s="19">
        <v>92.967120192584105</v>
      </c>
      <c r="AZ137" s="18">
        <v>4.9931883974474499E-3</v>
      </c>
      <c r="BA137" s="19">
        <v>116.245107959512</v>
      </c>
      <c r="BB137" s="18">
        <v>5.47572236963954E-2</v>
      </c>
      <c r="BC137" s="19">
        <v>108.59370483201501</v>
      </c>
      <c r="BD137" s="18">
        <v>3.8722259920925997E-2</v>
      </c>
      <c r="BE137" s="19">
        <v>97.567167633117705</v>
      </c>
      <c r="BF137" s="18">
        <v>1.06843363670148E-2</v>
      </c>
      <c r="BG137" s="19"/>
      <c r="BH137" s="18"/>
    </row>
    <row r="138" spans="1:60" x14ac:dyDescent="0.2">
      <c r="A138" s="16">
        <v>2011</v>
      </c>
      <c r="B138" s="16">
        <v>3</v>
      </c>
      <c r="C138" s="19">
        <v>102.71986344556301</v>
      </c>
      <c r="D138" s="18">
        <v>8.2845147920051999E-4</v>
      </c>
      <c r="E138" s="19">
        <v>102.352801968484</v>
      </c>
      <c r="F138" s="18">
        <v>-6.98428095930126E-4</v>
      </c>
      <c r="G138" s="19">
        <v>79.115771049242099</v>
      </c>
      <c r="H138" s="18">
        <v>-8.5903844001768898E-2</v>
      </c>
      <c r="I138" s="19">
        <v>92.2478942862205</v>
      </c>
      <c r="J138" s="18">
        <v>-1.01427521732733E-2</v>
      </c>
      <c r="K138" s="19">
        <v>106.697945258122</v>
      </c>
      <c r="L138" s="18">
        <v>-6.4689123495415599E-2</v>
      </c>
      <c r="M138" s="19">
        <v>126.37411882191201</v>
      </c>
      <c r="N138" s="18">
        <v>-0.17754101833243399</v>
      </c>
      <c r="O138" s="19">
        <v>97.053316300712495</v>
      </c>
      <c r="P138" s="18">
        <v>-1.8559556014805401E-2</v>
      </c>
      <c r="Q138" s="19">
        <v>73.803688495203303</v>
      </c>
      <c r="R138" s="18">
        <v>1.7602252535254801E-2</v>
      </c>
      <c r="S138" s="19">
        <v>172.99838363288501</v>
      </c>
      <c r="T138" s="18">
        <v>1.0230416787628401E-2</v>
      </c>
      <c r="U138" s="19">
        <v>95.3714624658936</v>
      </c>
      <c r="V138" s="18">
        <v>4.9023643614633003E-2</v>
      </c>
      <c r="W138" s="19">
        <v>117.441914738843</v>
      </c>
      <c r="X138" s="18">
        <v>1.1642769768545299E-2</v>
      </c>
      <c r="Y138" s="19">
        <v>110.56745342418</v>
      </c>
      <c r="Z138" s="18">
        <v>-3.1176640698294199E-2</v>
      </c>
      <c r="AA138" s="19">
        <v>88.709145238630498</v>
      </c>
      <c r="AB138" s="18">
        <v>3.3398886033616099E-2</v>
      </c>
      <c r="AC138" s="19">
        <v>94.084745752206601</v>
      </c>
      <c r="AD138" s="18">
        <v>2.2997182934846299E-2</v>
      </c>
      <c r="AE138" s="19">
        <v>99.725526546460898</v>
      </c>
      <c r="AF138" s="18">
        <v>2.8169314278630099E-2</v>
      </c>
      <c r="AG138" s="19">
        <v>124.99299096206001</v>
      </c>
      <c r="AH138" s="18">
        <v>6.33174157750949E-3</v>
      </c>
      <c r="AI138" s="19">
        <v>126.89950753244101</v>
      </c>
      <c r="AJ138" s="18">
        <v>-3.3864479339477699E-2</v>
      </c>
      <c r="AK138" s="19">
        <v>138.79813482776299</v>
      </c>
      <c r="AL138" s="18">
        <v>6.7242661955520394E-2</v>
      </c>
      <c r="AM138" s="19">
        <v>90.463078757678602</v>
      </c>
      <c r="AN138" s="18">
        <v>1.34386047352215E-2</v>
      </c>
      <c r="AO138" s="19">
        <v>97.519077718313497</v>
      </c>
      <c r="AP138" s="18">
        <v>1.5984036642125801E-2</v>
      </c>
      <c r="AQ138" s="19">
        <v>89.938471470971805</v>
      </c>
      <c r="AR138" s="18">
        <v>1.02698777354289E-2</v>
      </c>
      <c r="AS138" s="19">
        <v>99.170844488133497</v>
      </c>
      <c r="AT138" s="18">
        <v>2.0483395954533599E-2</v>
      </c>
      <c r="AU138" s="19">
        <v>78.336375694539498</v>
      </c>
      <c r="AV138" s="18">
        <v>5.2709667132135899E-3</v>
      </c>
      <c r="AW138" s="19">
        <v>87.928131509499394</v>
      </c>
      <c r="AX138" s="18">
        <v>2.0312963448426698E-2</v>
      </c>
      <c r="AY138" s="19">
        <v>92.795538779750601</v>
      </c>
      <c r="AZ138" s="18">
        <v>2.6607206308160202E-3</v>
      </c>
      <c r="BA138" s="19">
        <v>114.292333381007</v>
      </c>
      <c r="BB138" s="18">
        <v>4.4518253494644701E-2</v>
      </c>
      <c r="BC138" s="19">
        <v>107.623660614364</v>
      </c>
      <c r="BD138" s="18">
        <v>3.3487159419358203E-2</v>
      </c>
      <c r="BE138" s="19">
        <v>98.143051088649898</v>
      </c>
      <c r="BF138" s="18">
        <v>1.4517464991970401E-2</v>
      </c>
      <c r="BG138" s="19"/>
      <c r="BH138" s="18"/>
    </row>
    <row r="139" spans="1:60" x14ac:dyDescent="0.2">
      <c r="A139" s="16">
        <v>2011</v>
      </c>
      <c r="B139" s="16">
        <v>4</v>
      </c>
      <c r="C139" s="19">
        <v>102.52311693179701</v>
      </c>
      <c r="D139" s="18">
        <v>-3.21144644162763E-3</v>
      </c>
      <c r="E139" s="19">
        <v>102.53823240200801</v>
      </c>
      <c r="F139" s="18">
        <v>-2.3533695157375001E-3</v>
      </c>
      <c r="G139" s="19">
        <v>78.643933873529505</v>
      </c>
      <c r="H139" s="18">
        <v>-7.9678663419024603E-2</v>
      </c>
      <c r="I139" s="19">
        <v>90.288887495154498</v>
      </c>
      <c r="J139" s="18">
        <v>-2.4902041264880902E-2</v>
      </c>
      <c r="K139" s="19">
        <v>107.24061715178</v>
      </c>
      <c r="L139" s="18">
        <v>-4.7723202942376197E-2</v>
      </c>
      <c r="M139" s="19">
        <v>133.22892690955001</v>
      </c>
      <c r="N139" s="18">
        <v>-9.8096407416665393E-2</v>
      </c>
      <c r="O139" s="19">
        <v>95.547589408239503</v>
      </c>
      <c r="P139" s="18">
        <v>-2.8548747256679399E-2</v>
      </c>
      <c r="Q139" s="19">
        <v>74.742791005704106</v>
      </c>
      <c r="R139" s="18">
        <v>3.2568883730808001E-3</v>
      </c>
      <c r="S139" s="19">
        <v>166.54830667684499</v>
      </c>
      <c r="T139" s="18">
        <v>-2.9833044383076001E-2</v>
      </c>
      <c r="U139" s="19">
        <v>95.864936808555697</v>
      </c>
      <c r="V139" s="18">
        <v>4.29495161771229E-2</v>
      </c>
      <c r="W139" s="19">
        <v>117.14507195618999</v>
      </c>
      <c r="X139" s="18">
        <v>-8.3627581305989497E-3</v>
      </c>
      <c r="Y139" s="19">
        <v>109.5211506544</v>
      </c>
      <c r="Z139" s="18">
        <v>-5.3370981557394698E-2</v>
      </c>
      <c r="AA139" s="19">
        <v>85.569091409647001</v>
      </c>
      <c r="AB139" s="18">
        <v>-8.2764646240147694E-3</v>
      </c>
      <c r="AC139" s="19">
        <v>93.874028092119602</v>
      </c>
      <c r="AD139" s="18">
        <v>2.0361768531350601E-2</v>
      </c>
      <c r="AE139" s="19">
        <v>99.959672935423896</v>
      </c>
      <c r="AF139" s="18">
        <v>2.0669330695641801E-2</v>
      </c>
      <c r="AG139" s="19">
        <v>125.737986296626</v>
      </c>
      <c r="AH139" s="18">
        <v>1.3121914002294901E-2</v>
      </c>
      <c r="AI139" s="19">
        <v>128.08687490647301</v>
      </c>
      <c r="AJ139" s="18">
        <v>-1.47537790804646E-2</v>
      </c>
      <c r="AK139" s="19">
        <v>139.26269923978199</v>
      </c>
      <c r="AL139" s="18">
        <v>5.3810290278538897E-2</v>
      </c>
      <c r="AM139" s="19">
        <v>90.811204855839094</v>
      </c>
      <c r="AN139" s="18">
        <v>1.45279027581633E-2</v>
      </c>
      <c r="AO139" s="19">
        <v>97.652764430085796</v>
      </c>
      <c r="AP139" s="18">
        <v>1.2745846766156499E-2</v>
      </c>
      <c r="AQ139" s="19">
        <v>91.130133004212098</v>
      </c>
      <c r="AR139" s="18">
        <v>1.5765371483354801E-2</v>
      </c>
      <c r="AS139" s="19">
        <v>100.282064063126</v>
      </c>
      <c r="AT139" s="18">
        <v>3.0132365737835402E-2</v>
      </c>
      <c r="AU139" s="19">
        <v>78.671555904966496</v>
      </c>
      <c r="AV139" s="18">
        <v>1.1022713532062901E-2</v>
      </c>
      <c r="AW139" s="19">
        <v>88.339229378831504</v>
      </c>
      <c r="AX139" s="18">
        <v>2.2485877703994898E-2</v>
      </c>
      <c r="AY139" s="19">
        <v>91.942668330548798</v>
      </c>
      <c r="AZ139" s="18">
        <v>-1.27894016225557E-2</v>
      </c>
      <c r="BA139" s="19">
        <v>102.282273238203</v>
      </c>
      <c r="BB139" s="18">
        <v>-3.1563103956248201E-2</v>
      </c>
      <c r="BC139" s="19">
        <v>100.785157974185</v>
      </c>
      <c r="BD139" s="18">
        <v>-1.0442829622661401E-2</v>
      </c>
      <c r="BE139" s="19">
        <v>98.9111709638142</v>
      </c>
      <c r="BF139" s="18">
        <v>2.02196011576374E-2</v>
      </c>
      <c r="BG139" s="19"/>
      <c r="BH139" s="18"/>
    </row>
    <row r="140" spans="1:60" x14ac:dyDescent="0.2">
      <c r="A140" s="16">
        <v>2012</v>
      </c>
      <c r="B140" s="16">
        <v>1</v>
      </c>
      <c r="C140" s="19">
        <v>103.41504760811701</v>
      </c>
      <c r="D140" s="18">
        <v>5.0618670551272305E-4</v>
      </c>
      <c r="E140" s="19">
        <v>102.853801731245</v>
      </c>
      <c r="F140" s="18">
        <v>-3.7755783174431301E-4</v>
      </c>
      <c r="G140" s="19">
        <v>77.745942849686401</v>
      </c>
      <c r="H140" s="18">
        <v>-8.0271711816506802E-2</v>
      </c>
      <c r="I140" s="19">
        <v>87.2872432692307</v>
      </c>
      <c r="J140" s="18">
        <v>-4.5725943180639501E-2</v>
      </c>
      <c r="K140" s="19">
        <v>109.03301603612699</v>
      </c>
      <c r="L140" s="18">
        <v>-1.8700138848401701E-2</v>
      </c>
      <c r="M140" s="19">
        <v>136.148629261829</v>
      </c>
      <c r="N140" s="18">
        <v>-2.6638164288091699E-2</v>
      </c>
      <c r="O140" s="19">
        <v>97.227692312295503</v>
      </c>
      <c r="P140" s="18">
        <v>-1.6720875086132399E-2</v>
      </c>
      <c r="Q140" s="19">
        <v>74.068540204663705</v>
      </c>
      <c r="R140" s="18">
        <v>1.64698335618703E-2</v>
      </c>
      <c r="S140" s="19">
        <v>167.464545995343</v>
      </c>
      <c r="T140" s="18">
        <v>-9.7965190191693002E-2</v>
      </c>
      <c r="U140" s="19">
        <v>94.8484727442777</v>
      </c>
      <c r="V140" s="18">
        <v>1.95707048443148E-2</v>
      </c>
      <c r="W140" s="19">
        <v>115.72385963400301</v>
      </c>
      <c r="X140" s="18">
        <v>-2.10199401002991E-2</v>
      </c>
      <c r="Y140" s="19">
        <v>107.442464186387</v>
      </c>
      <c r="Z140" s="18">
        <v>-5.2421589349278097E-2</v>
      </c>
      <c r="AA140" s="19">
        <v>86.045250689861405</v>
      </c>
      <c r="AB140" s="18">
        <v>-2.0238465827299899E-2</v>
      </c>
      <c r="AC140" s="19">
        <v>94.654378726596804</v>
      </c>
      <c r="AD140" s="18">
        <v>1.1153416854334601E-2</v>
      </c>
      <c r="AE140" s="19">
        <v>99.778369647352704</v>
      </c>
      <c r="AF140" s="18">
        <v>1.1145695541412599E-2</v>
      </c>
      <c r="AG140" s="19">
        <v>125.501996535521</v>
      </c>
      <c r="AH140" s="18">
        <v>7.1565804885873599E-3</v>
      </c>
      <c r="AI140" s="19">
        <v>127.71647309754999</v>
      </c>
      <c r="AJ140" s="18">
        <v>-8.3361589625701206E-3</v>
      </c>
      <c r="AK140" s="19">
        <v>139.09184299037901</v>
      </c>
      <c r="AL140" s="18">
        <v>2.6630310959101101E-2</v>
      </c>
      <c r="AM140" s="19">
        <v>91.381655471571804</v>
      </c>
      <c r="AN140" s="18">
        <v>1.35798308604138E-2</v>
      </c>
      <c r="AO140" s="19">
        <v>97.730689047217794</v>
      </c>
      <c r="AP140" s="18">
        <v>7.8747153069205194E-3</v>
      </c>
      <c r="AQ140" s="19">
        <v>91.840711297925296</v>
      </c>
      <c r="AR140" s="18">
        <v>2.4127255719172101E-2</v>
      </c>
      <c r="AS140" s="19">
        <v>101.64985589332601</v>
      </c>
      <c r="AT140" s="18">
        <v>4.0233768324357898E-2</v>
      </c>
      <c r="AU140" s="19">
        <v>78.670943908812305</v>
      </c>
      <c r="AV140" s="18">
        <v>1.3716376160934201E-2</v>
      </c>
      <c r="AW140" s="19">
        <v>88.553265662601405</v>
      </c>
      <c r="AX140" s="18">
        <v>1.7412788989882501E-2</v>
      </c>
      <c r="AY140" s="19">
        <v>93.134274360064794</v>
      </c>
      <c r="AZ140" s="18">
        <v>2.5242761492860798E-3</v>
      </c>
      <c r="BA140" s="19">
        <v>121.091218018597</v>
      </c>
      <c r="BB140" s="18">
        <v>2.69361492697693E-2</v>
      </c>
      <c r="BC140" s="19">
        <v>112.306016188559</v>
      </c>
      <c r="BD140" s="18">
        <v>2.5934737278469299E-2</v>
      </c>
      <c r="BE140" s="19">
        <v>99.885020333472298</v>
      </c>
      <c r="BF140" s="18">
        <v>2.7913177070463899E-2</v>
      </c>
      <c r="BG140" s="19"/>
      <c r="BH140" s="18"/>
    </row>
    <row r="141" spans="1:60" x14ac:dyDescent="0.2">
      <c r="A141" s="16">
        <v>2012</v>
      </c>
      <c r="B141" s="16">
        <v>2</v>
      </c>
      <c r="C141" s="19">
        <v>103.130528158357</v>
      </c>
      <c r="D141" s="18">
        <v>1.81383793858836E-3</v>
      </c>
      <c r="E141" s="19">
        <v>102.918142127739</v>
      </c>
      <c r="F141" s="18">
        <v>3.90530093294017E-3</v>
      </c>
      <c r="G141" s="19">
        <v>79.819684166335705</v>
      </c>
      <c r="H141" s="18">
        <v>-4.4984273737722097E-2</v>
      </c>
      <c r="I141" s="19">
        <v>87.589410109789895</v>
      </c>
      <c r="J141" s="18">
        <v>-3.7612610128255203E-2</v>
      </c>
      <c r="K141" s="19">
        <v>109.251056409146</v>
      </c>
      <c r="L141" s="18">
        <v>5.8722383610847499E-3</v>
      </c>
      <c r="M141" s="19">
        <v>139.113486308148</v>
      </c>
      <c r="N141" s="18">
        <v>6.3286365283234502E-2</v>
      </c>
      <c r="O141" s="19">
        <v>96.762696177697094</v>
      </c>
      <c r="P141" s="18">
        <v>-1.50148972788908E-2</v>
      </c>
      <c r="Q141" s="19">
        <v>71.121965041138495</v>
      </c>
      <c r="R141" s="18">
        <v>2.2082801149623198E-2</v>
      </c>
      <c r="S141" s="19">
        <v>162.796797357418</v>
      </c>
      <c r="T141" s="18">
        <v>-9.5154961537590593E-2</v>
      </c>
      <c r="U141" s="19">
        <v>94.778887486425702</v>
      </c>
      <c r="V141" s="18">
        <v>6.4022826559029201E-3</v>
      </c>
      <c r="W141" s="19">
        <v>115.71167658508099</v>
      </c>
      <c r="X141" s="18">
        <v>-2.3790226190681499E-2</v>
      </c>
      <c r="Y141" s="19">
        <v>108.434599691511</v>
      </c>
      <c r="Z141" s="18">
        <v>-5.1194459004642298E-2</v>
      </c>
      <c r="AA141" s="19">
        <v>87.645164676885599</v>
      </c>
      <c r="AB141" s="18">
        <v>2.77799437757409E-4</v>
      </c>
      <c r="AC141" s="19">
        <v>94.643727516033593</v>
      </c>
      <c r="AD141" s="18">
        <v>1.09159475142298E-2</v>
      </c>
      <c r="AE141" s="19">
        <v>99.7881554006578</v>
      </c>
      <c r="AF141" s="18">
        <v>7.98521752347248E-3</v>
      </c>
      <c r="AG141" s="19">
        <v>124.37131267685901</v>
      </c>
      <c r="AH141" s="18">
        <v>-1.17081883228909E-3</v>
      </c>
      <c r="AI141" s="19">
        <v>125.80674208098699</v>
      </c>
      <c r="AJ141" s="18">
        <v>-9.9908178084261393E-3</v>
      </c>
      <c r="AK141" s="19">
        <v>138.40669665358399</v>
      </c>
      <c r="AL141" s="18">
        <v>5.8587274719090797E-3</v>
      </c>
      <c r="AM141" s="19">
        <v>91.730887215063305</v>
      </c>
      <c r="AN141" s="18">
        <v>1.52178459317038E-2</v>
      </c>
      <c r="AO141" s="19">
        <v>97.808123024577199</v>
      </c>
      <c r="AP141" s="18">
        <v>5.6755019944043604E-3</v>
      </c>
      <c r="AQ141" s="19">
        <v>91.734985690724699</v>
      </c>
      <c r="AR141" s="18">
        <v>2.53072754673467E-2</v>
      </c>
      <c r="AS141" s="19">
        <v>102.47130267156599</v>
      </c>
      <c r="AT141" s="18">
        <v>4.06783128072035E-2</v>
      </c>
      <c r="AU141" s="19">
        <v>79.154238798159099</v>
      </c>
      <c r="AV141" s="18">
        <v>1.8897963931808801E-2</v>
      </c>
      <c r="AW141" s="19">
        <v>88.739232263278893</v>
      </c>
      <c r="AX141" s="18">
        <v>1.4788154214139501E-2</v>
      </c>
      <c r="AY141" s="19">
        <v>93.074709655017102</v>
      </c>
      <c r="AZ141" s="18">
        <v>1.1572850940215801E-3</v>
      </c>
      <c r="BA141" s="19">
        <v>109.840516967759</v>
      </c>
      <c r="BB141" s="18">
        <v>-5.5095574378784401E-2</v>
      </c>
      <c r="BC141" s="19">
        <v>106.064437524311</v>
      </c>
      <c r="BD141" s="18">
        <v>-2.32911043196883E-2</v>
      </c>
      <c r="BE141" s="19">
        <v>100.654374690445</v>
      </c>
      <c r="BF141" s="18">
        <v>3.1641864084201103E-2</v>
      </c>
      <c r="BG141" s="19"/>
      <c r="BH141" s="18"/>
    </row>
    <row r="142" spans="1:60" x14ac:dyDescent="0.2">
      <c r="A142" s="16">
        <v>2012</v>
      </c>
      <c r="B142" s="16">
        <v>3</v>
      </c>
      <c r="C142" s="19">
        <v>102.94899120490599</v>
      </c>
      <c r="D142" s="18">
        <v>2.2306080991263402E-3</v>
      </c>
      <c r="E142" s="19">
        <v>102.99060357397499</v>
      </c>
      <c r="F142" s="18">
        <v>6.2314034713726301E-3</v>
      </c>
      <c r="G142" s="19">
        <v>79.886889603668394</v>
      </c>
      <c r="H142" s="18">
        <v>9.7467109806257408E-3</v>
      </c>
      <c r="I142" s="19">
        <v>86.500399365452793</v>
      </c>
      <c r="J142" s="18">
        <v>-6.2304890157543799E-2</v>
      </c>
      <c r="K142" s="19">
        <v>110.40583337285599</v>
      </c>
      <c r="L142" s="18">
        <v>3.4751260727317303E-2</v>
      </c>
      <c r="M142" s="19">
        <v>141.14972684423</v>
      </c>
      <c r="N142" s="18">
        <v>0.11691957309027901</v>
      </c>
      <c r="O142" s="19">
        <v>97.584128643911299</v>
      </c>
      <c r="P142" s="18">
        <v>5.4692859907443702E-3</v>
      </c>
      <c r="Q142" s="19">
        <v>73.250018266015402</v>
      </c>
      <c r="R142" s="18">
        <v>-7.5019316849433996E-3</v>
      </c>
      <c r="S142" s="19">
        <v>154.21999018932999</v>
      </c>
      <c r="T142" s="18">
        <v>-0.108546641010262</v>
      </c>
      <c r="U142" s="19">
        <v>94.692840767188898</v>
      </c>
      <c r="V142" s="18">
        <v>-7.1155635151073397E-3</v>
      </c>
      <c r="W142" s="19">
        <v>114.778121659299</v>
      </c>
      <c r="X142" s="18">
        <v>-2.2681791977485499E-2</v>
      </c>
      <c r="Y142" s="19">
        <v>105.81294916539601</v>
      </c>
      <c r="Z142" s="18">
        <v>-4.30009384456412E-2</v>
      </c>
      <c r="AA142" s="19">
        <v>86.999764838091295</v>
      </c>
      <c r="AB142" s="18">
        <v>-1.9269494660791298E-2</v>
      </c>
      <c r="AC142" s="19">
        <v>94.249080658798604</v>
      </c>
      <c r="AD142" s="18">
        <v>1.74666897676357E-3</v>
      </c>
      <c r="AE142" s="19">
        <v>99.687343039743595</v>
      </c>
      <c r="AF142" s="18">
        <v>-3.8288598756608399E-4</v>
      </c>
      <c r="AG142" s="19">
        <v>122.90733140299101</v>
      </c>
      <c r="AH142" s="18">
        <v>-1.6686212106902201E-2</v>
      </c>
      <c r="AI142" s="19">
        <v>123.630292845509</v>
      </c>
      <c r="AJ142" s="18">
        <v>-2.5762233049617701E-2</v>
      </c>
      <c r="AK142" s="19">
        <v>137.168113236647</v>
      </c>
      <c r="AL142" s="18">
        <v>-1.1743829217439199E-2</v>
      </c>
      <c r="AM142" s="19">
        <v>92.058511528344297</v>
      </c>
      <c r="AN142" s="18">
        <v>1.7636286456039499E-2</v>
      </c>
      <c r="AO142" s="19">
        <v>98.007633957980403</v>
      </c>
      <c r="AP142" s="18">
        <v>5.0098529549069699E-3</v>
      </c>
      <c r="AQ142" s="19">
        <v>92.137486074087505</v>
      </c>
      <c r="AR142" s="18">
        <v>2.44502109848008E-2</v>
      </c>
      <c r="AS142" s="19">
        <v>103.038513438207</v>
      </c>
      <c r="AT142" s="18">
        <v>3.9000060653276797E-2</v>
      </c>
      <c r="AU142" s="19">
        <v>80.4158549864256</v>
      </c>
      <c r="AV142" s="18">
        <v>2.6545513159744499E-2</v>
      </c>
      <c r="AW142" s="19">
        <v>88.9801068054458</v>
      </c>
      <c r="AX142" s="18">
        <v>1.1964035603699401E-2</v>
      </c>
      <c r="AY142" s="19">
        <v>92.858897092050697</v>
      </c>
      <c r="AZ142" s="18">
        <v>6.8277325756493901E-4</v>
      </c>
      <c r="BA142" s="19">
        <v>101.543586022349</v>
      </c>
      <c r="BB142" s="18">
        <v>-0.111545079022566</v>
      </c>
      <c r="BC142" s="19">
        <v>101.505871719007</v>
      </c>
      <c r="BD142" s="18">
        <v>-5.6844274394996799E-2</v>
      </c>
      <c r="BE142" s="19">
        <v>101.20533928150699</v>
      </c>
      <c r="BF142" s="18">
        <v>3.1202292560595001E-2</v>
      </c>
      <c r="BG142" s="19"/>
      <c r="BH142" s="18"/>
    </row>
    <row r="143" spans="1:60" x14ac:dyDescent="0.2">
      <c r="A143" s="16">
        <v>2012</v>
      </c>
      <c r="B143" s="16">
        <v>4</v>
      </c>
      <c r="C143" s="19">
        <v>102.885005600136</v>
      </c>
      <c r="D143" s="18">
        <v>3.5298250694006899E-3</v>
      </c>
      <c r="E143" s="19">
        <v>102.887059760862</v>
      </c>
      <c r="F143" s="18">
        <v>3.4019248302079599E-3</v>
      </c>
      <c r="G143" s="19">
        <v>83.361919383838895</v>
      </c>
      <c r="H143" s="18">
        <v>5.9991728260905902E-2</v>
      </c>
      <c r="I143" s="19">
        <v>86.207342826836495</v>
      </c>
      <c r="J143" s="18">
        <v>-4.5205393283166598E-2</v>
      </c>
      <c r="K143" s="19">
        <v>110.241370317109</v>
      </c>
      <c r="L143" s="18">
        <v>2.7981498475362999E-2</v>
      </c>
      <c r="M143" s="19">
        <v>139.78650019909099</v>
      </c>
      <c r="N143" s="18">
        <v>4.9220341570365603E-2</v>
      </c>
      <c r="O143" s="19">
        <v>97.803154060330897</v>
      </c>
      <c r="P143" s="18">
        <v>2.3606714371978001E-2</v>
      </c>
      <c r="Q143" s="19">
        <v>74.181498783015996</v>
      </c>
      <c r="R143" s="18">
        <v>-7.5096502971812003E-3</v>
      </c>
      <c r="S143" s="19">
        <v>152.486764093056</v>
      </c>
      <c r="T143" s="18">
        <v>-8.4429213748015597E-2</v>
      </c>
      <c r="U143" s="19">
        <v>94.745581267059904</v>
      </c>
      <c r="V143" s="18">
        <v>-1.16763811541555E-2</v>
      </c>
      <c r="W143" s="19">
        <v>114.201608256295</v>
      </c>
      <c r="X143" s="18">
        <v>-2.51266540772257E-2</v>
      </c>
      <c r="Y143" s="19">
        <v>105.751095909222</v>
      </c>
      <c r="Z143" s="18">
        <v>-3.4423074654085298E-2</v>
      </c>
      <c r="AA143" s="19">
        <v>88.317123102603801</v>
      </c>
      <c r="AB143" s="18">
        <v>3.21147700377118E-2</v>
      </c>
      <c r="AC143" s="19">
        <v>94.042704719006593</v>
      </c>
      <c r="AD143" s="18">
        <v>1.79684019440884E-3</v>
      </c>
      <c r="AE143" s="19">
        <v>99.418741971565694</v>
      </c>
      <c r="AF143" s="18">
        <v>-5.4114919344292502E-3</v>
      </c>
      <c r="AG143" s="19">
        <v>121.058937605078</v>
      </c>
      <c r="AH143" s="18">
        <v>-3.7212689890785099E-2</v>
      </c>
      <c r="AI143" s="19">
        <v>121.1940423663</v>
      </c>
      <c r="AJ143" s="18">
        <v>-5.3813730292085998E-2</v>
      </c>
      <c r="AK143" s="19">
        <v>135.27231216365499</v>
      </c>
      <c r="AL143" s="18">
        <v>-2.86536674781603E-2</v>
      </c>
      <c r="AM143" s="19">
        <v>92.472426218234204</v>
      </c>
      <c r="AN143" s="18">
        <v>1.8293132053828199E-2</v>
      </c>
      <c r="AO143" s="19">
        <v>98.231320781967398</v>
      </c>
      <c r="AP143" s="18">
        <v>5.92462850650577E-3</v>
      </c>
      <c r="AQ143" s="19">
        <v>92.880779102199895</v>
      </c>
      <c r="AR143" s="18">
        <v>1.9210397705738499E-2</v>
      </c>
      <c r="AS143" s="19">
        <v>103.20747337844099</v>
      </c>
      <c r="AT143" s="18">
        <v>2.9171809960691499E-2</v>
      </c>
      <c r="AU143" s="19">
        <v>81.327436647086898</v>
      </c>
      <c r="AV143" s="18">
        <v>3.3759097701444099E-2</v>
      </c>
      <c r="AW143" s="19">
        <v>89.050098363030898</v>
      </c>
      <c r="AX143" s="18">
        <v>8.0470362849891508E-3</v>
      </c>
      <c r="AY143" s="19">
        <v>92.876663398913195</v>
      </c>
      <c r="AZ143" s="18">
        <v>1.0158450753317399E-2</v>
      </c>
      <c r="BA143" s="19">
        <v>102.756340911333</v>
      </c>
      <c r="BB143" s="18">
        <v>4.6348957460631297E-3</v>
      </c>
      <c r="BC143" s="19">
        <v>102.278688596287</v>
      </c>
      <c r="BD143" s="18">
        <v>1.48189540218218E-2</v>
      </c>
      <c r="BE143" s="19">
        <v>101.527124854642</v>
      </c>
      <c r="BF143" s="18">
        <v>2.6447507044324199E-2</v>
      </c>
      <c r="BG143" s="19"/>
      <c r="BH143" s="18"/>
    </row>
    <row r="144" spans="1:60" x14ac:dyDescent="0.2">
      <c r="A144" s="16">
        <v>2013</v>
      </c>
      <c r="B144" s="16">
        <v>1</v>
      </c>
      <c r="C144" s="19">
        <v>103.21894420922</v>
      </c>
      <c r="D144" s="18">
        <v>-1.8962752851959799E-3</v>
      </c>
      <c r="E144" s="19">
        <v>102.882077007573</v>
      </c>
      <c r="F144" s="18">
        <v>2.7490744971969699E-4</v>
      </c>
      <c r="G144" s="19">
        <v>87.922440886889902</v>
      </c>
      <c r="H144" s="18">
        <v>0.130894264886319</v>
      </c>
      <c r="I144" s="19">
        <v>87.384857144199501</v>
      </c>
      <c r="J144" s="18">
        <v>1.1183063104383E-3</v>
      </c>
      <c r="K144" s="19">
        <v>110.075947885739</v>
      </c>
      <c r="L144" s="18">
        <v>9.5652847873781699E-3</v>
      </c>
      <c r="M144" s="19">
        <v>138.28354063279701</v>
      </c>
      <c r="N144" s="18">
        <v>1.5680740838472301E-2</v>
      </c>
      <c r="O144" s="19">
        <v>97.983459540395998</v>
      </c>
      <c r="P144" s="18">
        <v>7.7731684268813597E-3</v>
      </c>
      <c r="Q144" s="19">
        <v>72.434495662279602</v>
      </c>
      <c r="R144" s="18">
        <v>-2.2061249457177998E-2</v>
      </c>
      <c r="S144" s="19">
        <v>154.70459476525801</v>
      </c>
      <c r="T144" s="18">
        <v>-7.6194941169457506E-2</v>
      </c>
      <c r="U144" s="19">
        <v>94.963252354730102</v>
      </c>
      <c r="V144" s="18">
        <v>1.21013662246106E-3</v>
      </c>
      <c r="W144" s="19">
        <v>113.376333534681</v>
      </c>
      <c r="X144" s="18">
        <v>-2.0285584206636301E-2</v>
      </c>
      <c r="Y144" s="19">
        <v>103.73973988782301</v>
      </c>
      <c r="Z144" s="18">
        <v>-3.4462391816894103E-2</v>
      </c>
      <c r="AA144" s="19">
        <v>90.841035796246302</v>
      </c>
      <c r="AB144" s="18">
        <v>5.5735616642813603E-2</v>
      </c>
      <c r="AC144" s="19">
        <v>95.320691397604094</v>
      </c>
      <c r="AD144" s="18">
        <v>7.0394278634682301E-3</v>
      </c>
      <c r="AE144" s="19">
        <v>99.409676944409497</v>
      </c>
      <c r="AF144" s="18">
        <v>-3.6951165292273798E-3</v>
      </c>
      <c r="AG144" s="19">
        <v>119.174765113378</v>
      </c>
      <c r="AH144" s="18">
        <v>-5.0415384589937003E-2</v>
      </c>
      <c r="AI144" s="19">
        <v>119.23043879295599</v>
      </c>
      <c r="AJ144" s="18">
        <v>-6.6444320758154193E-2</v>
      </c>
      <c r="AK144" s="19">
        <v>132.538621810546</v>
      </c>
      <c r="AL144" s="18">
        <v>-4.7114345736906899E-2</v>
      </c>
      <c r="AM144" s="19">
        <v>93.170146781614704</v>
      </c>
      <c r="AN144" s="18">
        <v>1.9571666772871098E-2</v>
      </c>
      <c r="AO144" s="19">
        <v>98.553386250985099</v>
      </c>
      <c r="AP144" s="18">
        <v>8.41800269483217E-3</v>
      </c>
      <c r="AQ144" s="19">
        <v>92.477030563072603</v>
      </c>
      <c r="AR144" s="18">
        <v>6.9285097660352103E-3</v>
      </c>
      <c r="AS144" s="19">
        <v>103.043639895117</v>
      </c>
      <c r="AT144" s="18">
        <v>1.37116180789605E-2</v>
      </c>
      <c r="AU144" s="19">
        <v>81.773360358608699</v>
      </c>
      <c r="AV144" s="18">
        <v>3.9435353075112103E-2</v>
      </c>
      <c r="AW144" s="19">
        <v>89.080523757997597</v>
      </c>
      <c r="AX144" s="18">
        <v>5.9541349655596303E-3</v>
      </c>
      <c r="AY144" s="19">
        <v>93.489270267095606</v>
      </c>
      <c r="AZ144" s="18">
        <v>3.8116569809569802E-3</v>
      </c>
      <c r="BA144" s="19">
        <v>113.93465448946201</v>
      </c>
      <c r="BB144" s="18">
        <v>-5.9100599087513001E-2</v>
      </c>
      <c r="BC144" s="19">
        <v>108.830050900545</v>
      </c>
      <c r="BD144" s="18">
        <v>-3.0950837773272601E-2</v>
      </c>
      <c r="BE144" s="19">
        <v>101.61279016557199</v>
      </c>
      <c r="BF144" s="18">
        <v>1.7297587028885199E-2</v>
      </c>
      <c r="BG144" s="19"/>
      <c r="BH144" s="18"/>
    </row>
    <row r="145" spans="1:60" x14ac:dyDescent="0.2">
      <c r="A145" s="16">
        <v>2013</v>
      </c>
      <c r="B145" s="16">
        <v>2</v>
      </c>
      <c r="C145" s="19">
        <v>103.29172180254101</v>
      </c>
      <c r="D145" s="18">
        <v>1.56300609589999E-3</v>
      </c>
      <c r="E145" s="19">
        <v>102.921377947606</v>
      </c>
      <c r="F145" s="18">
        <v>3.14407139530015E-5</v>
      </c>
      <c r="G145" s="19">
        <v>90.199535046507094</v>
      </c>
      <c r="H145" s="18">
        <v>0.13004124218959401</v>
      </c>
      <c r="I145" s="19">
        <v>87.327920150113897</v>
      </c>
      <c r="J145" s="18">
        <v>-2.9854061050090799E-3</v>
      </c>
      <c r="K145" s="19">
        <v>109.934331783307</v>
      </c>
      <c r="L145" s="18">
        <v>6.2541763587395903E-3</v>
      </c>
      <c r="M145" s="19">
        <v>136.59694741976099</v>
      </c>
      <c r="N145" s="18">
        <v>-1.8089826911626101E-2</v>
      </c>
      <c r="O145" s="19">
        <v>98.277676301550102</v>
      </c>
      <c r="P145" s="18">
        <v>1.5656654720232799E-2</v>
      </c>
      <c r="Q145" s="19">
        <v>72.326718690827903</v>
      </c>
      <c r="R145" s="18">
        <v>1.6939262701649398E-2</v>
      </c>
      <c r="S145" s="19">
        <v>150.79671167687101</v>
      </c>
      <c r="T145" s="18">
        <v>-7.3712050085364605E-2</v>
      </c>
      <c r="U145" s="19">
        <v>95.378815203163001</v>
      </c>
      <c r="V145" s="18">
        <v>6.3297611171388999E-3</v>
      </c>
      <c r="W145" s="19">
        <v>113.279476600786</v>
      </c>
      <c r="X145" s="18">
        <v>-2.10194861579601E-2</v>
      </c>
      <c r="Y145" s="19">
        <v>104.91935478078101</v>
      </c>
      <c r="Z145" s="18">
        <v>-3.2418111200027903E-2</v>
      </c>
      <c r="AA145" s="19">
        <v>90.925265870116704</v>
      </c>
      <c r="AB145" s="18">
        <v>3.7424782135141901E-2</v>
      </c>
      <c r="AC145" s="19">
        <v>95.414141777348107</v>
      </c>
      <c r="AD145" s="18">
        <v>8.1401512972325597E-3</v>
      </c>
      <c r="AE145" s="19">
        <v>99.358463932975894</v>
      </c>
      <c r="AF145" s="18">
        <v>-4.3060367831901898E-3</v>
      </c>
      <c r="AG145" s="19">
        <v>118.56503436814</v>
      </c>
      <c r="AH145" s="18">
        <v>-4.6685028755829999E-2</v>
      </c>
      <c r="AI145" s="19">
        <v>119.616050088883</v>
      </c>
      <c r="AJ145" s="18">
        <v>-4.9207950938900603E-2</v>
      </c>
      <c r="AK145" s="19">
        <v>130.20656891183501</v>
      </c>
      <c r="AL145" s="18">
        <v>-5.9246611182931598E-2</v>
      </c>
      <c r="AM145" s="19">
        <v>93.953034393370103</v>
      </c>
      <c r="AN145" s="18">
        <v>2.4224634098402899E-2</v>
      </c>
      <c r="AO145" s="19">
        <v>98.740013551318796</v>
      </c>
      <c r="AP145" s="18">
        <v>9.5277416427614892E-3</v>
      </c>
      <c r="AQ145" s="19">
        <v>92.090316981772702</v>
      </c>
      <c r="AR145" s="18">
        <v>3.8734544772913702E-3</v>
      </c>
      <c r="AS145" s="19">
        <v>102.747262353393</v>
      </c>
      <c r="AT145" s="18">
        <v>2.6930435608070202E-3</v>
      </c>
      <c r="AU145" s="19">
        <v>82.245360272887595</v>
      </c>
      <c r="AV145" s="18">
        <v>3.9051875448019101E-2</v>
      </c>
      <c r="AW145" s="19">
        <v>89.266734860507697</v>
      </c>
      <c r="AX145" s="18">
        <v>5.9444124517977802E-3</v>
      </c>
      <c r="AY145" s="19">
        <v>93.653884392109006</v>
      </c>
      <c r="AZ145" s="18">
        <v>6.2226864766867802E-3</v>
      </c>
      <c r="BA145" s="19">
        <v>115.05881995943101</v>
      </c>
      <c r="BB145" s="18">
        <v>4.7507997374082199E-2</v>
      </c>
      <c r="BC145" s="19">
        <v>109.521432989866</v>
      </c>
      <c r="BD145" s="18">
        <v>3.2593351232953302E-2</v>
      </c>
      <c r="BE145" s="19">
        <v>101.619659977563</v>
      </c>
      <c r="BF145" s="18">
        <v>9.5900976990419603E-3</v>
      </c>
      <c r="BG145" s="19"/>
      <c r="BH145" s="18"/>
    </row>
    <row r="146" spans="1:60" x14ac:dyDescent="0.2">
      <c r="A146" s="16">
        <v>2013</v>
      </c>
      <c r="B146" s="16">
        <v>3</v>
      </c>
      <c r="C146" s="19">
        <v>102.97757614605899</v>
      </c>
      <c r="D146" s="18">
        <v>2.77661206952606E-4</v>
      </c>
      <c r="E146" s="19">
        <v>102.800606748476</v>
      </c>
      <c r="F146" s="18">
        <v>-1.8447976699466099E-3</v>
      </c>
      <c r="G146" s="19">
        <v>92.608231401448506</v>
      </c>
      <c r="H146" s="18">
        <v>0.15924192143282401</v>
      </c>
      <c r="I146" s="19">
        <v>86.536872790664404</v>
      </c>
      <c r="J146" s="18">
        <v>4.2165614816980202E-4</v>
      </c>
      <c r="K146" s="19">
        <v>109.50794361157701</v>
      </c>
      <c r="L146" s="18">
        <v>-8.1326297157334696E-3</v>
      </c>
      <c r="M146" s="19">
        <v>135.58159029497801</v>
      </c>
      <c r="N146" s="18">
        <v>-3.9448440133340403E-2</v>
      </c>
      <c r="O146" s="19">
        <v>98.027721310787896</v>
      </c>
      <c r="P146" s="18">
        <v>4.5457460453968103E-3</v>
      </c>
      <c r="Q146" s="19">
        <v>71.374691748910607</v>
      </c>
      <c r="R146" s="18">
        <v>-2.5601720811786799E-2</v>
      </c>
      <c r="S146" s="19">
        <v>147.799460612747</v>
      </c>
      <c r="T146" s="18">
        <v>-4.1632278465985398E-2</v>
      </c>
      <c r="U146" s="19">
        <v>95.897952886472893</v>
      </c>
      <c r="V146" s="18">
        <v>1.2726538875805099E-2</v>
      </c>
      <c r="W146" s="19">
        <v>112.750565583317</v>
      </c>
      <c r="X146" s="18">
        <v>-1.7665004851715502E-2</v>
      </c>
      <c r="Y146" s="19">
        <v>103.682260019027</v>
      </c>
      <c r="Z146" s="18">
        <v>-2.0136374263968401E-2</v>
      </c>
      <c r="AA146" s="19">
        <v>90.012920403793302</v>
      </c>
      <c r="AB146" s="18">
        <v>3.4634065635804401E-2</v>
      </c>
      <c r="AC146" s="19">
        <v>95.215329338689202</v>
      </c>
      <c r="AD146" s="18">
        <v>1.0252075385101899E-2</v>
      </c>
      <c r="AE146" s="19">
        <v>99.369693275410597</v>
      </c>
      <c r="AF146" s="18">
        <v>-3.1864603333479099E-3</v>
      </c>
      <c r="AG146" s="19">
        <v>117.25411310072499</v>
      </c>
      <c r="AH146" s="18">
        <v>-4.5995777776107603E-2</v>
      </c>
      <c r="AI146" s="19">
        <v>118.48209672898901</v>
      </c>
      <c r="AJ146" s="18">
        <v>-4.1641866228959899E-2</v>
      </c>
      <c r="AK146" s="19">
        <v>128.04436856843901</v>
      </c>
      <c r="AL146" s="18">
        <v>-6.6515055525094596E-2</v>
      </c>
      <c r="AM146" s="19">
        <v>94.680013489625395</v>
      </c>
      <c r="AN146" s="18">
        <v>2.84764756431455E-2</v>
      </c>
      <c r="AO146" s="19">
        <v>99.006853870164306</v>
      </c>
      <c r="AP146" s="18">
        <v>1.0195327362073601E-2</v>
      </c>
      <c r="AQ146" s="19">
        <v>92.396434728830101</v>
      </c>
      <c r="AR146" s="18">
        <v>2.8104593013786902E-3</v>
      </c>
      <c r="AS146" s="19">
        <v>102.54179957199899</v>
      </c>
      <c r="AT146" s="18">
        <v>-4.8206621935236197E-3</v>
      </c>
      <c r="AU146" s="19">
        <v>82.899397991295899</v>
      </c>
      <c r="AV146" s="18">
        <v>3.0883748053036598E-2</v>
      </c>
      <c r="AW146" s="19">
        <v>89.564666894119895</v>
      </c>
      <c r="AX146" s="18">
        <v>6.5695593055672399E-3</v>
      </c>
      <c r="AY146" s="19">
        <v>93.914282790462906</v>
      </c>
      <c r="AZ146" s="18">
        <v>1.13654774228691E-2</v>
      </c>
      <c r="BA146" s="19">
        <v>108.55534292136601</v>
      </c>
      <c r="BB146" s="18">
        <v>6.9051696652449299E-2</v>
      </c>
      <c r="BC146" s="19">
        <v>105.69118011146</v>
      </c>
      <c r="BD146" s="18">
        <v>4.1232180184011397E-2</v>
      </c>
      <c r="BE146" s="19">
        <v>101.548007165583</v>
      </c>
      <c r="BF146" s="18">
        <v>3.3858676479776601E-3</v>
      </c>
      <c r="BG146" s="19"/>
      <c r="BH146" s="18"/>
    </row>
    <row r="147" spans="1:60" x14ac:dyDescent="0.2">
      <c r="A147" s="16">
        <v>2013</v>
      </c>
      <c r="B147" s="16">
        <v>4</v>
      </c>
      <c r="C147" s="19">
        <v>102.769799948954</v>
      </c>
      <c r="D147" s="18">
        <v>-1.1197516150250901E-3</v>
      </c>
      <c r="E147" s="19">
        <v>102.84393920959</v>
      </c>
      <c r="F147" s="18">
        <v>-4.1910568124237102E-4</v>
      </c>
      <c r="G147" s="19">
        <v>92.781003761733302</v>
      </c>
      <c r="H147" s="18">
        <v>0.112990253193719</v>
      </c>
      <c r="I147" s="19">
        <v>86.544692646333303</v>
      </c>
      <c r="J147" s="18">
        <v>3.9132376481487699E-3</v>
      </c>
      <c r="K147" s="19">
        <v>109.22396197993</v>
      </c>
      <c r="L147" s="18">
        <v>-9.2289159165291901E-3</v>
      </c>
      <c r="M147" s="19">
        <v>135.16985079579101</v>
      </c>
      <c r="N147" s="18">
        <v>-3.3026432428915599E-2</v>
      </c>
      <c r="O147" s="19">
        <v>97.717799401740805</v>
      </c>
      <c r="P147" s="18">
        <v>-8.7271887507223101E-4</v>
      </c>
      <c r="Q147" s="19">
        <v>74.679121973626906</v>
      </c>
      <c r="R147" s="18">
        <v>6.7081846386856103E-3</v>
      </c>
      <c r="S147" s="19">
        <v>148.797582918692</v>
      </c>
      <c r="T147" s="18">
        <v>-2.41934517812455E-2</v>
      </c>
      <c r="U147" s="19">
        <v>96.067767975989597</v>
      </c>
      <c r="V147" s="18">
        <v>1.3955127946313499E-2</v>
      </c>
      <c r="W147" s="19">
        <v>112.80495878674201</v>
      </c>
      <c r="X147" s="18">
        <v>-1.22296830217871E-2</v>
      </c>
      <c r="Y147" s="19">
        <v>103.433545700137</v>
      </c>
      <c r="Z147" s="18">
        <v>-2.1915141296265601E-2</v>
      </c>
      <c r="AA147" s="19">
        <v>89.826229262710598</v>
      </c>
      <c r="AB147" s="18">
        <v>1.70873564161911E-2</v>
      </c>
      <c r="AC147" s="19">
        <v>95.062807416848003</v>
      </c>
      <c r="AD147" s="18">
        <v>1.0847228404259999E-2</v>
      </c>
      <c r="AE147" s="19">
        <v>99.3871103430685</v>
      </c>
      <c r="AF147" s="18">
        <v>-3.1816564834652401E-4</v>
      </c>
      <c r="AG147" s="19">
        <v>116.207728510121</v>
      </c>
      <c r="AH147" s="18">
        <v>-4.00731180277029E-2</v>
      </c>
      <c r="AI147" s="19">
        <v>117.91059274914601</v>
      </c>
      <c r="AJ147" s="18">
        <v>-2.7092500200872099E-2</v>
      </c>
      <c r="AK147" s="19">
        <v>125.840383048554</v>
      </c>
      <c r="AL147" s="18">
        <v>-6.9725496402320203E-2</v>
      </c>
      <c r="AM147" s="19">
        <v>95.146241149725995</v>
      </c>
      <c r="AN147" s="18">
        <v>2.8914726701142701E-2</v>
      </c>
      <c r="AO147" s="19">
        <v>99.138355851824599</v>
      </c>
      <c r="AP147" s="18">
        <v>9.2336646055131092E-3</v>
      </c>
      <c r="AQ147" s="19">
        <v>93.539347839842193</v>
      </c>
      <c r="AR147" s="18">
        <v>7.0904738742301196E-3</v>
      </c>
      <c r="AS147" s="19">
        <v>102.34868771291799</v>
      </c>
      <c r="AT147" s="18">
        <v>-8.3209639516541607E-3</v>
      </c>
      <c r="AU147" s="19">
        <v>83.043218508996404</v>
      </c>
      <c r="AV147" s="18">
        <v>2.1097208182707401E-2</v>
      </c>
      <c r="AW147" s="19">
        <v>90.029878849469995</v>
      </c>
      <c r="AX147" s="18">
        <v>1.10025761279322E-2</v>
      </c>
      <c r="AY147" s="19">
        <v>93.520509824129107</v>
      </c>
      <c r="AZ147" s="18">
        <v>6.93227342212466E-3</v>
      </c>
      <c r="BA147" s="19">
        <v>100.32719414291201</v>
      </c>
      <c r="BB147" s="18">
        <v>-2.3639872214963699E-2</v>
      </c>
      <c r="BC147" s="19">
        <v>100.75391878542599</v>
      </c>
      <c r="BD147" s="18">
        <v>-1.4907991408446199E-2</v>
      </c>
      <c r="BE147" s="19">
        <v>101.398121809665</v>
      </c>
      <c r="BF147" s="18">
        <v>-1.27062639823639E-3</v>
      </c>
      <c r="BG147" s="19"/>
      <c r="BH147" s="18"/>
    </row>
    <row r="148" spans="1:60" x14ac:dyDescent="0.2">
      <c r="A148" s="16">
        <v>2014</v>
      </c>
      <c r="B148" s="16">
        <v>1</v>
      </c>
      <c r="C148" s="19">
        <v>103.128741902575</v>
      </c>
      <c r="D148" s="18">
        <v>-8.7389294026007903E-4</v>
      </c>
      <c r="E148" s="19">
        <v>102.745932528938</v>
      </c>
      <c r="F148" s="18">
        <v>-1.3233060859093599E-3</v>
      </c>
      <c r="G148" s="19">
        <v>90.884917861934198</v>
      </c>
      <c r="H148" s="18">
        <v>3.3694207589795203E-2</v>
      </c>
      <c r="I148" s="19">
        <v>86.006290591348105</v>
      </c>
      <c r="J148" s="18">
        <v>-1.5775805990923E-2</v>
      </c>
      <c r="K148" s="19">
        <v>108.96469842991699</v>
      </c>
      <c r="L148" s="18">
        <v>-1.00952976301029E-2</v>
      </c>
      <c r="M148" s="19">
        <v>136.14787630693201</v>
      </c>
      <c r="N148" s="18">
        <v>-1.5444096355159601E-2</v>
      </c>
      <c r="O148" s="19">
        <v>97.184121350120506</v>
      </c>
      <c r="P148" s="18">
        <v>-8.1578890358109408E-3</v>
      </c>
      <c r="Q148" s="19">
        <v>76.525950248648002</v>
      </c>
      <c r="R148" s="18">
        <v>5.6484890920543103E-2</v>
      </c>
      <c r="S148" s="19">
        <v>149.14527458668499</v>
      </c>
      <c r="T148" s="18">
        <v>-3.5935068295861503E-2</v>
      </c>
      <c r="U148" s="19">
        <v>95.942409408203801</v>
      </c>
      <c r="V148" s="18">
        <v>1.03109047888985E-2</v>
      </c>
      <c r="W148" s="19">
        <v>112.822495185859</v>
      </c>
      <c r="X148" s="18">
        <v>-4.8849555419057103E-3</v>
      </c>
      <c r="Y148" s="19">
        <v>102.102455546144</v>
      </c>
      <c r="Z148" s="18">
        <v>-1.5782614680249898E-2</v>
      </c>
      <c r="AA148" s="19">
        <v>89.495434054167504</v>
      </c>
      <c r="AB148" s="18">
        <v>-1.48127080485628E-2</v>
      </c>
      <c r="AC148" s="19">
        <v>96.853268099460095</v>
      </c>
      <c r="AD148" s="18">
        <v>1.6078111471761001E-2</v>
      </c>
      <c r="AE148" s="19">
        <v>99.557116695551201</v>
      </c>
      <c r="AF148" s="18">
        <v>1.4831529049654801E-3</v>
      </c>
      <c r="AG148" s="19">
        <v>114.402679795777</v>
      </c>
      <c r="AH148" s="18">
        <v>-4.0042749931671603E-2</v>
      </c>
      <c r="AI148" s="19">
        <v>115.97870701151101</v>
      </c>
      <c r="AJ148" s="18">
        <v>-2.7272664718546599E-2</v>
      </c>
      <c r="AK148" s="19">
        <v>123.378053945628</v>
      </c>
      <c r="AL148" s="18">
        <v>-6.9116214879708204E-2</v>
      </c>
      <c r="AM148" s="19">
        <v>95.3897310843535</v>
      </c>
      <c r="AN148" s="18">
        <v>2.3822913018924301E-2</v>
      </c>
      <c r="AO148" s="19">
        <v>99.187096977486306</v>
      </c>
      <c r="AP148" s="18">
        <v>6.4301263569703799E-3</v>
      </c>
      <c r="AQ148" s="19">
        <v>93.2757722192204</v>
      </c>
      <c r="AR148" s="18">
        <v>8.6371897030483903E-3</v>
      </c>
      <c r="AS148" s="19">
        <v>102.105917738321</v>
      </c>
      <c r="AT148" s="18">
        <v>-9.1002429431863395E-3</v>
      </c>
      <c r="AU148" s="19">
        <v>82.697149996579896</v>
      </c>
      <c r="AV148" s="18">
        <v>1.12969509131093E-2</v>
      </c>
      <c r="AW148" s="19">
        <v>91.066432465022004</v>
      </c>
      <c r="AX148" s="18">
        <v>2.2293410761924402E-2</v>
      </c>
      <c r="AY148" s="19">
        <v>93.900925247812197</v>
      </c>
      <c r="AZ148" s="18">
        <v>4.4032323660290196E-3</v>
      </c>
      <c r="BA148" s="19">
        <v>115.356173942262</v>
      </c>
      <c r="BB148" s="18">
        <v>1.24766205608877E-2</v>
      </c>
      <c r="BC148" s="19">
        <v>109.50270591533101</v>
      </c>
      <c r="BD148" s="18">
        <v>6.1807837928966602E-3</v>
      </c>
      <c r="BE148" s="19">
        <v>101.170865830804</v>
      </c>
      <c r="BF148" s="18">
        <v>-4.3491014669336803E-3</v>
      </c>
      <c r="BG148" s="19"/>
      <c r="BH148" s="18"/>
    </row>
    <row r="149" spans="1:60" x14ac:dyDescent="0.2">
      <c r="A149" s="16">
        <v>2014</v>
      </c>
      <c r="B149" s="16">
        <v>2</v>
      </c>
      <c r="C149" s="19">
        <v>102.780317630881</v>
      </c>
      <c r="D149" s="18">
        <v>-4.9510663849485796E-3</v>
      </c>
      <c r="E149" s="19">
        <v>102.610946083719</v>
      </c>
      <c r="F149" s="18">
        <v>-3.0162039226239198E-3</v>
      </c>
      <c r="G149" s="19">
        <v>90.373584502372495</v>
      </c>
      <c r="H149" s="18">
        <v>1.92960480090876E-3</v>
      </c>
      <c r="I149" s="19">
        <v>86.131577132639705</v>
      </c>
      <c r="J149" s="18">
        <v>-1.36994333017183E-2</v>
      </c>
      <c r="K149" s="19">
        <v>108.966168025597</v>
      </c>
      <c r="L149" s="18">
        <v>-8.8067461911589505E-3</v>
      </c>
      <c r="M149" s="19">
        <v>135.215722284679</v>
      </c>
      <c r="N149" s="18">
        <v>-1.0111683761404301E-2</v>
      </c>
      <c r="O149" s="19">
        <v>97.444210534453802</v>
      </c>
      <c r="P149" s="18">
        <v>-8.4807231760241093E-3</v>
      </c>
      <c r="Q149" s="19">
        <v>75.363480475385401</v>
      </c>
      <c r="R149" s="18">
        <v>4.1986721360036901E-2</v>
      </c>
      <c r="S149" s="19">
        <v>149.232784803063</v>
      </c>
      <c r="T149" s="18">
        <v>-1.0371094014035701E-2</v>
      </c>
      <c r="U149" s="19">
        <v>96.0311147726934</v>
      </c>
      <c r="V149" s="18">
        <v>6.8390403900593401E-3</v>
      </c>
      <c r="W149" s="19">
        <v>112.65150457870401</v>
      </c>
      <c r="X149" s="18">
        <v>-5.5435639440217796E-3</v>
      </c>
      <c r="Y149" s="19">
        <v>103.605495742068</v>
      </c>
      <c r="Z149" s="18">
        <v>-1.25225611752808E-2</v>
      </c>
      <c r="AA149" s="19">
        <v>89.241423162943093</v>
      </c>
      <c r="AB149" s="18">
        <v>-1.8518974798256999E-2</v>
      </c>
      <c r="AC149" s="19">
        <v>96.639149365366507</v>
      </c>
      <c r="AD149" s="18">
        <v>1.2838847210688399E-2</v>
      </c>
      <c r="AE149" s="19">
        <v>99.6403425870635</v>
      </c>
      <c r="AF149" s="18">
        <v>2.83698683463762E-3</v>
      </c>
      <c r="AG149" s="19">
        <v>113.13019117783099</v>
      </c>
      <c r="AH149" s="18">
        <v>-4.5838498839664801E-2</v>
      </c>
      <c r="AI149" s="19">
        <v>114.75728175394001</v>
      </c>
      <c r="AJ149" s="18">
        <v>-4.06197022166528E-2</v>
      </c>
      <c r="AK149" s="19">
        <v>121.37276815051</v>
      </c>
      <c r="AL149" s="18">
        <v>-6.7844509191445204E-2</v>
      </c>
      <c r="AM149" s="19">
        <v>95.503964057703399</v>
      </c>
      <c r="AN149" s="18">
        <v>1.6507499458077599E-2</v>
      </c>
      <c r="AO149" s="19">
        <v>99.183663205420899</v>
      </c>
      <c r="AP149" s="18">
        <v>4.4931091068927103E-3</v>
      </c>
      <c r="AQ149" s="19">
        <v>92.9456133125734</v>
      </c>
      <c r="AR149" s="18">
        <v>9.2875815702753196E-3</v>
      </c>
      <c r="AS149" s="19">
        <v>102.15900608410701</v>
      </c>
      <c r="AT149" s="18">
        <v>-5.7252743850481104E-3</v>
      </c>
      <c r="AU149" s="19">
        <v>83.277376921180206</v>
      </c>
      <c r="AV149" s="18">
        <v>1.25480227075232E-2</v>
      </c>
      <c r="AW149" s="19">
        <v>91.957753206818595</v>
      </c>
      <c r="AX149" s="18">
        <v>3.0145813561075901E-2</v>
      </c>
      <c r="AY149" s="19">
        <v>93.392118114748698</v>
      </c>
      <c r="AZ149" s="18">
        <v>-2.7950391920135201E-3</v>
      </c>
      <c r="BA149" s="19">
        <v>108.11051450401899</v>
      </c>
      <c r="BB149" s="18">
        <v>-6.03891597172794E-2</v>
      </c>
      <c r="BC149" s="19">
        <v>105.194872320836</v>
      </c>
      <c r="BD149" s="18">
        <v>-3.9504237215662E-2</v>
      </c>
      <c r="BE149" s="19">
        <v>100.989411976876</v>
      </c>
      <c r="BF149" s="18">
        <v>-6.2020282377025504E-3</v>
      </c>
      <c r="BG149" s="19"/>
      <c r="BH149" s="18"/>
    </row>
    <row r="150" spans="1:60" x14ac:dyDescent="0.2">
      <c r="A150" s="16">
        <v>2014</v>
      </c>
      <c r="B150" s="16">
        <v>3</v>
      </c>
      <c r="C150" s="19">
        <v>102.409245452373</v>
      </c>
      <c r="D150" s="18">
        <v>-5.5189752464067697E-3</v>
      </c>
      <c r="E150" s="19">
        <v>102.123321507895</v>
      </c>
      <c r="F150" s="18">
        <v>-6.5883389408206696E-3</v>
      </c>
      <c r="G150" s="19">
        <v>89.274633869759001</v>
      </c>
      <c r="H150" s="18">
        <v>-3.5996773518313298E-2</v>
      </c>
      <c r="I150" s="19">
        <v>87.960537119245103</v>
      </c>
      <c r="J150" s="18">
        <v>1.64515342728484E-2</v>
      </c>
      <c r="K150" s="19">
        <v>108.35782171250401</v>
      </c>
      <c r="L150" s="18">
        <v>-1.0502634431277E-2</v>
      </c>
      <c r="M150" s="19">
        <v>131.242944817287</v>
      </c>
      <c r="N150" s="18">
        <v>-3.20002551102418E-2</v>
      </c>
      <c r="O150" s="19">
        <v>97.839881431372802</v>
      </c>
      <c r="P150" s="18">
        <v>-1.91619142935651E-3</v>
      </c>
      <c r="Q150" s="19">
        <v>75.765897242328805</v>
      </c>
      <c r="R150" s="18">
        <v>6.1523284876185497E-2</v>
      </c>
      <c r="S150" s="19">
        <v>147.721514103353</v>
      </c>
      <c r="T150" s="18">
        <v>-5.2738020199949399E-4</v>
      </c>
      <c r="U150" s="19">
        <v>96.617807220727698</v>
      </c>
      <c r="V150" s="18">
        <v>7.5064619482232402E-3</v>
      </c>
      <c r="W150" s="19">
        <v>110.428622943508</v>
      </c>
      <c r="X150" s="18">
        <v>-2.0593622992456501E-2</v>
      </c>
      <c r="Y150" s="19">
        <v>102.532153361006</v>
      </c>
      <c r="Z150" s="18">
        <v>-1.1092607913930901E-2</v>
      </c>
      <c r="AA150" s="19">
        <v>88.849516926138804</v>
      </c>
      <c r="AB150" s="18">
        <v>-1.2924849815288599E-2</v>
      </c>
      <c r="AC150" s="19">
        <v>96.155545712443299</v>
      </c>
      <c r="AD150" s="18">
        <v>9.8746323757352705E-3</v>
      </c>
      <c r="AE150" s="19">
        <v>99.540518722600098</v>
      </c>
      <c r="AF150" s="18">
        <v>1.71909001184112E-3</v>
      </c>
      <c r="AG150" s="19">
        <v>111.930290341806</v>
      </c>
      <c r="AH150" s="18">
        <v>-4.5404145049864203E-2</v>
      </c>
      <c r="AI150" s="19">
        <v>113.48469144817</v>
      </c>
      <c r="AJ150" s="18">
        <v>-4.2178568904374103E-2</v>
      </c>
      <c r="AK150" s="19">
        <v>119.631156147469</v>
      </c>
      <c r="AL150" s="18">
        <v>-6.5705446596606001E-2</v>
      </c>
      <c r="AM150" s="19">
        <v>95.855659948312905</v>
      </c>
      <c r="AN150" s="18">
        <v>1.24170499702803E-2</v>
      </c>
      <c r="AO150" s="19">
        <v>99.108617059060407</v>
      </c>
      <c r="AP150" s="18">
        <v>1.02783984055876E-3</v>
      </c>
      <c r="AQ150" s="19">
        <v>92.969371115692397</v>
      </c>
      <c r="AR150" s="18">
        <v>6.2008495083585302E-3</v>
      </c>
      <c r="AS150" s="19">
        <v>101.79578446625101</v>
      </c>
      <c r="AT150" s="18">
        <v>-7.2752293100175596E-3</v>
      </c>
      <c r="AU150" s="19">
        <v>84.963205527029103</v>
      </c>
      <c r="AV150" s="18">
        <v>2.4895325970278898E-2</v>
      </c>
      <c r="AW150" s="19">
        <v>92.560893400451604</v>
      </c>
      <c r="AX150" s="18">
        <v>3.3453220005538201E-2</v>
      </c>
      <c r="AY150" s="19">
        <v>94.305167865825993</v>
      </c>
      <c r="AZ150" s="18">
        <v>4.1621472660893196E-3</v>
      </c>
      <c r="BA150" s="19">
        <v>111.49654852600899</v>
      </c>
      <c r="BB150" s="18">
        <v>2.7094065805437901E-2</v>
      </c>
      <c r="BC150" s="19">
        <v>107.130605135235</v>
      </c>
      <c r="BD150" s="18">
        <v>1.3619159349503E-2</v>
      </c>
      <c r="BE150" s="19">
        <v>100.853224399426</v>
      </c>
      <c r="BF150" s="18">
        <v>-6.8419143373705804E-3</v>
      </c>
      <c r="BG150" s="19"/>
      <c r="BH150" s="18"/>
    </row>
    <row r="151" spans="1:60" x14ac:dyDescent="0.2">
      <c r="A151" s="16">
        <v>2014</v>
      </c>
      <c r="B151" s="16">
        <v>4</v>
      </c>
      <c r="C151" s="19">
        <v>101.482928318932</v>
      </c>
      <c r="D151" s="18">
        <v>-1.25218851322132E-2</v>
      </c>
      <c r="E151" s="19">
        <v>101.638050548744</v>
      </c>
      <c r="F151" s="18">
        <v>-1.1725422714395899E-2</v>
      </c>
      <c r="G151" s="19">
        <v>85.746379614580405</v>
      </c>
      <c r="H151" s="18">
        <v>-7.5819659865053304E-2</v>
      </c>
      <c r="I151" s="19">
        <v>93.746071969817294</v>
      </c>
      <c r="J151" s="18">
        <v>8.3209947407318199E-2</v>
      </c>
      <c r="K151" s="19">
        <v>107.576173693806</v>
      </c>
      <c r="L151" s="18">
        <v>-1.50863258963867E-2</v>
      </c>
      <c r="M151" s="19">
        <v>128.13543315664501</v>
      </c>
      <c r="N151" s="18">
        <v>-5.2041321328178299E-2</v>
      </c>
      <c r="O151" s="19">
        <v>97.707453102289605</v>
      </c>
      <c r="P151" s="18">
        <v>-1.05879374223683E-4</v>
      </c>
      <c r="Q151" s="19">
        <v>81.186920257425399</v>
      </c>
      <c r="R151" s="18">
        <v>8.7143476139110804E-2</v>
      </c>
      <c r="S151" s="19">
        <v>140.83692596676701</v>
      </c>
      <c r="T151" s="18">
        <v>-5.3499907698603501E-2</v>
      </c>
      <c r="U151" s="19">
        <v>97.466194509794505</v>
      </c>
      <c r="V151" s="18">
        <v>1.45566672700717E-2</v>
      </c>
      <c r="W151" s="19">
        <v>107.801648593162</v>
      </c>
      <c r="X151" s="18">
        <v>-4.4353636997804501E-2</v>
      </c>
      <c r="Y151" s="19">
        <v>102.491346094238</v>
      </c>
      <c r="Z151" s="18">
        <v>-9.1092266007210005E-3</v>
      </c>
      <c r="AA151" s="19">
        <v>90.485611039796098</v>
      </c>
      <c r="AB151" s="18">
        <v>7.3406373895206203E-3</v>
      </c>
      <c r="AC151" s="19">
        <v>96.037770730953198</v>
      </c>
      <c r="AD151" s="18">
        <v>1.02559911767601E-2</v>
      </c>
      <c r="AE151" s="19">
        <v>99.528077037671906</v>
      </c>
      <c r="AF151" s="18">
        <v>1.41835992732608E-3</v>
      </c>
      <c r="AG151" s="19">
        <v>110.78282465391899</v>
      </c>
      <c r="AH151" s="18">
        <v>-4.6682814695321498E-2</v>
      </c>
      <c r="AI151" s="19">
        <v>112.182351607314</v>
      </c>
      <c r="AJ151" s="18">
        <v>-4.8581225895620403E-2</v>
      </c>
      <c r="AK151" s="19">
        <v>117.990944141521</v>
      </c>
      <c r="AL151" s="18">
        <v>-6.2376152367595597E-2</v>
      </c>
      <c r="AM151" s="19">
        <v>96.115736202072995</v>
      </c>
      <c r="AN151" s="18">
        <v>1.0189525520208E-2</v>
      </c>
      <c r="AO151" s="19">
        <v>98.829586050597896</v>
      </c>
      <c r="AP151" s="18">
        <v>-3.1145342140661602E-3</v>
      </c>
      <c r="AQ151" s="19">
        <v>93.549059224252801</v>
      </c>
      <c r="AR151" s="18">
        <v>1.0382138249709299E-4</v>
      </c>
      <c r="AS151" s="19">
        <v>102.09984353383901</v>
      </c>
      <c r="AT151" s="18">
        <v>-2.4313372710466101E-3</v>
      </c>
      <c r="AU151" s="19">
        <v>87.057827075923299</v>
      </c>
      <c r="AV151" s="18">
        <v>4.8343605161353297E-2</v>
      </c>
      <c r="AW151" s="19">
        <v>92.999461619916502</v>
      </c>
      <c r="AX151" s="18">
        <v>3.2984413712381103E-2</v>
      </c>
      <c r="AY151" s="19">
        <v>95.656121664176894</v>
      </c>
      <c r="AZ151" s="18">
        <v>2.28357591726553E-2</v>
      </c>
      <c r="BA151" s="19">
        <v>96.475480006279</v>
      </c>
      <c r="BB151" s="18">
        <v>-3.8391526540112797E-2</v>
      </c>
      <c r="BC151" s="19">
        <v>98.167911167818502</v>
      </c>
      <c r="BD151" s="18">
        <v>-2.5666571075165501E-2</v>
      </c>
      <c r="BE151" s="19">
        <v>100.76223268201301</v>
      </c>
      <c r="BF151" s="18">
        <v>-6.2712120925230196E-3</v>
      </c>
      <c r="BG151" s="19"/>
      <c r="BH151" s="18"/>
    </row>
    <row r="152" spans="1:60" x14ac:dyDescent="0.2">
      <c r="A152" s="16">
        <v>2015</v>
      </c>
      <c r="B152" s="16">
        <v>1</v>
      </c>
      <c r="C152" s="19">
        <v>101.78034138799801</v>
      </c>
      <c r="D152" s="18">
        <v>-1.30749245040828E-2</v>
      </c>
      <c r="E152" s="19">
        <v>101.515533147461</v>
      </c>
      <c r="F152" s="18">
        <v>-1.19751638940055E-2</v>
      </c>
      <c r="G152" s="19">
        <v>85.538165911325294</v>
      </c>
      <c r="H152" s="18">
        <v>-5.8829914537980497E-2</v>
      </c>
      <c r="I152" s="19">
        <v>104.43470090563</v>
      </c>
      <c r="J152" s="18">
        <v>0.21426816791625899</v>
      </c>
      <c r="K152" s="19">
        <v>106.453915590796</v>
      </c>
      <c r="L152" s="18">
        <v>-2.3042167557925E-2</v>
      </c>
      <c r="M152" s="19">
        <v>123.11142883925</v>
      </c>
      <c r="N152" s="18">
        <v>-9.5752117633416997E-2</v>
      </c>
      <c r="O152" s="19">
        <v>98.083334119716696</v>
      </c>
      <c r="P152" s="18">
        <v>9.2526717029899307E-3</v>
      </c>
      <c r="Q152" s="19">
        <v>95.042455474971604</v>
      </c>
      <c r="R152" s="18">
        <v>0.24196374126893999</v>
      </c>
      <c r="S152" s="19">
        <v>128.05795182016101</v>
      </c>
      <c r="T152" s="18">
        <v>-0.141387803435014</v>
      </c>
      <c r="U152" s="19">
        <v>98.6510041959571</v>
      </c>
      <c r="V152" s="18">
        <v>2.8231465151444101E-2</v>
      </c>
      <c r="W152" s="19">
        <v>104.196419402014</v>
      </c>
      <c r="X152" s="18">
        <v>-7.6457055568881604E-2</v>
      </c>
      <c r="Y152" s="19">
        <v>100.18760363791</v>
      </c>
      <c r="Z152" s="18">
        <v>-1.8754219944970101E-2</v>
      </c>
      <c r="AA152" s="19">
        <v>93.919773942963104</v>
      </c>
      <c r="AB152" s="18">
        <v>4.9436487297416502E-2</v>
      </c>
      <c r="AC152" s="19">
        <v>98.219800548167598</v>
      </c>
      <c r="AD152" s="18">
        <v>1.4109306536813899E-2</v>
      </c>
      <c r="AE152" s="19">
        <v>100.58422701742801</v>
      </c>
      <c r="AF152" s="18">
        <v>1.0316794579517501E-2</v>
      </c>
      <c r="AG152" s="19">
        <v>110.70921632619699</v>
      </c>
      <c r="AH152" s="18">
        <v>-3.2284763575235999E-2</v>
      </c>
      <c r="AI152" s="19">
        <v>113.01763167046001</v>
      </c>
      <c r="AJ152" s="18">
        <v>-2.5531198073777E-2</v>
      </c>
      <c r="AK152" s="19">
        <v>116.30171742818401</v>
      </c>
      <c r="AL152" s="18">
        <v>-5.7354904629656103E-2</v>
      </c>
      <c r="AM152" s="19">
        <v>96.273364634161297</v>
      </c>
      <c r="AN152" s="18">
        <v>9.2634033009943995E-3</v>
      </c>
      <c r="AO152" s="19">
        <v>98.569747064270302</v>
      </c>
      <c r="AP152" s="18">
        <v>-6.2240949884451204E-3</v>
      </c>
      <c r="AQ152" s="19">
        <v>94.066934665853793</v>
      </c>
      <c r="AR152" s="18">
        <v>8.4819715539203901E-3</v>
      </c>
      <c r="AS152" s="19">
        <v>102.423032636101</v>
      </c>
      <c r="AT152" s="18">
        <v>3.1057445523627902E-3</v>
      </c>
      <c r="AU152" s="19">
        <v>89.516381448812794</v>
      </c>
      <c r="AV152" s="18">
        <v>8.2460295820532506E-2</v>
      </c>
      <c r="AW152" s="19">
        <v>93.468967566262606</v>
      </c>
      <c r="AX152" s="18">
        <v>2.6382224890203001E-2</v>
      </c>
      <c r="AY152" s="19">
        <v>96.043950208392303</v>
      </c>
      <c r="AZ152" s="18">
        <v>2.2822192166100298E-2</v>
      </c>
      <c r="BA152" s="19">
        <v>110.202818708129</v>
      </c>
      <c r="BB152" s="18">
        <v>-4.4673423693059697E-2</v>
      </c>
      <c r="BC152" s="19">
        <v>106.294349920911</v>
      </c>
      <c r="BD152" s="18">
        <v>-2.9299330711525101E-2</v>
      </c>
      <c r="BE152" s="19">
        <v>100.716606051802</v>
      </c>
      <c r="BF152" s="18">
        <v>-4.4900256143105598E-3</v>
      </c>
      <c r="BG152" s="19"/>
      <c r="BH152" s="18"/>
    </row>
    <row r="153" spans="1:60" x14ac:dyDescent="0.2">
      <c r="A153" s="16">
        <v>2015</v>
      </c>
      <c r="B153" s="16">
        <v>2</v>
      </c>
      <c r="C153" s="19">
        <v>101.27456802949401</v>
      </c>
      <c r="D153" s="18">
        <v>-1.4650174625799799E-2</v>
      </c>
      <c r="E153" s="19">
        <v>101.133051229755</v>
      </c>
      <c r="F153" s="18">
        <v>-1.44028966730068E-2</v>
      </c>
      <c r="G153" s="19">
        <v>85.338822555263405</v>
      </c>
      <c r="H153" s="18">
        <v>-5.5710548329273503E-2</v>
      </c>
      <c r="I153" s="19">
        <v>109.743972510765</v>
      </c>
      <c r="J153" s="18">
        <v>0.27414330683581201</v>
      </c>
      <c r="K153" s="19">
        <v>105.22020499637399</v>
      </c>
      <c r="L153" s="18">
        <v>-3.4377303497934698E-2</v>
      </c>
      <c r="M153" s="19">
        <v>123.09995253153799</v>
      </c>
      <c r="N153" s="18">
        <v>-8.9603261724496397E-2</v>
      </c>
      <c r="O153" s="19">
        <v>96.495698557473702</v>
      </c>
      <c r="P153" s="18">
        <v>-9.7338977018518492E-3</v>
      </c>
      <c r="Q153" s="19">
        <v>93.079073710694999</v>
      </c>
      <c r="R153" s="18">
        <v>0.235068671504571</v>
      </c>
      <c r="S153" s="19">
        <v>126.09768439722799</v>
      </c>
      <c r="T153" s="18">
        <v>-0.15502692948044799</v>
      </c>
      <c r="U153" s="19">
        <v>100.222686218476</v>
      </c>
      <c r="V153" s="18">
        <v>4.36480556921977E-2</v>
      </c>
      <c r="W153" s="19">
        <v>102.413960220346</v>
      </c>
      <c r="X153" s="18">
        <v>-9.0878008213430894E-2</v>
      </c>
      <c r="Y153" s="19">
        <v>100.78380866005099</v>
      </c>
      <c r="Z153" s="18">
        <v>-2.7234917045731898E-2</v>
      </c>
      <c r="AA153" s="19">
        <v>94.907203373305705</v>
      </c>
      <c r="AB153" s="18">
        <v>6.3488232365115596E-2</v>
      </c>
      <c r="AC153" s="19">
        <v>98.173269097559199</v>
      </c>
      <c r="AD153" s="18">
        <v>1.58747230523795E-2</v>
      </c>
      <c r="AE153" s="19">
        <v>101.71265468541</v>
      </c>
      <c r="AF153" s="18">
        <v>2.07979222525865E-2</v>
      </c>
      <c r="AG153" s="19">
        <v>110.615515444767</v>
      </c>
      <c r="AH153" s="18">
        <v>-2.2228157725922699E-2</v>
      </c>
      <c r="AI153" s="19">
        <v>113.50447469556801</v>
      </c>
      <c r="AJ153" s="18">
        <v>-1.0917015802610499E-2</v>
      </c>
      <c r="AK153" s="19">
        <v>115.17003264163699</v>
      </c>
      <c r="AL153" s="18">
        <v>-5.11048368047506E-2</v>
      </c>
      <c r="AM153" s="19">
        <v>96.512322258820205</v>
      </c>
      <c r="AN153" s="18">
        <v>1.05582863608422E-2</v>
      </c>
      <c r="AO153" s="19">
        <v>98.423057532588999</v>
      </c>
      <c r="AP153" s="18">
        <v>-7.6686588118516398E-3</v>
      </c>
      <c r="AQ153" s="19">
        <v>94.106285122427295</v>
      </c>
      <c r="AR153" s="18">
        <v>1.24876448547451E-2</v>
      </c>
      <c r="AS153" s="19">
        <v>102.48014995328199</v>
      </c>
      <c r="AT153" s="18">
        <v>3.1435688490331101E-3</v>
      </c>
      <c r="AU153" s="19">
        <v>91.856370926952494</v>
      </c>
      <c r="AV153" s="18">
        <v>0.103017101678071</v>
      </c>
      <c r="AW153" s="19">
        <v>93.996359005797899</v>
      </c>
      <c r="AX153" s="18">
        <v>2.2168938755978002E-2</v>
      </c>
      <c r="AY153" s="19">
        <v>95.348453648514806</v>
      </c>
      <c r="AZ153" s="18">
        <v>2.0947544324483099E-2</v>
      </c>
      <c r="BA153" s="19">
        <v>105.709632039496</v>
      </c>
      <c r="BB153" s="18">
        <v>-2.2207668472744899E-2</v>
      </c>
      <c r="BC153" s="19">
        <v>103.647002883318</v>
      </c>
      <c r="BD153" s="18">
        <v>-1.4714305016659201E-2</v>
      </c>
      <c r="BE153" s="19">
        <v>100.641971872347</v>
      </c>
      <c r="BF153" s="18">
        <v>-3.4403616946377899E-3</v>
      </c>
      <c r="BG153" s="19"/>
      <c r="BH153" s="18"/>
    </row>
    <row r="154" spans="1:60" x14ac:dyDescent="0.2">
      <c r="A154" s="16">
        <v>2015</v>
      </c>
      <c r="B154" s="16">
        <v>3</v>
      </c>
      <c r="C154" s="19">
        <v>101.006770727457</v>
      </c>
      <c r="D154" s="18">
        <v>-1.3694805764087201E-2</v>
      </c>
      <c r="E154" s="19">
        <v>100.815126076987</v>
      </c>
      <c r="F154" s="18">
        <v>-1.28099577216242E-2</v>
      </c>
      <c r="G154" s="19">
        <v>88.151408606828596</v>
      </c>
      <c r="H154" s="18">
        <v>-1.25816843401348E-2</v>
      </c>
      <c r="I154" s="19">
        <v>114.172066901818</v>
      </c>
      <c r="J154" s="18">
        <v>0.297991925027005</v>
      </c>
      <c r="K154" s="19">
        <v>105.240390375711</v>
      </c>
      <c r="L154" s="18">
        <v>-2.8769785951070201E-2</v>
      </c>
      <c r="M154" s="19">
        <v>123.17500532164701</v>
      </c>
      <c r="N154" s="18">
        <v>-6.1473319627744098E-2</v>
      </c>
      <c r="O154" s="19">
        <v>96.637450988592704</v>
      </c>
      <c r="P154" s="18">
        <v>-1.2289778208935001E-2</v>
      </c>
      <c r="Q154" s="19">
        <v>92.945051195454297</v>
      </c>
      <c r="R154" s="18">
        <v>0.22673992625177899</v>
      </c>
      <c r="S154" s="19">
        <v>121.16497339767101</v>
      </c>
      <c r="T154" s="18">
        <v>-0.179774360335234</v>
      </c>
      <c r="U154" s="19">
        <v>101.319103469764</v>
      </c>
      <c r="V154" s="18">
        <v>4.8658693301700598E-2</v>
      </c>
      <c r="W154" s="19">
        <v>99.768633318665394</v>
      </c>
      <c r="X154" s="18">
        <v>-9.6532849370905199E-2</v>
      </c>
      <c r="Y154" s="19">
        <v>99.381361340545595</v>
      </c>
      <c r="Z154" s="18">
        <v>-3.07297946758875E-2</v>
      </c>
      <c r="AA154" s="19">
        <v>95.472883370467798</v>
      </c>
      <c r="AB154" s="18">
        <v>7.4545891451892193E-2</v>
      </c>
      <c r="AC154" s="19">
        <v>97.722119394009397</v>
      </c>
      <c r="AD154" s="18">
        <v>1.6292078319132701E-2</v>
      </c>
      <c r="AE154" s="19">
        <v>101.377617733642</v>
      </c>
      <c r="AF154" s="18">
        <v>1.8455791014725401E-2</v>
      </c>
      <c r="AG154" s="19">
        <v>110.62608698273399</v>
      </c>
      <c r="AH154" s="18">
        <v>-1.16519250963176E-2</v>
      </c>
      <c r="AI154" s="19">
        <v>113.931454670004</v>
      </c>
      <c r="AJ154" s="18">
        <v>3.9367708202073803E-3</v>
      </c>
      <c r="AK154" s="19">
        <v>114.505889871945</v>
      </c>
      <c r="AL154" s="18">
        <v>-4.28422364254867E-2</v>
      </c>
      <c r="AM154" s="19">
        <v>96.765706365102304</v>
      </c>
      <c r="AN154" s="18">
        <v>9.4939246913554598E-3</v>
      </c>
      <c r="AO154" s="19">
        <v>98.516305464628104</v>
      </c>
      <c r="AP154" s="18">
        <v>-5.9763884514639799E-3</v>
      </c>
      <c r="AQ154" s="19">
        <v>94.582528173580499</v>
      </c>
      <c r="AR154" s="18">
        <v>1.7351489404835E-2</v>
      </c>
      <c r="AS154" s="19">
        <v>102.302618779819</v>
      </c>
      <c r="AT154" s="18">
        <v>4.9789322438613696E-3</v>
      </c>
      <c r="AU154" s="19">
        <v>94.200717940210296</v>
      </c>
      <c r="AV154" s="18">
        <v>0.10872368051417899</v>
      </c>
      <c r="AW154" s="19">
        <v>94.551189740730095</v>
      </c>
      <c r="AX154" s="18">
        <v>2.1502561904494202E-2</v>
      </c>
      <c r="AY154" s="19">
        <v>95.910972734630704</v>
      </c>
      <c r="AZ154" s="18">
        <v>1.7027750494961399E-2</v>
      </c>
      <c r="BA154" s="19">
        <v>107.06333613030201</v>
      </c>
      <c r="BB154" s="18">
        <v>-3.9760983226067803E-2</v>
      </c>
      <c r="BC154" s="19">
        <v>104.394327674911</v>
      </c>
      <c r="BD154" s="18">
        <v>-2.5541510354299499E-2</v>
      </c>
      <c r="BE154" s="19">
        <v>100.538177442791</v>
      </c>
      <c r="BF154" s="18">
        <v>-3.12381640260462E-3</v>
      </c>
      <c r="BG154" s="19"/>
      <c r="BH154" s="18"/>
    </row>
    <row r="155" spans="1:60" x14ac:dyDescent="0.2">
      <c r="A155" s="16">
        <v>2015</v>
      </c>
      <c r="B155" s="16">
        <v>4</v>
      </c>
      <c r="C155" s="19">
        <v>100.222191113888</v>
      </c>
      <c r="D155" s="18">
        <v>-1.2423145704687199E-2</v>
      </c>
      <c r="E155" s="19">
        <v>100.38506547086401</v>
      </c>
      <c r="F155" s="18">
        <v>-1.2327913326897399E-2</v>
      </c>
      <c r="G155" s="19">
        <v>89.409755402654994</v>
      </c>
      <c r="H155" s="18">
        <v>4.2723387325983797E-2</v>
      </c>
      <c r="I155" s="19">
        <v>113.492980842991</v>
      </c>
      <c r="J155" s="18">
        <v>0.21064252035575401</v>
      </c>
      <c r="K155" s="19">
        <v>105.597427025573</v>
      </c>
      <c r="L155" s="18">
        <v>-1.8393911962929398E-2</v>
      </c>
      <c r="M155" s="19">
        <v>120.329189444428</v>
      </c>
      <c r="N155" s="18">
        <v>-6.0921819358694097E-2</v>
      </c>
      <c r="O155" s="19">
        <v>98.225030068213897</v>
      </c>
      <c r="P155" s="18">
        <v>5.2972106987827497E-3</v>
      </c>
      <c r="Q155" s="19">
        <v>94.665891986362794</v>
      </c>
      <c r="R155" s="18">
        <v>0.16602393201021401</v>
      </c>
      <c r="S155" s="19">
        <v>112.108937766132</v>
      </c>
      <c r="T155" s="18">
        <v>-0.203980511527313</v>
      </c>
      <c r="U155" s="19">
        <v>100.92297877819099</v>
      </c>
      <c r="V155" s="18">
        <v>3.5466494673180603E-2</v>
      </c>
      <c r="W155" s="19">
        <v>98.075518396065405</v>
      </c>
      <c r="X155" s="18">
        <v>-9.0222462495011702E-2</v>
      </c>
      <c r="Y155" s="19">
        <v>100.218183581293</v>
      </c>
      <c r="Z155" s="18">
        <v>-2.2179067790315601E-2</v>
      </c>
      <c r="AA155" s="19">
        <v>96.626486405398694</v>
      </c>
      <c r="AB155" s="18">
        <v>6.7865766667606395E-2</v>
      </c>
      <c r="AC155" s="19">
        <v>96.846822189781705</v>
      </c>
      <c r="AD155" s="18">
        <v>8.4243048612096007E-3</v>
      </c>
      <c r="AE155" s="19">
        <v>100.38865697377101</v>
      </c>
      <c r="AF155" s="18">
        <v>8.6466046739059905E-3</v>
      </c>
      <c r="AG155" s="19">
        <v>110.57558576951899</v>
      </c>
      <c r="AH155" s="18">
        <v>-1.8706770209838701E-3</v>
      </c>
      <c r="AI155" s="19">
        <v>113.825668634233</v>
      </c>
      <c r="AJ155" s="18">
        <v>1.4648623454354999E-2</v>
      </c>
      <c r="AK155" s="19">
        <v>114.274856381296</v>
      </c>
      <c r="AL155" s="18">
        <v>-3.1494686200389602E-2</v>
      </c>
      <c r="AM155" s="19">
        <v>96.781508255573101</v>
      </c>
      <c r="AN155" s="18">
        <v>6.9267747385339798E-3</v>
      </c>
      <c r="AO155" s="19">
        <v>98.620104726593098</v>
      </c>
      <c r="AP155" s="18">
        <v>-2.1196215867740299E-3</v>
      </c>
      <c r="AQ155" s="19">
        <v>95.538850411306598</v>
      </c>
      <c r="AR155" s="18">
        <v>2.12700288335761E-2</v>
      </c>
      <c r="AS155" s="19">
        <v>102.255046294987</v>
      </c>
      <c r="AT155" s="18">
        <v>1.5201077276592E-3</v>
      </c>
      <c r="AU155" s="19">
        <v>94.489667626678894</v>
      </c>
      <c r="AV155" s="18">
        <v>8.5366713141992401E-2</v>
      </c>
      <c r="AW155" s="19">
        <v>95.256560929301102</v>
      </c>
      <c r="AX155" s="18">
        <v>2.4270025547129499E-2</v>
      </c>
      <c r="AY155" s="19">
        <v>96.675055092941605</v>
      </c>
      <c r="AZ155" s="18">
        <v>1.06520462155251E-2</v>
      </c>
      <c r="BA155" s="19">
        <v>94.896199632423404</v>
      </c>
      <c r="BB155" s="18">
        <v>-1.6369759173551001E-2</v>
      </c>
      <c r="BC155" s="19">
        <v>97.201550308970496</v>
      </c>
      <c r="BD155" s="18">
        <v>-9.8439586556551308E-3</v>
      </c>
      <c r="BE155" s="19">
        <v>100.404961246045</v>
      </c>
      <c r="BF155" s="18">
        <v>-3.5456879671863502E-3</v>
      </c>
      <c r="BG155" s="19"/>
      <c r="BH155" s="18"/>
    </row>
    <row r="156" spans="1:60" x14ac:dyDescent="0.2">
      <c r="A156" s="16">
        <v>2016</v>
      </c>
      <c r="B156" s="16">
        <v>1</v>
      </c>
      <c r="C156" s="19">
        <v>100.497686033976</v>
      </c>
      <c r="D156" s="18">
        <v>-1.26021915089829E-2</v>
      </c>
      <c r="E156" s="19">
        <v>100.480340066312</v>
      </c>
      <c r="F156" s="18">
        <v>-1.0197386045793601E-2</v>
      </c>
      <c r="G156" s="19">
        <v>90.089926259928205</v>
      </c>
      <c r="H156" s="18">
        <v>5.3213209566844902E-2</v>
      </c>
      <c r="I156" s="19">
        <v>114.69882559888499</v>
      </c>
      <c r="J156" s="18">
        <v>9.82827030119999E-2</v>
      </c>
      <c r="K156" s="19">
        <v>105.03782853904799</v>
      </c>
      <c r="L156" s="18">
        <v>-1.33023481934801E-2</v>
      </c>
      <c r="M156" s="19">
        <v>119.154556512604</v>
      </c>
      <c r="N156" s="18">
        <v>-3.2140576743793302E-2</v>
      </c>
      <c r="O156" s="19">
        <v>97.845703410934306</v>
      </c>
      <c r="P156" s="18">
        <v>-2.4227429758084699E-3</v>
      </c>
      <c r="Q156" s="19">
        <v>100.48314096151501</v>
      </c>
      <c r="R156" s="18">
        <v>5.7244790860607103E-2</v>
      </c>
      <c r="S156" s="19">
        <v>113.678372744779</v>
      </c>
      <c r="T156" s="18">
        <v>-0.11228962255757501</v>
      </c>
      <c r="U156" s="19">
        <v>100.29993767475899</v>
      </c>
      <c r="V156" s="18">
        <v>1.6714816967567901E-2</v>
      </c>
      <c r="W156" s="19">
        <v>96.661013584123594</v>
      </c>
      <c r="X156" s="18">
        <v>-7.2319239577872702E-2</v>
      </c>
      <c r="Y156" s="19">
        <v>98.727967198947198</v>
      </c>
      <c r="Z156" s="18">
        <v>-1.45690323549236E-2</v>
      </c>
      <c r="AA156" s="19">
        <v>98.239810345993803</v>
      </c>
      <c r="AB156" s="18">
        <v>4.5997091152011102E-2</v>
      </c>
      <c r="AC156" s="19">
        <v>98.152416845031595</v>
      </c>
      <c r="AD156" s="18">
        <v>-6.8605009132505202E-4</v>
      </c>
      <c r="AE156" s="19">
        <v>99.997041041934196</v>
      </c>
      <c r="AF156" s="18">
        <v>-5.8377540187526398E-3</v>
      </c>
      <c r="AG156" s="19">
        <v>110.272883204152</v>
      </c>
      <c r="AH156" s="18">
        <v>-3.9412538226203404E-3</v>
      </c>
      <c r="AI156" s="19">
        <v>113.00657391547099</v>
      </c>
      <c r="AJ156" s="18">
        <v>-9.7840972466900502E-5</v>
      </c>
      <c r="AK156" s="19">
        <v>114.493987857379</v>
      </c>
      <c r="AL156" s="18">
        <v>-1.55434469136008E-2</v>
      </c>
      <c r="AM156" s="19">
        <v>97.1034379520069</v>
      </c>
      <c r="AN156" s="18">
        <v>8.6220453704910494E-3</v>
      </c>
      <c r="AO156" s="19">
        <v>98.780066774332795</v>
      </c>
      <c r="AP156" s="18">
        <v>2.1337146165687501E-3</v>
      </c>
      <c r="AQ156" s="19">
        <v>95.954942065487103</v>
      </c>
      <c r="AR156" s="18">
        <v>2.0070893203227198E-2</v>
      </c>
      <c r="AS156" s="19">
        <v>102.419335139455</v>
      </c>
      <c r="AT156" s="18">
        <v>-3.6100245726200499E-5</v>
      </c>
      <c r="AU156" s="19">
        <v>93.827374493318203</v>
      </c>
      <c r="AV156" s="18">
        <v>4.8158705420531897E-2</v>
      </c>
      <c r="AW156" s="19">
        <v>95.930413883420997</v>
      </c>
      <c r="AX156" s="18">
        <v>2.6334369376802801E-2</v>
      </c>
      <c r="AY156" s="19">
        <v>96.053628855778499</v>
      </c>
      <c r="AZ156" s="18">
        <v>1.00773108198116E-4</v>
      </c>
      <c r="BA156" s="19">
        <v>100.921162330275</v>
      </c>
      <c r="BB156" s="18">
        <v>-8.4223402692052404E-2</v>
      </c>
      <c r="BC156" s="19">
        <v>100.706088155011</v>
      </c>
      <c r="BD156" s="18">
        <v>-5.2573460113895999E-2</v>
      </c>
      <c r="BE156" s="19">
        <v>100.242183081308</v>
      </c>
      <c r="BF156" s="18">
        <v>-4.7104741620258598E-3</v>
      </c>
      <c r="BG156" s="19"/>
      <c r="BH156" s="18"/>
    </row>
    <row r="157" spans="1:60" x14ac:dyDescent="0.2">
      <c r="A157" s="16">
        <v>2016</v>
      </c>
      <c r="B157" s="16">
        <v>2</v>
      </c>
      <c r="C157" s="19">
        <v>100.699299494512</v>
      </c>
      <c r="D157" s="18">
        <v>-5.6802862374529797E-3</v>
      </c>
      <c r="E157" s="19">
        <v>100.539858698288</v>
      </c>
      <c r="F157" s="18">
        <v>-5.8654665735282698E-3</v>
      </c>
      <c r="G157" s="19">
        <v>90.768760268526606</v>
      </c>
      <c r="H157" s="18">
        <v>6.3627989591102094E-2</v>
      </c>
      <c r="I157" s="19">
        <v>113.608739411819</v>
      </c>
      <c r="J157" s="18">
        <v>3.5216211083252298E-2</v>
      </c>
      <c r="K157" s="19">
        <v>105.06476644777101</v>
      </c>
      <c r="L157" s="18">
        <v>-1.47726901509293E-3</v>
      </c>
      <c r="M157" s="19">
        <v>118.570191164126</v>
      </c>
      <c r="N157" s="18">
        <v>-3.6797425784964102E-2</v>
      </c>
      <c r="O157" s="19">
        <v>98.134110677635704</v>
      </c>
      <c r="P157" s="18">
        <v>1.6979120775898499E-2</v>
      </c>
      <c r="Q157" s="19">
        <v>95.283714506827494</v>
      </c>
      <c r="R157" s="18">
        <v>2.3685676148700499E-2</v>
      </c>
      <c r="S157" s="19">
        <v>126.57164817914099</v>
      </c>
      <c r="T157" s="18">
        <v>3.7587032956141199E-3</v>
      </c>
      <c r="U157" s="19">
        <v>99.473742134919902</v>
      </c>
      <c r="V157" s="18">
        <v>-7.4727999399582003E-3</v>
      </c>
      <c r="W157" s="19">
        <v>97.2018491058856</v>
      </c>
      <c r="X157" s="18">
        <v>-5.0892584402029699E-2</v>
      </c>
      <c r="Y157" s="19">
        <v>100.035780299943</v>
      </c>
      <c r="Z157" s="18">
        <v>-7.4221084721124396E-3</v>
      </c>
      <c r="AA157" s="19">
        <v>98.578040878652004</v>
      </c>
      <c r="AB157" s="18">
        <v>3.86781758904799E-2</v>
      </c>
      <c r="AC157" s="19">
        <v>97.440312795066205</v>
      </c>
      <c r="AD157" s="18">
        <v>-7.4659457633486897E-3</v>
      </c>
      <c r="AE157" s="19">
        <v>99.725635668658796</v>
      </c>
      <c r="AF157" s="18">
        <v>-1.9535612583285001E-2</v>
      </c>
      <c r="AG157" s="19">
        <v>110.019928729989</v>
      </c>
      <c r="AH157" s="18">
        <v>-5.3842963383819997E-3</v>
      </c>
      <c r="AI157" s="19">
        <v>112.70153743714</v>
      </c>
      <c r="AJ157" s="18">
        <v>-7.0740581865289497E-3</v>
      </c>
      <c r="AK157" s="19">
        <v>114.11172365836801</v>
      </c>
      <c r="AL157" s="18">
        <v>-9.1891003153750095E-3</v>
      </c>
      <c r="AM157" s="19">
        <v>97.464331380646996</v>
      </c>
      <c r="AN157" s="18">
        <v>9.8641199335534092E-3</v>
      </c>
      <c r="AO157" s="19">
        <v>98.840738283380105</v>
      </c>
      <c r="AP157" s="18">
        <v>4.2437286674705801E-3</v>
      </c>
      <c r="AQ157" s="19">
        <v>95.996896693325297</v>
      </c>
      <c r="AR157" s="18">
        <v>2.00901732380405E-2</v>
      </c>
      <c r="AS157" s="19">
        <v>102.40323635710701</v>
      </c>
      <c r="AT157" s="18">
        <v>-7.5052189335345098E-4</v>
      </c>
      <c r="AU157" s="19">
        <v>93.4088379501205</v>
      </c>
      <c r="AV157" s="18">
        <v>1.69010271960628E-2</v>
      </c>
      <c r="AW157" s="19">
        <v>96.349141412665404</v>
      </c>
      <c r="AX157" s="18">
        <v>2.5030569606663101E-2</v>
      </c>
      <c r="AY157" s="19">
        <v>96.463663738627403</v>
      </c>
      <c r="AZ157" s="18">
        <v>1.1696152873372299E-2</v>
      </c>
      <c r="BA157" s="19">
        <v>105.69775873342201</v>
      </c>
      <c r="BB157" s="18">
        <v>-1.1232000191929701E-4</v>
      </c>
      <c r="BC157" s="19">
        <v>103.414994202068</v>
      </c>
      <c r="BD157" s="18">
        <v>-2.2384504596985001E-3</v>
      </c>
      <c r="BE157" s="19">
        <v>100.09383704527001</v>
      </c>
      <c r="BF157" s="18">
        <v>-5.4463840173151201E-3</v>
      </c>
      <c r="BG157" s="19"/>
      <c r="BH157" s="18"/>
    </row>
    <row r="158" spans="1:60" x14ac:dyDescent="0.2">
      <c r="A158" s="16">
        <v>2016</v>
      </c>
      <c r="B158" s="16">
        <v>3</v>
      </c>
      <c r="C158" s="19">
        <v>100.57085852305801</v>
      </c>
      <c r="D158" s="18">
        <v>-4.3156731104140303E-3</v>
      </c>
      <c r="E158" s="19">
        <v>100.52400416243201</v>
      </c>
      <c r="F158" s="18">
        <v>-2.88768090546909E-3</v>
      </c>
      <c r="G158" s="19">
        <v>93.166498113218907</v>
      </c>
      <c r="H158" s="18">
        <v>5.6891768216189097E-2</v>
      </c>
      <c r="I158" s="19">
        <v>112.411761109599</v>
      </c>
      <c r="J158" s="18">
        <v>-1.5418007573895101E-2</v>
      </c>
      <c r="K158" s="19">
        <v>104.33792916918</v>
      </c>
      <c r="L158" s="18">
        <v>-8.5752362121510606E-3</v>
      </c>
      <c r="M158" s="19">
        <v>117.353719425233</v>
      </c>
      <c r="N158" s="18">
        <v>-4.7260285325040702E-2</v>
      </c>
      <c r="O158" s="19">
        <v>97.659287521471697</v>
      </c>
      <c r="P158" s="18">
        <v>1.05739185215015E-2</v>
      </c>
      <c r="Q158" s="19">
        <v>94.350763603896297</v>
      </c>
      <c r="R158" s="18">
        <v>1.5124123235845E-2</v>
      </c>
      <c r="S158" s="19">
        <v>122.170008492449</v>
      </c>
      <c r="T158" s="18">
        <v>8.29476594262335E-3</v>
      </c>
      <c r="U158" s="19">
        <v>99.197504686185098</v>
      </c>
      <c r="V158" s="18">
        <v>-2.09397705953051E-2</v>
      </c>
      <c r="W158" s="19">
        <v>98.534803566744102</v>
      </c>
      <c r="X158" s="18">
        <v>-1.23669104294577E-2</v>
      </c>
      <c r="Y158" s="19">
        <v>99.162787722703001</v>
      </c>
      <c r="Z158" s="18">
        <v>-2.1993421592768599E-3</v>
      </c>
      <c r="AA158" s="19">
        <v>98.969064706242406</v>
      </c>
      <c r="AB158" s="18">
        <v>3.6619626561484001E-2</v>
      </c>
      <c r="AC158" s="19">
        <v>97.068247399927401</v>
      </c>
      <c r="AD158" s="18">
        <v>-6.69113603078564E-3</v>
      </c>
      <c r="AE158" s="19">
        <v>99.657905524467907</v>
      </c>
      <c r="AF158" s="18">
        <v>-1.69634308599769E-2</v>
      </c>
      <c r="AG158" s="19">
        <v>108.87398277061099</v>
      </c>
      <c r="AH158" s="18">
        <v>-1.5838074543818099E-2</v>
      </c>
      <c r="AI158" s="19">
        <v>111.00326275243999</v>
      </c>
      <c r="AJ158" s="18">
        <v>-2.5701347586979201E-2</v>
      </c>
      <c r="AK158" s="19">
        <v>113.127171255901</v>
      </c>
      <c r="AL158" s="18">
        <v>-1.20405912533098E-2</v>
      </c>
      <c r="AM158" s="19">
        <v>97.617116597373794</v>
      </c>
      <c r="AN158" s="18">
        <v>8.7986773853443393E-3</v>
      </c>
      <c r="AO158" s="19">
        <v>98.842432032550704</v>
      </c>
      <c r="AP158" s="18">
        <v>3.31038163057862E-3</v>
      </c>
      <c r="AQ158" s="19">
        <v>96.537093591187002</v>
      </c>
      <c r="AR158" s="18">
        <v>2.06651847370736E-2</v>
      </c>
      <c r="AS158" s="19">
        <v>101.498900452646</v>
      </c>
      <c r="AT158" s="18">
        <v>-7.8562830234378805E-3</v>
      </c>
      <c r="AU158" s="19">
        <v>93.199309725695201</v>
      </c>
      <c r="AV158" s="18">
        <v>-1.06305794309419E-2</v>
      </c>
      <c r="AW158" s="19">
        <v>96.596472466894696</v>
      </c>
      <c r="AX158" s="18">
        <v>2.1631485883710298E-2</v>
      </c>
      <c r="AY158" s="19">
        <v>97.004017961763296</v>
      </c>
      <c r="AZ158" s="18">
        <v>1.1396456484252099E-2</v>
      </c>
      <c r="BA158" s="19">
        <v>101.962246963892</v>
      </c>
      <c r="BB158" s="18">
        <v>-4.7645527878955297E-2</v>
      </c>
      <c r="BC158" s="19">
        <v>101.183055785414</v>
      </c>
      <c r="BD158" s="18">
        <v>-3.0760980610913102E-2</v>
      </c>
      <c r="BE158" s="19">
        <v>99.959818913460694</v>
      </c>
      <c r="BF158" s="18">
        <v>-5.7526259580305003E-3</v>
      </c>
      <c r="BG158" s="19"/>
      <c r="BH158" s="18"/>
    </row>
    <row r="159" spans="1:60" x14ac:dyDescent="0.2">
      <c r="A159" s="16">
        <v>2016</v>
      </c>
      <c r="B159" s="16">
        <v>4</v>
      </c>
      <c r="C159" s="19">
        <v>100.01899420302701</v>
      </c>
      <c r="D159" s="18">
        <v>-2.0274642631779001E-3</v>
      </c>
      <c r="E159" s="19">
        <v>100.486673442639</v>
      </c>
      <c r="F159" s="18">
        <v>1.0121821537749699E-3</v>
      </c>
      <c r="G159" s="19">
        <v>92.633778874361298</v>
      </c>
      <c r="H159" s="18">
        <v>3.6058967583424903E-2</v>
      </c>
      <c r="I159" s="19">
        <v>110.81822773283101</v>
      </c>
      <c r="J159" s="18">
        <v>-2.3567564181445101E-2</v>
      </c>
      <c r="K159" s="19">
        <v>103.619395230629</v>
      </c>
      <c r="L159" s="18">
        <v>-1.8731818100693499E-2</v>
      </c>
      <c r="M159" s="19">
        <v>115.614139033463</v>
      </c>
      <c r="N159" s="18">
        <v>-3.91845938025117E-2</v>
      </c>
      <c r="O159" s="19">
        <v>97.3322378366191</v>
      </c>
      <c r="P159" s="18">
        <v>-9.0892538386072603E-3</v>
      </c>
      <c r="Q159" s="19">
        <v>91.820937391144994</v>
      </c>
      <c r="R159" s="18">
        <v>-3.0052583201007801E-2</v>
      </c>
      <c r="S159" s="19">
        <v>125.91415271409799</v>
      </c>
      <c r="T159" s="18">
        <v>0.123141073522303</v>
      </c>
      <c r="U159" s="19">
        <v>98.969869463370003</v>
      </c>
      <c r="V159" s="18">
        <v>-1.93524739208683E-2</v>
      </c>
      <c r="W159" s="19">
        <v>99.963863437158906</v>
      </c>
      <c r="X159" s="18">
        <v>1.92539899046738E-2</v>
      </c>
      <c r="Y159" s="19">
        <v>99.304096207350696</v>
      </c>
      <c r="Z159" s="18">
        <v>-9.1209732732897598E-3</v>
      </c>
      <c r="AA159" s="19">
        <v>99.196736721007298</v>
      </c>
      <c r="AB159" s="18">
        <v>2.6599852806663101E-2</v>
      </c>
      <c r="AC159" s="19">
        <v>96.285513864038506</v>
      </c>
      <c r="AD159" s="18">
        <v>-5.7958362809604801E-3</v>
      </c>
      <c r="AE159" s="19">
        <v>99.3733640442303</v>
      </c>
      <c r="AF159" s="18">
        <v>-1.0113621998206901E-2</v>
      </c>
      <c r="AG159" s="19">
        <v>108.170027929706</v>
      </c>
      <c r="AH159" s="18">
        <v>-2.1754873131101901E-2</v>
      </c>
      <c r="AI159" s="19">
        <v>110.788694147344</v>
      </c>
      <c r="AJ159" s="18">
        <v>-2.6680928153807099E-2</v>
      </c>
      <c r="AK159" s="19">
        <v>111.46768898877301</v>
      </c>
      <c r="AL159" s="18">
        <v>-2.4565048527880599E-2</v>
      </c>
      <c r="AM159" s="19">
        <v>97.807025198396104</v>
      </c>
      <c r="AN159" s="18">
        <v>1.05962074915684E-2</v>
      </c>
      <c r="AO159" s="19">
        <v>98.845011633149099</v>
      </c>
      <c r="AP159" s="18">
        <v>2.2805381030526202E-3</v>
      </c>
      <c r="AQ159" s="19">
        <v>96.640698862283799</v>
      </c>
      <c r="AR159" s="18">
        <v>1.1532988373145E-2</v>
      </c>
      <c r="AS159" s="19">
        <v>100.893386744902</v>
      </c>
      <c r="AT159" s="18">
        <v>-1.3316306621749501E-2</v>
      </c>
      <c r="AU159" s="19">
        <v>93.101940457155195</v>
      </c>
      <c r="AV159" s="18">
        <v>-1.4686549380261401E-2</v>
      </c>
      <c r="AW159" s="19">
        <v>96.753491126793307</v>
      </c>
      <c r="AX159" s="18">
        <v>1.5714720150385299E-2</v>
      </c>
      <c r="AY159" s="19">
        <v>97.442259445213793</v>
      </c>
      <c r="AZ159" s="18">
        <v>7.9359080947476492E-3</v>
      </c>
      <c r="BA159" s="19">
        <v>85.139720072531006</v>
      </c>
      <c r="BB159" s="18">
        <v>-0.10281212100889001</v>
      </c>
      <c r="BC159" s="19">
        <v>91.263354000473001</v>
      </c>
      <c r="BD159" s="18">
        <v>-6.1091580222970003E-2</v>
      </c>
      <c r="BE159" s="19">
        <v>99.840120538330098</v>
      </c>
      <c r="BF159" s="18">
        <v>-5.6256254741345896E-3</v>
      </c>
      <c r="BG159" s="19"/>
      <c r="BH159" s="18"/>
    </row>
    <row r="160" spans="1:60" x14ac:dyDescent="0.2">
      <c r="A160" s="16">
        <v>2017</v>
      </c>
      <c r="B160" s="16">
        <v>1</v>
      </c>
      <c r="C160" s="19">
        <v>100.289792329519</v>
      </c>
      <c r="D160" s="18">
        <v>-2.0686417037171201E-3</v>
      </c>
      <c r="E160" s="19">
        <v>100.142498771204</v>
      </c>
      <c r="F160" s="18">
        <v>-3.3622626564058199E-3</v>
      </c>
      <c r="G160" s="19">
        <v>91.640909205095497</v>
      </c>
      <c r="H160" s="18">
        <v>1.7215941998802699E-2</v>
      </c>
      <c r="I160" s="19">
        <v>109.99798465687201</v>
      </c>
      <c r="J160" s="18">
        <v>-4.09842116296135E-2</v>
      </c>
      <c r="K160" s="19">
        <v>102.275171631723</v>
      </c>
      <c r="L160" s="18">
        <v>-2.6301542460942001E-2</v>
      </c>
      <c r="M160" s="19">
        <v>112.22696152778801</v>
      </c>
      <c r="N160" s="18">
        <v>-5.8139572565011503E-2</v>
      </c>
      <c r="O160" s="19">
        <v>96.957361843152199</v>
      </c>
      <c r="P160" s="18">
        <v>-9.0790043590495105E-3</v>
      </c>
      <c r="Q160" s="19">
        <v>88.164292061690105</v>
      </c>
      <c r="R160" s="18">
        <v>-0.122596176651594</v>
      </c>
      <c r="S160" s="19">
        <v>135.25618810648999</v>
      </c>
      <c r="T160" s="18">
        <v>0.18981460449082799</v>
      </c>
      <c r="U160" s="19">
        <v>98.974177405453403</v>
      </c>
      <c r="V160" s="18">
        <v>-1.32179570600027E-2</v>
      </c>
      <c r="W160" s="19">
        <v>100.180481269957</v>
      </c>
      <c r="X160" s="18">
        <v>3.6410415692262402E-2</v>
      </c>
      <c r="Y160" s="19">
        <v>98.4999051798209</v>
      </c>
      <c r="Z160" s="18">
        <v>-2.3100042024232202E-3</v>
      </c>
      <c r="AA160" s="19">
        <v>100.347907402679</v>
      </c>
      <c r="AB160" s="18">
        <v>2.1458684104342901E-2</v>
      </c>
      <c r="AC160" s="19">
        <v>97.859955138618204</v>
      </c>
      <c r="AD160" s="18">
        <v>-2.9796689252708001E-3</v>
      </c>
      <c r="AE160" s="19">
        <v>99.499689006898805</v>
      </c>
      <c r="AF160" s="18">
        <v>-4.9736675190895597E-3</v>
      </c>
      <c r="AG160" s="19">
        <v>106.734504607904</v>
      </c>
      <c r="AH160" s="18">
        <v>-3.2087476933903097E-2</v>
      </c>
      <c r="AI160" s="19">
        <v>109.723706756974</v>
      </c>
      <c r="AJ160" s="18">
        <v>-2.9050231723268899E-2</v>
      </c>
      <c r="AK160" s="19">
        <v>108.980279876607</v>
      </c>
      <c r="AL160" s="18">
        <v>-4.8157183481459698E-2</v>
      </c>
      <c r="AM160" s="19">
        <v>97.763611235168995</v>
      </c>
      <c r="AN160" s="18">
        <v>6.7986602440210904E-3</v>
      </c>
      <c r="AO160" s="19">
        <v>98.838010162116802</v>
      </c>
      <c r="AP160" s="18">
        <v>5.8658988271753599E-4</v>
      </c>
      <c r="AQ160" s="19">
        <v>96.138904707720798</v>
      </c>
      <c r="AR160" s="18">
        <v>1.91717735714025E-3</v>
      </c>
      <c r="AS160" s="19">
        <v>100.59955521885</v>
      </c>
      <c r="AT160" s="18">
        <v>-1.7767933350935301E-2</v>
      </c>
      <c r="AU160" s="19">
        <v>93.253654099263599</v>
      </c>
      <c r="AV160" s="18">
        <v>-6.1146376220455601E-3</v>
      </c>
      <c r="AW160" s="19">
        <v>96.807048365358696</v>
      </c>
      <c r="AX160" s="18">
        <v>9.1382330842755301E-3</v>
      </c>
      <c r="AY160" s="19">
        <v>96.530040410994303</v>
      </c>
      <c r="AZ160" s="18">
        <v>4.9598496266201096E-3</v>
      </c>
      <c r="BA160" s="19">
        <v>104.845042067058</v>
      </c>
      <c r="BB160" s="18">
        <v>3.8880643525896402E-2</v>
      </c>
      <c r="BC160" s="19">
        <v>102.73549015799099</v>
      </c>
      <c r="BD160" s="18">
        <v>2.0151731043869501E-2</v>
      </c>
      <c r="BE160" s="19">
        <v>99.734792089257994</v>
      </c>
      <c r="BF160" s="18">
        <v>-5.0616514570359598E-3</v>
      </c>
      <c r="BG160" s="19"/>
      <c r="BH160" s="18"/>
    </row>
    <row r="161" spans="1:60" x14ac:dyDescent="0.2">
      <c r="A161" s="16">
        <v>2017</v>
      </c>
      <c r="B161" s="16">
        <v>2</v>
      </c>
      <c r="C161" s="19">
        <v>99.658006974065898</v>
      </c>
      <c r="D161" s="18">
        <v>-1.03406133475911E-2</v>
      </c>
      <c r="E161" s="19">
        <v>99.938974427672505</v>
      </c>
      <c r="F161" s="18">
        <v>-5.97657763195103E-3</v>
      </c>
      <c r="G161" s="19">
        <v>90.525512805568894</v>
      </c>
      <c r="H161" s="18">
        <v>-2.6798588218913699E-3</v>
      </c>
      <c r="I161" s="19">
        <v>109.733266824925</v>
      </c>
      <c r="J161" s="18">
        <v>-3.4112451268783497E-2</v>
      </c>
      <c r="K161" s="19">
        <v>101.043810845141</v>
      </c>
      <c r="L161" s="18">
        <v>-3.8271208689446903E-2</v>
      </c>
      <c r="M161" s="19">
        <v>109.99020640235899</v>
      </c>
      <c r="N161" s="18">
        <v>-7.2362072435986594E-2</v>
      </c>
      <c r="O161" s="19">
        <v>96.159611403865597</v>
      </c>
      <c r="P161" s="18">
        <v>-2.0120417458678201E-2</v>
      </c>
      <c r="Q161" s="19">
        <v>89.353296717341607</v>
      </c>
      <c r="R161" s="18">
        <v>-6.2239573889207603E-2</v>
      </c>
      <c r="S161" s="19">
        <v>137.02595519595801</v>
      </c>
      <c r="T161" s="18">
        <v>8.2595961790911096E-2</v>
      </c>
      <c r="U161" s="19">
        <v>99.220892360932694</v>
      </c>
      <c r="V161" s="18">
        <v>-2.5418745546360601E-3</v>
      </c>
      <c r="W161" s="19">
        <v>101.09388549916901</v>
      </c>
      <c r="X161" s="18">
        <v>4.0040764955442801E-2</v>
      </c>
      <c r="Y161" s="19">
        <v>99.645970522300701</v>
      </c>
      <c r="Z161" s="18">
        <v>-3.8967035242179998E-3</v>
      </c>
      <c r="AA161" s="19">
        <v>98.779341361191399</v>
      </c>
      <c r="AB161" s="18">
        <v>2.0420418253925799E-3</v>
      </c>
      <c r="AC161" s="19">
        <v>97.903750153834594</v>
      </c>
      <c r="AD161" s="18">
        <v>4.7561152614841199E-3</v>
      </c>
      <c r="AE161" s="19">
        <v>99.560108344814907</v>
      </c>
      <c r="AF161" s="18">
        <v>-1.6598272122709801E-3</v>
      </c>
      <c r="AG161" s="19">
        <v>106.18429664438</v>
      </c>
      <c r="AH161" s="18">
        <v>-3.4863066445190903E-2</v>
      </c>
      <c r="AI161" s="19">
        <v>109.259661841211</v>
      </c>
      <c r="AJ161" s="18">
        <v>-3.05397395119761E-2</v>
      </c>
      <c r="AK161" s="19">
        <v>107.98752892644301</v>
      </c>
      <c r="AL161" s="18">
        <v>-5.3668409656665098E-2</v>
      </c>
      <c r="AM161" s="19">
        <v>97.750987260654398</v>
      </c>
      <c r="AN161" s="18">
        <v>2.9411362695126501E-3</v>
      </c>
      <c r="AO161" s="19">
        <v>98.797815209061895</v>
      </c>
      <c r="AP161" s="18">
        <v>-4.3426501120558098E-4</v>
      </c>
      <c r="AQ161" s="19">
        <v>95.873428337639496</v>
      </c>
      <c r="AR161" s="18">
        <v>-1.2861702819436699E-3</v>
      </c>
      <c r="AS161" s="19">
        <v>100.377419022431</v>
      </c>
      <c r="AT161" s="18">
        <v>-1.97827471742433E-2</v>
      </c>
      <c r="AU161" s="19">
        <v>93.614240740120806</v>
      </c>
      <c r="AV161" s="18">
        <v>2.1989652639720098E-3</v>
      </c>
      <c r="AW161" s="19">
        <v>96.771730629643898</v>
      </c>
      <c r="AX161" s="18">
        <v>4.3860195408336198E-3</v>
      </c>
      <c r="AY161" s="19">
        <v>97.433365615288494</v>
      </c>
      <c r="AZ161" s="18">
        <v>1.0052509298097E-2</v>
      </c>
      <c r="BA161" s="19">
        <v>90.6284548870333</v>
      </c>
      <c r="BB161" s="18">
        <v>-0.142569757646375</v>
      </c>
      <c r="BC161" s="19">
        <v>94.474490596124397</v>
      </c>
      <c r="BD161" s="18">
        <v>-8.6452681982208499E-2</v>
      </c>
      <c r="BE161" s="19">
        <v>99.672603837215703</v>
      </c>
      <c r="BF161" s="18">
        <v>-4.2083830582296802E-3</v>
      </c>
      <c r="BG161" s="19"/>
      <c r="BH161" s="18"/>
    </row>
    <row r="162" spans="1:60" x14ac:dyDescent="0.2">
      <c r="A162" s="16">
        <v>2017</v>
      </c>
      <c r="B162" s="16">
        <v>3</v>
      </c>
      <c r="C162" s="19">
        <v>100.245149863153</v>
      </c>
      <c r="D162" s="18">
        <v>-3.23859878187849E-3</v>
      </c>
      <c r="E162" s="19">
        <v>99.971694061783694</v>
      </c>
      <c r="F162" s="18">
        <v>-5.4943105902893804E-3</v>
      </c>
      <c r="G162" s="19">
        <v>91.611777851595804</v>
      </c>
      <c r="H162" s="18">
        <v>-1.6687546415383302E-2</v>
      </c>
      <c r="I162" s="19">
        <v>107.120784564565</v>
      </c>
      <c r="J162" s="18">
        <v>-4.70678200644414E-2</v>
      </c>
      <c r="K162" s="19">
        <v>100.81200780974901</v>
      </c>
      <c r="L162" s="18">
        <v>-3.3793284834262902E-2</v>
      </c>
      <c r="M162" s="19">
        <v>110.963708857001</v>
      </c>
      <c r="N162" s="18">
        <v>-5.44508567732543E-2</v>
      </c>
      <c r="O162" s="19">
        <v>95.407789607212493</v>
      </c>
      <c r="P162" s="18">
        <v>-2.30546215459967E-2</v>
      </c>
      <c r="Q162" s="19">
        <v>90.138341144033305</v>
      </c>
      <c r="R162" s="18">
        <v>-4.46464055929379E-2</v>
      </c>
      <c r="S162" s="19">
        <v>141.385945581589</v>
      </c>
      <c r="T162" s="18">
        <v>0.15728849761296801</v>
      </c>
      <c r="U162" s="19">
        <v>99.040108619126599</v>
      </c>
      <c r="V162" s="18">
        <v>-1.58669381408749E-3</v>
      </c>
      <c r="W162" s="19">
        <v>101.751159593701</v>
      </c>
      <c r="X162" s="18">
        <v>3.2641827156817203E-2</v>
      </c>
      <c r="Y162" s="19">
        <v>99.100765678121604</v>
      </c>
      <c r="Z162" s="18">
        <v>-6.2545684732873098E-4</v>
      </c>
      <c r="AA162" s="19">
        <v>98.084745282015305</v>
      </c>
      <c r="AB162" s="18">
        <v>-8.9353115223628193E-3</v>
      </c>
      <c r="AC162" s="19">
        <v>96.898136981419995</v>
      </c>
      <c r="AD162" s="18">
        <v>-1.75248264045058E-3</v>
      </c>
      <c r="AE162" s="19">
        <v>99.278659776467507</v>
      </c>
      <c r="AF162" s="18">
        <v>-3.8054758024923499E-3</v>
      </c>
      <c r="AG162" s="19">
        <v>106.044925458462</v>
      </c>
      <c r="AH162" s="18">
        <v>-2.5984695701908801E-2</v>
      </c>
      <c r="AI162" s="19">
        <v>108.50773253598</v>
      </c>
      <c r="AJ162" s="18">
        <v>-2.2481593374647401E-2</v>
      </c>
      <c r="AK162" s="19">
        <v>108.415698731078</v>
      </c>
      <c r="AL162" s="18">
        <v>-4.1647576550511399E-2</v>
      </c>
      <c r="AM162" s="19">
        <v>97.846156001483195</v>
      </c>
      <c r="AN162" s="18">
        <v>2.3463037230866401E-3</v>
      </c>
      <c r="AO162" s="19">
        <v>98.848646226568803</v>
      </c>
      <c r="AP162" s="18">
        <v>6.28696996858302E-5</v>
      </c>
      <c r="AQ162" s="19">
        <v>96.7648762062381</v>
      </c>
      <c r="AR162" s="18">
        <v>2.3595346263030098E-3</v>
      </c>
      <c r="AS162" s="19">
        <v>99.847619415109094</v>
      </c>
      <c r="AT162" s="18">
        <v>-1.6268954936188101E-2</v>
      </c>
      <c r="AU162" s="19">
        <v>94.544512977081695</v>
      </c>
      <c r="AV162" s="18">
        <v>1.44336181817843E-2</v>
      </c>
      <c r="AW162" s="19">
        <v>96.671041606364696</v>
      </c>
      <c r="AX162" s="18">
        <v>7.7196545138358296E-4</v>
      </c>
      <c r="AY162" s="19">
        <v>97.195035884098999</v>
      </c>
      <c r="AZ162" s="18">
        <v>1.9691753635509E-3</v>
      </c>
      <c r="BA162" s="19">
        <v>108.89361926039101</v>
      </c>
      <c r="BB162" s="18">
        <v>6.7979791568873599E-2</v>
      </c>
      <c r="BC162" s="19">
        <v>105.03661295865</v>
      </c>
      <c r="BD162" s="18">
        <v>3.8085004878764199E-2</v>
      </c>
      <c r="BE162" s="19">
        <v>99.653716864681599</v>
      </c>
      <c r="BF162" s="18">
        <v>-3.0622509334884401E-3</v>
      </c>
      <c r="BG162" s="19"/>
      <c r="BH162" s="18"/>
    </row>
    <row r="163" spans="1:60" x14ac:dyDescent="0.2">
      <c r="A163" s="16">
        <v>2017</v>
      </c>
      <c r="B163" s="16">
        <v>4</v>
      </c>
      <c r="C163" s="19">
        <v>100.23567615015401</v>
      </c>
      <c r="D163" s="18">
        <v>2.1664079793408701E-3</v>
      </c>
      <c r="E163" s="19">
        <v>100.365973505222</v>
      </c>
      <c r="F163" s="18">
        <v>-1.20115367820872E-3</v>
      </c>
      <c r="G163" s="19">
        <v>91.773255536252506</v>
      </c>
      <c r="H163" s="18">
        <v>-9.2895199630786997E-3</v>
      </c>
      <c r="I163" s="19">
        <v>103.60044645126101</v>
      </c>
      <c r="J163" s="18">
        <v>-6.5131715505964499E-2</v>
      </c>
      <c r="K163" s="19">
        <v>101.712837964496</v>
      </c>
      <c r="L163" s="18">
        <v>-1.8399617773188801E-2</v>
      </c>
      <c r="M163" s="19">
        <v>112.268712373235</v>
      </c>
      <c r="N163" s="18">
        <v>-2.8936137813207301E-2</v>
      </c>
      <c r="O163" s="19">
        <v>96.068447773344104</v>
      </c>
      <c r="P163" s="18">
        <v>-1.2984290625232899E-2</v>
      </c>
      <c r="Q163" s="19">
        <v>87.919925323183605</v>
      </c>
      <c r="R163" s="18">
        <v>-4.2484995021816803E-2</v>
      </c>
      <c r="S163" s="19">
        <v>144.16310699442201</v>
      </c>
      <c r="T163" s="18">
        <v>0.14493171646685399</v>
      </c>
      <c r="U163" s="19">
        <v>98.335800984642205</v>
      </c>
      <c r="V163" s="18">
        <v>-6.4066819746846403E-3</v>
      </c>
      <c r="W163" s="19">
        <v>103.15962491072899</v>
      </c>
      <c r="X163" s="18">
        <v>3.1969167293932198E-2</v>
      </c>
      <c r="Y163" s="19">
        <v>100.27315306573</v>
      </c>
      <c r="Z163" s="18">
        <v>9.7584782037229995E-3</v>
      </c>
      <c r="AA163" s="19">
        <v>97.491949444373105</v>
      </c>
      <c r="AB163" s="18">
        <v>-1.7185920958559E-2</v>
      </c>
      <c r="AC163" s="19">
        <v>96.029397481243393</v>
      </c>
      <c r="AD163" s="18">
        <v>-2.6599679693944901E-3</v>
      </c>
      <c r="AE163" s="19">
        <v>98.750397648450203</v>
      </c>
      <c r="AF163" s="18">
        <v>-6.2689474364860899E-3</v>
      </c>
      <c r="AG163" s="19">
        <v>107.162706798814</v>
      </c>
      <c r="AH163" s="18">
        <v>-9.3123867135095403E-3</v>
      </c>
      <c r="AI163" s="19">
        <v>109.24821536890801</v>
      </c>
      <c r="AJ163" s="18">
        <v>-1.39046568812107E-2</v>
      </c>
      <c r="AK163" s="19">
        <v>110.359392637477</v>
      </c>
      <c r="AL163" s="18">
        <v>-9.9427588510180298E-3</v>
      </c>
      <c r="AM163" s="19">
        <v>97.720063249924607</v>
      </c>
      <c r="AN163" s="18">
        <v>-8.8911760985532805E-4</v>
      </c>
      <c r="AO163" s="19">
        <v>98.921709895712098</v>
      </c>
      <c r="AP163" s="18">
        <v>7.7594469660913201E-4</v>
      </c>
      <c r="AQ163" s="19">
        <v>97.202977384404505</v>
      </c>
      <c r="AR163" s="18">
        <v>5.8182373341686402E-3</v>
      </c>
      <c r="AS163" s="19">
        <v>99.596834813519806</v>
      </c>
      <c r="AT163" s="18">
        <v>-1.28507127494943E-2</v>
      </c>
      <c r="AU163" s="19">
        <v>92.922385004155899</v>
      </c>
      <c r="AV163" s="18">
        <v>-1.9285898029364199E-3</v>
      </c>
      <c r="AW163" s="19">
        <v>96.604968873664006</v>
      </c>
      <c r="AX163" s="18">
        <v>-1.5350583363921101E-3</v>
      </c>
      <c r="AY163" s="19">
        <v>98.025878314077502</v>
      </c>
      <c r="AZ163" s="18">
        <v>5.9893815289839801E-3</v>
      </c>
      <c r="BA163" s="19">
        <v>95.941715076831699</v>
      </c>
      <c r="BB163" s="18">
        <v>0.12687374347834901</v>
      </c>
      <c r="BC163" s="19">
        <v>97.560254198192098</v>
      </c>
      <c r="BD163" s="18">
        <v>6.8997028069848004E-2</v>
      </c>
      <c r="BE163" s="19">
        <v>99.678299071169803</v>
      </c>
      <c r="BF163" s="18">
        <v>-1.62080600752301E-3</v>
      </c>
      <c r="BG163" s="19"/>
      <c r="BH163" s="18"/>
    </row>
    <row r="164" spans="1:60" x14ac:dyDescent="0.2">
      <c r="A164" s="16">
        <v>2018</v>
      </c>
      <c r="B164" s="16">
        <v>1</v>
      </c>
      <c r="C164" s="19">
        <v>100.390945662877</v>
      </c>
      <c r="D164" s="18">
        <v>1.0086104578375099E-3</v>
      </c>
      <c r="E164" s="19">
        <v>100.70388577198899</v>
      </c>
      <c r="F164" s="18">
        <v>5.6058816953177297E-3</v>
      </c>
      <c r="G164" s="19">
        <v>89.701498392046005</v>
      </c>
      <c r="H164" s="18">
        <v>-2.1163155515066302E-2</v>
      </c>
      <c r="I164" s="19">
        <v>101.71704800541799</v>
      </c>
      <c r="J164" s="18">
        <v>-7.5282621561527902E-2</v>
      </c>
      <c r="K164" s="19">
        <v>101.776177859849</v>
      </c>
      <c r="L164" s="18">
        <v>-4.8789336054166901E-3</v>
      </c>
      <c r="M164" s="19">
        <v>110.87750486925199</v>
      </c>
      <c r="N164" s="18">
        <v>-1.20243535079744E-2</v>
      </c>
      <c r="O164" s="19">
        <v>96.848438704894093</v>
      </c>
      <c r="P164" s="18">
        <v>-1.12341276812289E-3</v>
      </c>
      <c r="Q164" s="19">
        <v>90.459177464087603</v>
      </c>
      <c r="R164" s="18">
        <v>2.6029647022989301E-2</v>
      </c>
      <c r="S164" s="19">
        <v>146.98801292034301</v>
      </c>
      <c r="T164" s="18">
        <v>8.6737804592096998E-2</v>
      </c>
      <c r="U164" s="19">
        <v>97.616003035889406</v>
      </c>
      <c r="V164" s="18">
        <v>-1.37225123276355E-2</v>
      </c>
      <c r="W164" s="19">
        <v>104.745402839625</v>
      </c>
      <c r="X164" s="18">
        <v>4.5566975840003202E-2</v>
      </c>
      <c r="Y164" s="19">
        <v>99.254111205452404</v>
      </c>
      <c r="Z164" s="18">
        <v>7.6569213366708402E-3</v>
      </c>
      <c r="AA164" s="19">
        <v>98.132716119688993</v>
      </c>
      <c r="AB164" s="18">
        <v>-2.2075111881515098E-2</v>
      </c>
      <c r="AC164" s="19">
        <v>97.595960010412696</v>
      </c>
      <c r="AD164" s="18">
        <v>-2.6976829064716502E-3</v>
      </c>
      <c r="AE164" s="19">
        <v>98.704557418117005</v>
      </c>
      <c r="AF164" s="18">
        <v>-7.9912972263328497E-3</v>
      </c>
      <c r="AG164" s="19">
        <v>109.26359496724599</v>
      </c>
      <c r="AH164" s="18">
        <v>2.36951524592082E-2</v>
      </c>
      <c r="AI164" s="19">
        <v>110.810296345563</v>
      </c>
      <c r="AJ164" s="18">
        <v>9.9029609981733397E-3</v>
      </c>
      <c r="AK164" s="19">
        <v>114.09274435125801</v>
      </c>
      <c r="AL164" s="18">
        <v>4.6911831025204999E-2</v>
      </c>
      <c r="AM164" s="19">
        <v>97.583783399374596</v>
      </c>
      <c r="AN164" s="18">
        <v>-1.8394148244155199E-3</v>
      </c>
      <c r="AO164" s="19">
        <v>98.919015934537498</v>
      </c>
      <c r="AP164" s="18">
        <v>8.1958117416425203E-4</v>
      </c>
      <c r="AQ164" s="19">
        <v>97.003225952727007</v>
      </c>
      <c r="AR164" s="18">
        <v>8.9903379660283295E-3</v>
      </c>
      <c r="AS164" s="19">
        <v>98.867648639695304</v>
      </c>
      <c r="AT164" s="18">
        <v>-1.7215847280706201E-2</v>
      </c>
      <c r="AU164" s="19">
        <v>92.105549922517795</v>
      </c>
      <c r="AV164" s="18">
        <v>-1.2311626689970699E-2</v>
      </c>
      <c r="AW164" s="19">
        <v>96.642014504633096</v>
      </c>
      <c r="AX164" s="18">
        <v>-1.70477112475109E-3</v>
      </c>
      <c r="AY164" s="19">
        <v>98.136723789570098</v>
      </c>
      <c r="AZ164" s="18">
        <v>1.66443872988664E-2</v>
      </c>
      <c r="BA164" s="19">
        <v>89.837390437771901</v>
      </c>
      <c r="BB164" s="18">
        <v>-0.14314126193670901</v>
      </c>
      <c r="BC164" s="19">
        <v>94.165148904130007</v>
      </c>
      <c r="BD164" s="18">
        <v>-8.3421427597038703E-2</v>
      </c>
      <c r="BE164" s="19">
        <v>99.747010446339601</v>
      </c>
      <c r="BF164" s="18">
        <v>1.22508472978344E-4</v>
      </c>
      <c r="BG164" s="19"/>
      <c r="BH164" s="18"/>
    </row>
    <row r="165" spans="1:60" x14ac:dyDescent="0.2">
      <c r="A165" s="16">
        <v>2018</v>
      </c>
      <c r="B165" s="16">
        <v>2</v>
      </c>
      <c r="C165" s="19">
        <v>101.02647426209499</v>
      </c>
      <c r="D165" s="18">
        <v>1.37316341113012E-2</v>
      </c>
      <c r="E165" s="19">
        <v>100.872193241557</v>
      </c>
      <c r="F165" s="18">
        <v>9.3378866376039298E-3</v>
      </c>
      <c r="G165" s="19">
        <v>87.928921029214905</v>
      </c>
      <c r="H165" s="18">
        <v>-2.86835356782899E-2</v>
      </c>
      <c r="I165" s="19">
        <v>99.108819613101105</v>
      </c>
      <c r="J165" s="18">
        <v>-9.6820659032918102E-2</v>
      </c>
      <c r="K165" s="19">
        <v>101.13893469476101</v>
      </c>
      <c r="L165" s="18">
        <v>9.4141193631491803E-4</v>
      </c>
      <c r="M165" s="19">
        <v>111.165289479599</v>
      </c>
      <c r="N165" s="18">
        <v>1.06835246125621E-2</v>
      </c>
      <c r="O165" s="19">
        <v>95.766016281057802</v>
      </c>
      <c r="P165" s="18">
        <v>-4.0931438580247299E-3</v>
      </c>
      <c r="Q165" s="19">
        <v>86.732877661707604</v>
      </c>
      <c r="R165" s="18">
        <v>-2.93264955172657E-2</v>
      </c>
      <c r="S165" s="19">
        <v>146.51064783035099</v>
      </c>
      <c r="T165" s="18">
        <v>6.9218219430248598E-2</v>
      </c>
      <c r="U165" s="19">
        <v>97.315586015265296</v>
      </c>
      <c r="V165" s="18">
        <v>-1.9202672948521401E-2</v>
      </c>
      <c r="W165" s="19">
        <v>106.424372447708</v>
      </c>
      <c r="X165" s="18">
        <v>5.2728084613816999E-2</v>
      </c>
      <c r="Y165" s="19">
        <v>100.437382207193</v>
      </c>
      <c r="Z165" s="18">
        <v>7.9422347009563393E-3</v>
      </c>
      <c r="AA165" s="19">
        <v>98.203997340459793</v>
      </c>
      <c r="AB165" s="18">
        <v>-5.8245379327631604E-3</v>
      </c>
      <c r="AC165" s="19">
        <v>96.551543857293197</v>
      </c>
      <c r="AD165" s="18">
        <v>-1.3811588365273899E-2</v>
      </c>
      <c r="AE165" s="19">
        <v>98.830442204765305</v>
      </c>
      <c r="AF165" s="18">
        <v>-7.3289006227525997E-3</v>
      </c>
      <c r="AG165" s="19">
        <v>110.929802858073</v>
      </c>
      <c r="AH165" s="18">
        <v>4.4691224254994201E-2</v>
      </c>
      <c r="AI165" s="19">
        <v>112.820227486627</v>
      </c>
      <c r="AJ165" s="18">
        <v>3.2588107865383999E-2</v>
      </c>
      <c r="AK165" s="19">
        <v>116.026106714837</v>
      </c>
      <c r="AL165" s="18">
        <v>7.44398716065586E-2</v>
      </c>
      <c r="AM165" s="19">
        <v>97.618418098854406</v>
      </c>
      <c r="AN165" s="18">
        <v>-1.3561925614768999E-3</v>
      </c>
      <c r="AO165" s="19">
        <v>99.047119501664497</v>
      </c>
      <c r="AP165" s="18">
        <v>2.5233785997695901E-3</v>
      </c>
      <c r="AQ165" s="19">
        <v>96.831282481596901</v>
      </c>
      <c r="AR165" s="18">
        <v>9.9908197773439494E-3</v>
      </c>
      <c r="AS165" s="19">
        <v>99.031324765891696</v>
      </c>
      <c r="AT165" s="18">
        <v>-1.3410329431144299E-2</v>
      </c>
      <c r="AU165" s="19">
        <v>91.517564685525102</v>
      </c>
      <c r="AV165" s="18">
        <v>-2.2396977618140902E-2</v>
      </c>
      <c r="AW165" s="19">
        <v>96.637833248400796</v>
      </c>
      <c r="AX165" s="18">
        <v>-1.38364148674275E-3</v>
      </c>
      <c r="AY165" s="19">
        <v>97.198504658140195</v>
      </c>
      <c r="AZ165" s="18">
        <v>-2.4104777215194799E-3</v>
      </c>
      <c r="BA165" s="19">
        <v>106.133561353</v>
      </c>
      <c r="BB165" s="18">
        <v>0.17108430774080099</v>
      </c>
      <c r="BC165" s="19">
        <v>103.49747751909</v>
      </c>
      <c r="BD165" s="18">
        <v>9.5507124367982393E-2</v>
      </c>
      <c r="BE165" s="19">
        <v>99.874700324475896</v>
      </c>
      <c r="BF165" s="18">
        <v>2.0276031675696702E-3</v>
      </c>
      <c r="BG165" s="19"/>
      <c r="BH165" s="18"/>
    </row>
    <row r="166" spans="1:60" x14ac:dyDescent="0.2">
      <c r="A166" s="16">
        <v>2018</v>
      </c>
      <c r="B166" s="16">
        <v>3</v>
      </c>
      <c r="C166" s="19">
        <v>101.099602979964</v>
      </c>
      <c r="D166" s="18">
        <v>8.5236354873801101E-3</v>
      </c>
      <c r="E166" s="19">
        <v>100.971211158259</v>
      </c>
      <c r="F166" s="18">
        <v>9.9980009927373992E-3</v>
      </c>
      <c r="G166" s="19">
        <v>88.056428351815597</v>
      </c>
      <c r="H166" s="18">
        <v>-3.8808869155880603E-2</v>
      </c>
      <c r="I166" s="19">
        <v>98.731376657521906</v>
      </c>
      <c r="J166" s="18">
        <v>-7.83172746647193E-2</v>
      </c>
      <c r="K166" s="19">
        <v>101.004373038054</v>
      </c>
      <c r="L166" s="18">
        <v>1.90815789194665E-3</v>
      </c>
      <c r="M166" s="19">
        <v>109.12040099255999</v>
      </c>
      <c r="N166" s="18">
        <v>-1.66118083419136E-2</v>
      </c>
      <c r="O166" s="19">
        <v>96.557677797960807</v>
      </c>
      <c r="P166" s="18">
        <v>1.20523512333983E-2</v>
      </c>
      <c r="Q166" s="19">
        <v>85.467375770858098</v>
      </c>
      <c r="R166" s="18">
        <v>-5.1819961560102601E-2</v>
      </c>
      <c r="S166" s="19">
        <v>138.55579750394401</v>
      </c>
      <c r="T166" s="18">
        <v>-2.0017181099603501E-2</v>
      </c>
      <c r="U166" s="19">
        <v>96.708781235693806</v>
      </c>
      <c r="V166" s="18">
        <v>-2.35392248245435E-2</v>
      </c>
      <c r="W166" s="19">
        <v>106.73635707467101</v>
      </c>
      <c r="X166" s="18">
        <v>4.8994011477374401E-2</v>
      </c>
      <c r="Y166" s="19">
        <v>100.16234074214501</v>
      </c>
      <c r="Z166" s="18">
        <v>1.0712077316043799E-2</v>
      </c>
      <c r="AA166" s="19">
        <v>98.195070734460103</v>
      </c>
      <c r="AB166" s="18">
        <v>1.12479725698056E-3</v>
      </c>
      <c r="AC166" s="19">
        <v>96.497153546087304</v>
      </c>
      <c r="AD166" s="18">
        <v>-4.1381955094721397E-3</v>
      </c>
      <c r="AE166" s="19">
        <v>99.082683742101807</v>
      </c>
      <c r="AF166" s="18">
        <v>-1.9739995967610301E-3</v>
      </c>
      <c r="AG166" s="19">
        <v>111.523621776846</v>
      </c>
      <c r="AH166" s="18">
        <v>5.1663917860266903E-2</v>
      </c>
      <c r="AI166" s="19">
        <v>113.600062669953</v>
      </c>
      <c r="AJ166" s="18">
        <v>4.6930573655515E-2</v>
      </c>
      <c r="AK166" s="19">
        <v>116.432692873723</v>
      </c>
      <c r="AL166" s="18">
        <v>7.3946801399407597E-2</v>
      </c>
      <c r="AM166" s="19">
        <v>97.850975345207601</v>
      </c>
      <c r="AN166" s="18">
        <v>4.9254297984635502E-5</v>
      </c>
      <c r="AO166" s="19">
        <v>99.244750905089006</v>
      </c>
      <c r="AP166" s="18">
        <v>4.0071836453101596E-3</v>
      </c>
      <c r="AQ166" s="19">
        <v>97.703455938822202</v>
      </c>
      <c r="AR166" s="18">
        <v>9.6995911055952604E-3</v>
      </c>
      <c r="AS166" s="19">
        <v>99.531228298570397</v>
      </c>
      <c r="AT166" s="18">
        <v>-3.1687397094892801E-3</v>
      </c>
      <c r="AU166" s="19">
        <v>91.467363226363901</v>
      </c>
      <c r="AV166" s="18">
        <v>-3.2547100342711001E-2</v>
      </c>
      <c r="AW166" s="19">
        <v>96.485350757740704</v>
      </c>
      <c r="AX166" s="18">
        <v>-1.9208528793976901E-3</v>
      </c>
      <c r="AY166" s="19">
        <v>97.7362005867043</v>
      </c>
      <c r="AZ166" s="18">
        <v>5.5678224477488901E-3</v>
      </c>
      <c r="BA166" s="19">
        <v>105.420348374574</v>
      </c>
      <c r="BB166" s="18">
        <v>-3.1896000054073302E-2</v>
      </c>
      <c r="BC166" s="19">
        <v>103.123244854159</v>
      </c>
      <c r="BD166" s="18">
        <v>-1.82162014805579E-2</v>
      </c>
      <c r="BE166" s="19">
        <v>100.062132902287</v>
      </c>
      <c r="BF166" s="18">
        <v>4.0983522788251604E-3</v>
      </c>
      <c r="BG166" s="19"/>
      <c r="BH166" s="18"/>
    </row>
    <row r="167" spans="1:60" x14ac:dyDescent="0.2">
      <c r="A167" s="16">
        <v>2018</v>
      </c>
      <c r="B167" s="16">
        <v>4</v>
      </c>
      <c r="C167" s="19">
        <v>100.904620367411</v>
      </c>
      <c r="D167" s="18">
        <v>6.6737138207677597E-3</v>
      </c>
      <c r="E167" s="19">
        <v>100.96818882716499</v>
      </c>
      <c r="F167" s="18">
        <v>6.0001940987637302E-3</v>
      </c>
      <c r="G167" s="19">
        <v>90.368756101609307</v>
      </c>
      <c r="H167" s="18">
        <v>-1.53040166924053E-2</v>
      </c>
      <c r="I167" s="19">
        <v>99.4919425288046</v>
      </c>
      <c r="J167" s="18">
        <v>-3.9657202871119998E-2</v>
      </c>
      <c r="K167" s="19">
        <v>99.816213464678199</v>
      </c>
      <c r="L167" s="18">
        <v>-1.8646854593518399E-2</v>
      </c>
      <c r="M167" s="19">
        <v>107.332040153954</v>
      </c>
      <c r="N167" s="18">
        <v>-4.3971932294632997E-2</v>
      </c>
      <c r="O167" s="19">
        <v>95.618457422831099</v>
      </c>
      <c r="P167" s="18">
        <v>-4.6840597609605402E-3</v>
      </c>
      <c r="Q167" s="19">
        <v>88.428029943373701</v>
      </c>
      <c r="R167" s="18">
        <v>5.7791748380395802E-3</v>
      </c>
      <c r="S167" s="19">
        <v>123.032020192126</v>
      </c>
      <c r="T167" s="18">
        <v>-0.14657763170374499</v>
      </c>
      <c r="U167" s="19">
        <v>96.849130033863204</v>
      </c>
      <c r="V167" s="18">
        <v>-1.51183082447378E-2</v>
      </c>
      <c r="W167" s="19">
        <v>107.11191908929599</v>
      </c>
      <c r="X167" s="18">
        <v>3.8312413233246898E-2</v>
      </c>
      <c r="Y167" s="19">
        <v>100.864994625712</v>
      </c>
      <c r="Z167" s="18">
        <v>5.9022933047041502E-3</v>
      </c>
      <c r="AA167" s="19">
        <v>98.200413605701598</v>
      </c>
      <c r="AB167" s="18">
        <v>7.2668991169651002E-3</v>
      </c>
      <c r="AC167" s="19">
        <v>95.769207037788604</v>
      </c>
      <c r="AD167" s="18">
        <v>-2.70948740989085E-3</v>
      </c>
      <c r="AE167" s="19">
        <v>99.402398390910506</v>
      </c>
      <c r="AF167" s="18">
        <v>6.6025125770265997E-3</v>
      </c>
      <c r="AG167" s="19">
        <v>111.45300757311099</v>
      </c>
      <c r="AH167" s="18">
        <v>4.0035390132056703E-2</v>
      </c>
      <c r="AI167" s="19">
        <v>114.005674302218</v>
      </c>
      <c r="AJ167" s="18">
        <v>4.3547246215835098E-2</v>
      </c>
      <c r="AK167" s="19">
        <v>115.40397063044399</v>
      </c>
      <c r="AL167" s="18">
        <v>4.5710454474302602E-2</v>
      </c>
      <c r="AM167" s="19">
        <v>98.133183908412704</v>
      </c>
      <c r="AN167" s="18">
        <v>4.2275930320621003E-3</v>
      </c>
      <c r="AO167" s="19">
        <v>99.519269439120194</v>
      </c>
      <c r="AP167" s="18">
        <v>6.0407320500028804E-3</v>
      </c>
      <c r="AQ167" s="19">
        <v>98.308509939344006</v>
      </c>
      <c r="AR167" s="18">
        <v>1.1373443331550199E-2</v>
      </c>
      <c r="AS167" s="19">
        <v>99.412586448821699</v>
      </c>
      <c r="AT167" s="18">
        <v>-1.84994196897004E-3</v>
      </c>
      <c r="AU167" s="19">
        <v>92.307034056928302</v>
      </c>
      <c r="AV167" s="18">
        <v>-6.6222035433123301E-3</v>
      </c>
      <c r="AW167" s="19">
        <v>96.556515362326607</v>
      </c>
      <c r="AX167" s="18">
        <v>-5.0156334505702105E-4</v>
      </c>
      <c r="AY167" s="19">
        <v>97.276329711896295</v>
      </c>
      <c r="AZ167" s="18">
        <v>-7.6464359725461097E-3</v>
      </c>
      <c r="BA167" s="19">
        <v>98.608108177300196</v>
      </c>
      <c r="BB167" s="18">
        <v>2.7791801494617199E-2</v>
      </c>
      <c r="BC167" s="19">
        <v>99.399481349220096</v>
      </c>
      <c r="BD167" s="18">
        <v>1.8852217700168001E-2</v>
      </c>
      <c r="BE167" s="19">
        <v>100.310547680182</v>
      </c>
      <c r="BF167" s="18">
        <v>6.3428912301237697E-3</v>
      </c>
      <c r="BG167" s="19"/>
      <c r="BH167" s="18"/>
    </row>
    <row r="168" spans="1:60" x14ac:dyDescent="0.2">
      <c r="A168" s="16">
        <v>2019</v>
      </c>
      <c r="B168" s="16">
        <v>1</v>
      </c>
      <c r="C168" s="19">
        <v>101.281315042282</v>
      </c>
      <c r="D168" s="18">
        <v>8.8690207421158202E-3</v>
      </c>
      <c r="E168" s="19">
        <v>101.107838694637</v>
      </c>
      <c r="F168" s="18">
        <v>4.01129429665259E-3</v>
      </c>
      <c r="G168" s="19">
        <v>91.815226571011294</v>
      </c>
      <c r="H168" s="18">
        <v>2.3564023086070099E-2</v>
      </c>
      <c r="I168" s="19">
        <v>101.19726615431399</v>
      </c>
      <c r="J168" s="18">
        <v>-5.11007605210889E-3</v>
      </c>
      <c r="K168" s="19">
        <v>100.090738952655</v>
      </c>
      <c r="L168" s="18">
        <v>-1.6560249585266099E-2</v>
      </c>
      <c r="M168" s="19">
        <v>106.138516400123</v>
      </c>
      <c r="N168" s="18">
        <v>-4.2740756790276897E-2</v>
      </c>
      <c r="O168" s="19">
        <v>96.675833996985702</v>
      </c>
      <c r="P168" s="18">
        <v>-1.7822146667155799E-3</v>
      </c>
      <c r="Q168" s="19">
        <v>93.772080218907206</v>
      </c>
      <c r="R168" s="18">
        <v>3.6623180175774199E-2</v>
      </c>
      <c r="S168" s="19">
        <v>114.19021722502799</v>
      </c>
      <c r="T168" s="18">
        <v>-0.22313245171284199</v>
      </c>
      <c r="U168" s="19">
        <v>96.998681121539406</v>
      </c>
      <c r="V168" s="18">
        <v>-6.3239826990566499E-3</v>
      </c>
      <c r="W168" s="19">
        <v>106.604675992463</v>
      </c>
      <c r="X168" s="18">
        <v>1.77504033822387E-2</v>
      </c>
      <c r="Y168" s="19">
        <v>99.672841341756595</v>
      </c>
      <c r="Z168" s="18">
        <v>4.21876868593829E-3</v>
      </c>
      <c r="AA168" s="19">
        <v>98.160444525682394</v>
      </c>
      <c r="AB168" s="18">
        <v>2.8256026216144599E-4</v>
      </c>
      <c r="AC168" s="19">
        <v>97.661530274319603</v>
      </c>
      <c r="AD168" s="18">
        <v>6.7185428474636499E-4</v>
      </c>
      <c r="AE168" s="19">
        <v>99.6127242074907</v>
      </c>
      <c r="AF168" s="18">
        <v>9.2008597488220101E-3</v>
      </c>
      <c r="AG168" s="19">
        <v>110.86587019681799</v>
      </c>
      <c r="AH168" s="18">
        <v>1.4664310011506001E-2</v>
      </c>
      <c r="AI168" s="19">
        <v>114.531374704501</v>
      </c>
      <c r="AJ168" s="18">
        <v>3.35806191451151E-2</v>
      </c>
      <c r="AK168" s="19">
        <v>112.86050467409299</v>
      </c>
      <c r="AL168" s="18">
        <v>-1.08003333969362E-2</v>
      </c>
      <c r="AM168" s="19">
        <v>98.439161720960101</v>
      </c>
      <c r="AN168" s="18">
        <v>8.7655785806619608E-3</v>
      </c>
      <c r="AO168" s="19">
        <v>99.824735486309095</v>
      </c>
      <c r="AP168" s="18">
        <v>9.1561722810806802E-3</v>
      </c>
      <c r="AQ168" s="19">
        <v>98.836145318651305</v>
      </c>
      <c r="AR168" s="18">
        <v>1.8895447526843499E-2</v>
      </c>
      <c r="AS168" s="19">
        <v>99.457477029484807</v>
      </c>
      <c r="AT168" s="18">
        <v>5.9658381473104401E-3</v>
      </c>
      <c r="AU168" s="19">
        <v>93.147756684228796</v>
      </c>
      <c r="AV168" s="18">
        <v>1.1315352468855001E-2</v>
      </c>
      <c r="AW168" s="19">
        <v>96.863334302689594</v>
      </c>
      <c r="AX168" s="18">
        <v>2.2900991788197302E-3</v>
      </c>
      <c r="AY168" s="19">
        <v>95.9659281985452</v>
      </c>
      <c r="AZ168" s="18">
        <v>-2.2120114746031899E-2</v>
      </c>
      <c r="BA168" s="19">
        <v>107.21175136239</v>
      </c>
      <c r="BB168" s="18">
        <v>0.19339788077051501</v>
      </c>
      <c r="BC168" s="19">
        <v>104.358475940639</v>
      </c>
      <c r="BD168" s="18">
        <v>0.108249465488419</v>
      </c>
      <c r="BE168" s="19">
        <v>100.621586577637</v>
      </c>
      <c r="BF168" s="18">
        <v>8.7679432935818796E-3</v>
      </c>
      <c r="BG168" s="19"/>
      <c r="BH168" s="18"/>
    </row>
    <row r="169" spans="1:60" x14ac:dyDescent="0.2">
      <c r="A169" s="16">
        <v>2019</v>
      </c>
      <c r="B169" s="16">
        <v>2</v>
      </c>
      <c r="C169" s="19">
        <v>100.88439623776399</v>
      </c>
      <c r="D169" s="18">
        <v>-1.4063444791987401E-3</v>
      </c>
      <c r="E169" s="19">
        <v>101.033828483069</v>
      </c>
      <c r="F169" s="18">
        <v>1.6023765947639199E-3</v>
      </c>
      <c r="G169" s="19">
        <v>91.939632661923</v>
      </c>
      <c r="H169" s="18">
        <v>4.5613110973754999E-2</v>
      </c>
      <c r="I169" s="19">
        <v>100.774096949094</v>
      </c>
      <c r="J169" s="18">
        <v>1.68025140698203E-2</v>
      </c>
      <c r="K169" s="19">
        <v>100.443682094685</v>
      </c>
      <c r="L169" s="18">
        <v>-6.8742329763949997E-3</v>
      </c>
      <c r="M169" s="19">
        <v>105.66357450496</v>
      </c>
      <c r="N169" s="18">
        <v>-4.9491302549510598E-2</v>
      </c>
      <c r="O169" s="19">
        <v>97.430207649466396</v>
      </c>
      <c r="P169" s="18">
        <v>1.73776819067477E-2</v>
      </c>
      <c r="Q169" s="19">
        <v>89.113611355243293</v>
      </c>
      <c r="R169" s="18">
        <v>2.7449033834913601E-2</v>
      </c>
      <c r="S169" s="19">
        <v>110.168984710668</v>
      </c>
      <c r="T169" s="18">
        <v>-0.24804793138150399</v>
      </c>
      <c r="U169" s="19">
        <v>97.018151759937098</v>
      </c>
      <c r="V169" s="18">
        <v>-3.0563886783927501E-3</v>
      </c>
      <c r="W169" s="19">
        <v>106.10149522000999</v>
      </c>
      <c r="X169" s="18">
        <v>-3.0338654602527501E-3</v>
      </c>
      <c r="Y169" s="19">
        <v>100.949232038495</v>
      </c>
      <c r="Z169" s="18">
        <v>5.0962084042127697E-3</v>
      </c>
      <c r="AA169" s="19">
        <v>97.821750467483298</v>
      </c>
      <c r="AB169" s="18">
        <v>-3.8923759045298399E-3</v>
      </c>
      <c r="AC169" s="19">
        <v>97.284475010334205</v>
      </c>
      <c r="AD169" s="18">
        <v>7.5910868305151301E-3</v>
      </c>
      <c r="AE169" s="19">
        <v>99.962358669493298</v>
      </c>
      <c r="AF169" s="18">
        <v>1.1453115451845099E-2</v>
      </c>
      <c r="AG169" s="19">
        <v>110.038738847185</v>
      </c>
      <c r="AH169" s="18">
        <v>-8.0326836245082599E-3</v>
      </c>
      <c r="AI169" s="19">
        <v>114.33530090489</v>
      </c>
      <c r="AJ169" s="18">
        <v>1.3429093807156E-2</v>
      </c>
      <c r="AK169" s="19">
        <v>110.488026180717</v>
      </c>
      <c r="AL169" s="18">
        <v>-4.7731331257467299E-2</v>
      </c>
      <c r="AM169" s="19">
        <v>98.770857193333597</v>
      </c>
      <c r="AN169" s="18">
        <v>1.18055497817235E-2</v>
      </c>
      <c r="AO169" s="19">
        <v>99.927211662259296</v>
      </c>
      <c r="AP169" s="18">
        <v>8.8855906665721296E-3</v>
      </c>
      <c r="AQ169" s="19">
        <v>98.788259205989206</v>
      </c>
      <c r="AR169" s="18">
        <v>2.0210170455649702E-2</v>
      </c>
      <c r="AS169" s="19">
        <v>99.506358389849794</v>
      </c>
      <c r="AT169" s="18">
        <v>4.7968016693813497E-3</v>
      </c>
      <c r="AU169" s="19">
        <v>94.362105132061799</v>
      </c>
      <c r="AV169" s="18">
        <v>3.1081907132376199E-2</v>
      </c>
      <c r="AW169" s="19">
        <v>97.312032065330101</v>
      </c>
      <c r="AX169" s="18">
        <v>6.97655146298937E-3</v>
      </c>
      <c r="AY169" s="19">
        <v>98.100924896444496</v>
      </c>
      <c r="AZ169" s="18">
        <v>9.2843016616170893E-3</v>
      </c>
      <c r="BA169" s="19">
        <v>95.615656287550806</v>
      </c>
      <c r="BB169" s="18">
        <v>-9.9100651399668796E-2</v>
      </c>
      <c r="BC169" s="19">
        <v>97.923801603483099</v>
      </c>
      <c r="BD169" s="18">
        <v>-5.3853253714121897E-2</v>
      </c>
      <c r="BE169" s="19">
        <v>100.772504321257</v>
      </c>
      <c r="BF169" s="18">
        <v>8.9893035359751607E-3</v>
      </c>
      <c r="BG169" s="19"/>
      <c r="BH169" s="18"/>
    </row>
    <row r="170" spans="1:60" x14ac:dyDescent="0.2">
      <c r="A170" s="16">
        <v>2019</v>
      </c>
      <c r="B170" s="16">
        <v>3</v>
      </c>
      <c r="C170" s="19">
        <v>100.655641483959</v>
      </c>
      <c r="D170" s="18">
        <v>-4.3913277888277804E-3</v>
      </c>
      <c r="E170" s="19">
        <v>100.794636062976</v>
      </c>
      <c r="F170" s="18">
        <v>-1.7487667351677701E-3</v>
      </c>
      <c r="G170" s="19">
        <v>94.2385527650749</v>
      </c>
      <c r="H170" s="18">
        <v>7.0206395251003501E-2</v>
      </c>
      <c r="I170" s="19">
        <v>100.95056088656401</v>
      </c>
      <c r="J170" s="18">
        <v>2.2476990640370599E-2</v>
      </c>
      <c r="K170" s="19">
        <v>100.404217187923</v>
      </c>
      <c r="L170" s="18">
        <v>-5.94187986202388E-3</v>
      </c>
      <c r="M170" s="19">
        <v>103.92027497533699</v>
      </c>
      <c r="N170" s="18">
        <v>-4.7654938672538602E-2</v>
      </c>
      <c r="O170" s="19">
        <v>98.403821501619802</v>
      </c>
      <c r="P170" s="18">
        <v>1.9119595103788099E-2</v>
      </c>
      <c r="Q170" s="19">
        <v>91.355828951960703</v>
      </c>
      <c r="R170" s="18">
        <v>6.8897086496370302E-2</v>
      </c>
      <c r="S170" s="19">
        <v>102.62914454310599</v>
      </c>
      <c r="T170" s="18">
        <v>-0.259293754632065</v>
      </c>
      <c r="U170" s="19">
        <v>97.219730427642503</v>
      </c>
      <c r="V170" s="18">
        <v>5.2833794968776297E-3</v>
      </c>
      <c r="W170" s="19">
        <v>104.482289692401</v>
      </c>
      <c r="X170" s="18">
        <v>-2.11180842596368E-2</v>
      </c>
      <c r="Y170" s="19">
        <v>100.403845690251</v>
      </c>
      <c r="Z170" s="18">
        <v>2.41113522624437E-3</v>
      </c>
      <c r="AA170" s="19">
        <v>97.226016571075405</v>
      </c>
      <c r="AB170" s="18">
        <v>-9.8686640392086095E-3</v>
      </c>
      <c r="AC170" s="19">
        <v>97.714950688775005</v>
      </c>
      <c r="AD170" s="18">
        <v>1.26200317619327E-2</v>
      </c>
      <c r="AE170" s="19">
        <v>99.7438013215436</v>
      </c>
      <c r="AF170" s="18">
        <v>6.6723826452115302E-3</v>
      </c>
      <c r="AG170" s="19">
        <v>108.279627516208</v>
      </c>
      <c r="AH170" s="18">
        <v>-2.90879565149741E-2</v>
      </c>
      <c r="AI170" s="19">
        <v>112.189168376174</v>
      </c>
      <c r="AJ170" s="18">
        <v>-1.24198372836988E-2</v>
      </c>
      <c r="AK170" s="19">
        <v>108.049497278899</v>
      </c>
      <c r="AL170" s="18">
        <v>-7.2000358214814306E-2</v>
      </c>
      <c r="AM170" s="19">
        <v>99.115146221960401</v>
      </c>
      <c r="AN170" s="18">
        <v>1.29193487575674E-2</v>
      </c>
      <c r="AO170" s="19">
        <v>99.930452575489198</v>
      </c>
      <c r="AP170" s="18">
        <v>6.9091983620974701E-3</v>
      </c>
      <c r="AQ170" s="19">
        <v>99.686866124516698</v>
      </c>
      <c r="AR170" s="18">
        <v>2.0300307360023001E-2</v>
      </c>
      <c r="AS170" s="19">
        <v>99.366700079754693</v>
      </c>
      <c r="AT170" s="18">
        <v>-1.6530311303125701E-3</v>
      </c>
      <c r="AU170" s="19">
        <v>95.960268287921906</v>
      </c>
      <c r="AV170" s="18">
        <v>4.9120308086710002E-2</v>
      </c>
      <c r="AW170" s="19">
        <v>97.8406962293883</v>
      </c>
      <c r="AX170" s="18">
        <v>1.4047163232588899E-2</v>
      </c>
      <c r="AY170" s="19">
        <v>98.849349182768194</v>
      </c>
      <c r="AZ170" s="18">
        <v>1.13893172579023E-2</v>
      </c>
      <c r="BA170" s="19">
        <v>95.713800178797598</v>
      </c>
      <c r="BB170" s="18">
        <v>-9.2074711812632007E-2</v>
      </c>
      <c r="BC170" s="19">
        <v>97.997643114853801</v>
      </c>
      <c r="BD170" s="18">
        <v>-4.9703650680838402E-2</v>
      </c>
      <c r="BE170" s="19">
        <v>100.760856504015</v>
      </c>
      <c r="BF170" s="18">
        <v>6.9828973404966197E-3</v>
      </c>
      <c r="BG170" s="19"/>
      <c r="BH170" s="18"/>
    </row>
    <row r="171" spans="1:60" x14ac:dyDescent="0.2">
      <c r="A171" s="16">
        <v>2019</v>
      </c>
      <c r="B171" s="16">
        <v>4</v>
      </c>
      <c r="C171" s="19">
        <v>100.267387141177</v>
      </c>
      <c r="D171" s="18">
        <v>-6.3152036439394496E-3</v>
      </c>
      <c r="E171" s="19">
        <v>100.39513984953101</v>
      </c>
      <c r="F171" s="18">
        <v>-5.67553983378399E-3</v>
      </c>
      <c r="G171" s="19">
        <v>98.487827869847294</v>
      </c>
      <c r="H171" s="18">
        <v>8.98437924619548E-2</v>
      </c>
      <c r="I171" s="19">
        <v>100.28833544827</v>
      </c>
      <c r="J171" s="18">
        <v>8.0045971485107597E-3</v>
      </c>
      <c r="K171" s="19">
        <v>100.67332512441099</v>
      </c>
      <c r="L171" s="18">
        <v>8.5868981599464007E-3</v>
      </c>
      <c r="M171" s="19">
        <v>102.935751041733</v>
      </c>
      <c r="N171" s="18">
        <v>-4.0959708824273501E-2</v>
      </c>
      <c r="O171" s="19">
        <v>99.143972170943101</v>
      </c>
      <c r="P171" s="18">
        <v>3.6870650741853701E-2</v>
      </c>
      <c r="Q171" s="19">
        <v>92.896024679229498</v>
      </c>
      <c r="R171" s="18">
        <v>5.0526905764121798E-2</v>
      </c>
      <c r="S171" s="19">
        <v>97.698237061257203</v>
      </c>
      <c r="T171" s="18">
        <v>-0.205912112077064</v>
      </c>
      <c r="U171" s="19">
        <v>98.034140524940696</v>
      </c>
      <c r="V171" s="18">
        <v>1.22356338220404E-2</v>
      </c>
      <c r="W171" s="19">
        <v>101.89065700552</v>
      </c>
      <c r="X171" s="18">
        <v>-4.8745855066075101E-2</v>
      </c>
      <c r="Y171" s="19">
        <v>100.340243054989</v>
      </c>
      <c r="Z171" s="18">
        <v>-5.2025142386617996E-3</v>
      </c>
      <c r="AA171" s="19">
        <v>97.036034640372094</v>
      </c>
      <c r="AB171" s="18">
        <v>-1.1857169665341401E-2</v>
      </c>
      <c r="AC171" s="19">
        <v>97.032000871678605</v>
      </c>
      <c r="AD171" s="18">
        <v>1.31858023361486E-2</v>
      </c>
      <c r="AE171" s="19">
        <v>99.855109579803994</v>
      </c>
      <c r="AF171" s="18">
        <v>4.5543286301117404E-3</v>
      </c>
      <c r="AG171" s="19">
        <v>106.07481160039001</v>
      </c>
      <c r="AH171" s="18">
        <v>-4.8255278972115602E-2</v>
      </c>
      <c r="AI171" s="19">
        <v>109.194905575486</v>
      </c>
      <c r="AJ171" s="18">
        <v>-4.2197625303978199E-2</v>
      </c>
      <c r="AK171" s="19">
        <v>105.300865032461</v>
      </c>
      <c r="AL171" s="18">
        <v>-8.7545563144757602E-2</v>
      </c>
      <c r="AM171" s="19">
        <v>99.605746116825003</v>
      </c>
      <c r="AN171" s="18">
        <v>1.50057518747855E-2</v>
      </c>
      <c r="AO171" s="19">
        <v>99.890005177518006</v>
      </c>
      <c r="AP171" s="18">
        <v>3.7252658755151402E-3</v>
      </c>
      <c r="AQ171" s="19">
        <v>99.872602359070299</v>
      </c>
      <c r="AR171" s="18">
        <v>1.59100409587263E-2</v>
      </c>
      <c r="AS171" s="19">
        <v>99.507843660848707</v>
      </c>
      <c r="AT171" s="18">
        <v>9.5820072115326805E-4</v>
      </c>
      <c r="AU171" s="19">
        <v>97.700697872615507</v>
      </c>
      <c r="AV171" s="18">
        <v>5.8431774683181503E-2</v>
      </c>
      <c r="AW171" s="19">
        <v>98.5216219439979</v>
      </c>
      <c r="AX171" s="18">
        <v>2.0351879666506801E-2</v>
      </c>
      <c r="AY171" s="19">
        <v>98.557739688406897</v>
      </c>
      <c r="AZ171" s="18">
        <v>1.31728857400948E-2</v>
      </c>
      <c r="BA171" s="19">
        <v>95.738462213353003</v>
      </c>
      <c r="BB171" s="18">
        <v>-2.9101521335217501E-2</v>
      </c>
      <c r="BC171" s="19">
        <v>97.911370306622004</v>
      </c>
      <c r="BD171" s="18">
        <v>-1.4971014158212E-2</v>
      </c>
      <c r="BE171" s="19">
        <v>100.585040730285</v>
      </c>
      <c r="BF171" s="18">
        <v>2.73643257315159E-3</v>
      </c>
      <c r="BG171" s="19"/>
      <c r="BH171" s="18"/>
    </row>
    <row r="172" spans="1:60" x14ac:dyDescent="0.2">
      <c r="A172" s="16">
        <v>2020</v>
      </c>
      <c r="B172" s="16">
        <v>1</v>
      </c>
      <c r="C172" s="19">
        <v>100.198054621894</v>
      </c>
      <c r="D172" s="18">
        <v>-1.0695560379872199E-2</v>
      </c>
      <c r="E172" s="19">
        <v>100.0316110779</v>
      </c>
      <c r="F172" s="18">
        <v>-1.06443538961087E-2</v>
      </c>
      <c r="G172" s="19">
        <v>98.463574580706805</v>
      </c>
      <c r="H172" s="18">
        <v>7.2410081181399202E-2</v>
      </c>
      <c r="I172" s="19">
        <v>100.628473826581</v>
      </c>
      <c r="J172" s="18">
        <v>-5.6206293840529399E-3</v>
      </c>
      <c r="K172" s="19">
        <v>100.4967649801</v>
      </c>
      <c r="L172" s="18">
        <v>4.0565793768039303E-3</v>
      </c>
      <c r="M172" s="19">
        <v>101.656383693168</v>
      </c>
      <c r="N172" s="18">
        <v>-4.2229087601504303E-2</v>
      </c>
      <c r="O172" s="19">
        <v>99.784211525536307</v>
      </c>
      <c r="P172" s="18">
        <v>3.2152580433363803E-2</v>
      </c>
      <c r="Q172" s="19">
        <v>94.521022455749005</v>
      </c>
      <c r="R172" s="18">
        <v>7.9868361146884208E-3</v>
      </c>
      <c r="S172" s="19">
        <v>100.955230696862</v>
      </c>
      <c r="T172" s="18">
        <v>-0.11590298056868099</v>
      </c>
      <c r="U172" s="19">
        <v>99.4572904996256</v>
      </c>
      <c r="V172" s="18">
        <v>2.5346833066787401E-2</v>
      </c>
      <c r="W172" s="19">
        <v>98.702154418660498</v>
      </c>
      <c r="X172" s="18">
        <v>-7.4129220882970706E-2</v>
      </c>
      <c r="Y172" s="19">
        <v>99.295732283782499</v>
      </c>
      <c r="Z172" s="18">
        <v>-3.7834685246010999E-3</v>
      </c>
      <c r="AA172" s="19">
        <v>99.291000161872503</v>
      </c>
      <c r="AB172" s="18">
        <v>1.1517425798681201E-2</v>
      </c>
      <c r="AC172" s="19">
        <v>100.11168513959601</v>
      </c>
      <c r="AD172" s="18">
        <v>2.5088229299648799E-2</v>
      </c>
      <c r="AE172" s="19">
        <v>99.960293665560499</v>
      </c>
      <c r="AF172" s="18">
        <v>3.48920743644987E-3</v>
      </c>
      <c r="AG172" s="19">
        <v>103.365540092041</v>
      </c>
      <c r="AH172" s="18">
        <v>-6.7652290930127798E-2</v>
      </c>
      <c r="AI172" s="19">
        <v>105.79908783219599</v>
      </c>
      <c r="AJ172" s="18">
        <v>-7.62436222810947E-2</v>
      </c>
      <c r="AK172" s="19">
        <v>101.962263860574</v>
      </c>
      <c r="AL172" s="18">
        <v>-9.6563814285514596E-2</v>
      </c>
      <c r="AM172" s="19">
        <v>99.887811100102795</v>
      </c>
      <c r="AN172" s="18">
        <v>1.4716189713694899E-2</v>
      </c>
      <c r="AO172" s="19">
        <v>99.794540797813795</v>
      </c>
      <c r="AP172" s="18">
        <v>-3.0247701983121501E-4</v>
      </c>
      <c r="AQ172" s="19">
        <v>99.287131514549202</v>
      </c>
      <c r="AR172" s="18">
        <v>4.5629682789019004E-3</v>
      </c>
      <c r="AS172" s="19">
        <v>99.979128673963501</v>
      </c>
      <c r="AT172" s="18">
        <v>5.2449716206250897E-3</v>
      </c>
      <c r="AU172" s="19">
        <v>100.09156124251901</v>
      </c>
      <c r="AV172" s="18">
        <v>7.4546127630640294E-2</v>
      </c>
      <c r="AW172" s="19">
        <v>99.474487508622204</v>
      </c>
      <c r="AX172" s="18">
        <v>2.6957085720103399E-2</v>
      </c>
      <c r="AY172" s="19">
        <v>98.772032274444001</v>
      </c>
      <c r="AZ172" s="18">
        <v>2.9240628716612899E-2</v>
      </c>
      <c r="BA172" s="19">
        <v>106.135495748875</v>
      </c>
      <c r="BB172" s="18">
        <v>-1.0038597447006199E-2</v>
      </c>
      <c r="BC172" s="19">
        <v>103.441683849336</v>
      </c>
      <c r="BD172" s="18">
        <v>-8.7850275987666499E-3</v>
      </c>
      <c r="BE172" s="19">
        <v>100.24486346336801</v>
      </c>
      <c r="BF172" s="18">
        <v>-3.7439591948650302E-3</v>
      </c>
      <c r="BG172" s="19"/>
      <c r="BH172" s="18"/>
    </row>
    <row r="173" spans="1:60" x14ac:dyDescent="0.2">
      <c r="A173" s="16">
        <v>2020</v>
      </c>
      <c r="B173" s="16">
        <v>2</v>
      </c>
      <c r="C173" s="19">
        <v>99.709401077631199</v>
      </c>
      <c r="D173" s="18">
        <v>-1.16469464451519E-2</v>
      </c>
      <c r="E173" s="19">
        <v>99.7892223653364</v>
      </c>
      <c r="F173" s="18">
        <v>-1.23187068768899E-2</v>
      </c>
      <c r="G173" s="19">
        <v>97.724571244604405</v>
      </c>
      <c r="H173" s="18">
        <v>6.2921053904506904E-2</v>
      </c>
      <c r="I173" s="19">
        <v>99.733364375576897</v>
      </c>
      <c r="J173" s="18">
        <v>-1.03273817878256E-2</v>
      </c>
      <c r="K173" s="19">
        <v>100.37909027850699</v>
      </c>
      <c r="L173" s="18">
        <v>-6.43064997528198E-4</v>
      </c>
      <c r="M173" s="19">
        <v>100.766211470126</v>
      </c>
      <c r="N173" s="18">
        <v>-4.6348640558285102E-2</v>
      </c>
      <c r="O173" s="19">
        <v>100.46585013750099</v>
      </c>
      <c r="P173" s="18">
        <v>3.1157097590886099E-2</v>
      </c>
      <c r="Q173" s="19">
        <v>102.493503526331</v>
      </c>
      <c r="R173" s="18">
        <v>0.15014420319866001</v>
      </c>
      <c r="S173" s="19">
        <v>98.327634529355905</v>
      </c>
      <c r="T173" s="18">
        <v>-0.107483519181109</v>
      </c>
      <c r="U173" s="19">
        <v>100.241548034411</v>
      </c>
      <c r="V173" s="18">
        <v>3.3224672043333597E-2</v>
      </c>
      <c r="W173" s="19">
        <v>97.906504042871106</v>
      </c>
      <c r="X173" s="18">
        <v>-7.7237282661720696E-2</v>
      </c>
      <c r="Y173" s="19">
        <v>100.382121123815</v>
      </c>
      <c r="Z173" s="18">
        <v>-5.61778334740914E-3</v>
      </c>
      <c r="AA173" s="19">
        <v>99.828338375222003</v>
      </c>
      <c r="AB173" s="18">
        <v>2.05126967995297E-2</v>
      </c>
      <c r="AC173" s="19">
        <v>99.414667957716404</v>
      </c>
      <c r="AD173" s="18">
        <v>2.1896535363488099E-2</v>
      </c>
      <c r="AE173" s="19">
        <v>100.149095333776</v>
      </c>
      <c r="AF173" s="18">
        <v>1.8680698091528801E-3</v>
      </c>
      <c r="AG173" s="19">
        <v>100.963592862151</v>
      </c>
      <c r="AH173" s="18">
        <v>-8.2472282762502694E-2</v>
      </c>
      <c r="AI173" s="19">
        <v>102.04108528259199</v>
      </c>
      <c r="AJ173" s="18">
        <v>-0.107527732248897</v>
      </c>
      <c r="AK173" s="19">
        <v>99.922683701085404</v>
      </c>
      <c r="AL173" s="18">
        <v>-9.5624320977100594E-2</v>
      </c>
      <c r="AM173" s="19">
        <v>100.049546530407</v>
      </c>
      <c r="AN173" s="18">
        <v>1.29460184249519E-2</v>
      </c>
      <c r="AO173" s="19">
        <v>99.824883482009895</v>
      </c>
      <c r="AP173" s="18">
        <v>-1.02402717485306E-3</v>
      </c>
      <c r="AQ173" s="19">
        <v>99.385928579462302</v>
      </c>
      <c r="AR173" s="18">
        <v>6.0500041024800196E-3</v>
      </c>
      <c r="AS173" s="19">
        <v>100.226158914032</v>
      </c>
      <c r="AT173" s="18">
        <v>7.2337138634093199E-3</v>
      </c>
      <c r="AU173" s="19">
        <v>100.910576282322</v>
      </c>
      <c r="AV173" s="18">
        <v>6.9397255827388496E-2</v>
      </c>
      <c r="AW173" s="19">
        <v>100.046366983181</v>
      </c>
      <c r="AX173" s="18">
        <v>2.8098631380087901E-2</v>
      </c>
      <c r="AY173" s="19">
        <v>100.144112151936</v>
      </c>
      <c r="AZ173" s="18">
        <v>2.08274005331586E-2</v>
      </c>
      <c r="BA173" s="19">
        <v>96.801416000876202</v>
      </c>
      <c r="BB173" s="18">
        <v>1.2401313334705E-2</v>
      </c>
      <c r="BC173" s="19">
        <v>98.308673194701697</v>
      </c>
      <c r="BD173" s="18">
        <v>3.9303170926423504E-3</v>
      </c>
      <c r="BE173" s="19">
        <v>100.011863343375</v>
      </c>
      <c r="BF173" s="18">
        <v>-7.54810037723108E-3</v>
      </c>
      <c r="BG173" s="19"/>
      <c r="BH173" s="18"/>
    </row>
    <row r="174" spans="1:60" x14ac:dyDescent="0.2">
      <c r="A174" s="16">
        <v>2020</v>
      </c>
      <c r="B174" s="16">
        <v>3</v>
      </c>
      <c r="C174" s="19">
        <v>99.978384189131901</v>
      </c>
      <c r="D174" s="18">
        <v>-6.7284583838752602E-3</v>
      </c>
      <c r="E174" s="19">
        <v>99.896327136927994</v>
      </c>
      <c r="F174" s="18">
        <v>-8.9122691557379508E-3</v>
      </c>
      <c r="G174" s="19">
        <v>100.816287353574</v>
      </c>
      <c r="H174" s="18">
        <v>6.9798764895054002E-2</v>
      </c>
      <c r="I174" s="19">
        <v>99.891341615593007</v>
      </c>
      <c r="J174" s="18">
        <v>-1.04924555313879E-2</v>
      </c>
      <c r="K174" s="19">
        <v>100.06620491053501</v>
      </c>
      <c r="L174" s="18">
        <v>-3.3665147426604801E-3</v>
      </c>
      <c r="M174" s="19">
        <v>99.840848480150996</v>
      </c>
      <c r="N174" s="18">
        <v>-3.9255347391585302E-2</v>
      </c>
      <c r="O174" s="19">
        <v>100.13029556178201</v>
      </c>
      <c r="P174" s="18">
        <v>1.7544786714747601E-2</v>
      </c>
      <c r="Q174" s="19">
        <v>102.348715758436</v>
      </c>
      <c r="R174" s="18">
        <v>0.120330436848821</v>
      </c>
      <c r="S174" s="19">
        <v>97.392418472247201</v>
      </c>
      <c r="T174" s="18">
        <v>-5.102572075576E-2</v>
      </c>
      <c r="U174" s="19">
        <v>100.08889582786399</v>
      </c>
      <c r="V174" s="18">
        <v>2.9512171938767699E-2</v>
      </c>
      <c r="W174" s="19">
        <v>99.204262737496094</v>
      </c>
      <c r="X174" s="18">
        <v>-5.0515996255859702E-2</v>
      </c>
      <c r="Y174" s="19">
        <v>100.125701501921</v>
      </c>
      <c r="Z174" s="18">
        <v>-2.7702543305835299E-3</v>
      </c>
      <c r="AA174" s="19">
        <v>100.298605123947</v>
      </c>
      <c r="AB174" s="18">
        <v>3.1602534601683697E-2</v>
      </c>
      <c r="AC174" s="19">
        <v>100.206552692583</v>
      </c>
      <c r="AD174" s="18">
        <v>2.5498677390150399E-2</v>
      </c>
      <c r="AE174" s="19">
        <v>100.038232587846</v>
      </c>
      <c r="AF174" s="18">
        <v>2.9518753286046401E-3</v>
      </c>
      <c r="AG174" s="19">
        <v>98.660690235318398</v>
      </c>
      <c r="AH174" s="18">
        <v>-8.8834229499451703E-2</v>
      </c>
      <c r="AI174" s="19">
        <v>97.682784157805699</v>
      </c>
      <c r="AJ174" s="18">
        <v>-0.12930289464066799</v>
      </c>
      <c r="AK174" s="19">
        <v>98.984715963851599</v>
      </c>
      <c r="AL174" s="18">
        <v>-8.3894710695870997E-2</v>
      </c>
      <c r="AM174" s="19">
        <v>100.00933309567201</v>
      </c>
      <c r="AN174" s="18">
        <v>9.0216975688932593E-3</v>
      </c>
      <c r="AO174" s="19">
        <v>99.9386042689747</v>
      </c>
      <c r="AP174" s="18">
        <v>8.1573667239487295E-5</v>
      </c>
      <c r="AQ174" s="19">
        <v>100.21168981359401</v>
      </c>
      <c r="AR174" s="18">
        <v>5.2647225204363003E-3</v>
      </c>
      <c r="AS174" s="19">
        <v>100.075292741651</v>
      </c>
      <c r="AT174" s="18">
        <v>7.1310877922625701E-3</v>
      </c>
      <c r="AU174" s="19">
        <v>100.15886785465</v>
      </c>
      <c r="AV174" s="18">
        <v>4.37535205104898E-2</v>
      </c>
      <c r="AW174" s="19">
        <v>100.38237028283299</v>
      </c>
      <c r="AX174" s="18">
        <v>2.5977677504313901E-2</v>
      </c>
      <c r="AY174" s="19">
        <v>100.897825287006</v>
      </c>
      <c r="AZ174" s="18">
        <v>2.0723212860513901E-2</v>
      </c>
      <c r="BA174" s="19">
        <v>102.958934520729</v>
      </c>
      <c r="BB174" s="18">
        <v>7.56958174097868E-2</v>
      </c>
      <c r="BC174" s="19">
        <v>101.534257005356</v>
      </c>
      <c r="BD174" s="18">
        <v>3.60887647711838E-2</v>
      </c>
      <c r="BE174" s="19">
        <v>99.884160302873198</v>
      </c>
      <c r="BF174" s="18">
        <v>-8.7007617001254606E-3</v>
      </c>
      <c r="BG174" s="19"/>
      <c r="BH174" s="18"/>
    </row>
    <row r="175" spans="1:60" x14ac:dyDescent="0.2">
      <c r="A175" s="16">
        <v>2020</v>
      </c>
      <c r="B175" s="16">
        <v>4</v>
      </c>
      <c r="C175" s="19">
        <v>100.095055664722</v>
      </c>
      <c r="D175" s="18">
        <v>-1.7187191306038401E-3</v>
      </c>
      <c r="E175" s="19">
        <v>100.262117295523</v>
      </c>
      <c r="F175" s="18">
        <v>-1.3249899766840699E-3</v>
      </c>
      <c r="G175" s="19">
        <v>103.099805451599</v>
      </c>
      <c r="H175" s="18">
        <v>4.68278941824809E-2</v>
      </c>
      <c r="I175" s="19">
        <v>99.807836336635305</v>
      </c>
      <c r="J175" s="18">
        <v>-4.7911764562382801E-3</v>
      </c>
      <c r="K175" s="19">
        <v>99.134092479068798</v>
      </c>
      <c r="L175" s="18">
        <v>-1.52893792217538E-2</v>
      </c>
      <c r="M175" s="19">
        <v>97.7611639044935</v>
      </c>
      <c r="N175" s="18">
        <v>-5.0270067346583298E-2</v>
      </c>
      <c r="O175" s="19">
        <v>99.706055962356402</v>
      </c>
      <c r="P175" s="18">
        <v>5.66936929301343E-3</v>
      </c>
      <c r="Q175" s="19">
        <v>100.80937157263401</v>
      </c>
      <c r="R175" s="18">
        <v>8.5184989570105799E-2</v>
      </c>
      <c r="S175" s="19">
        <v>103.436813263069</v>
      </c>
      <c r="T175" s="18">
        <v>5.8737766150418702E-2</v>
      </c>
      <c r="U175" s="19">
        <v>100.192312633846</v>
      </c>
      <c r="V175" s="18">
        <v>2.20144951273997E-2</v>
      </c>
      <c r="W175" s="19">
        <v>103.75620761837899</v>
      </c>
      <c r="X175" s="18">
        <v>1.8309339322039299E-2</v>
      </c>
      <c r="Y175" s="19">
        <v>100.149400799459</v>
      </c>
      <c r="Z175" s="18">
        <v>-1.9019512980971199E-3</v>
      </c>
      <c r="AA175" s="19">
        <v>100.60331066263601</v>
      </c>
      <c r="AB175" s="18">
        <v>3.67623845665608E-2</v>
      </c>
      <c r="AC175" s="19">
        <v>99.797315969325098</v>
      </c>
      <c r="AD175" s="18">
        <v>2.8499001080103201E-2</v>
      </c>
      <c r="AE175" s="19">
        <v>99.874160446961397</v>
      </c>
      <c r="AF175" s="18">
        <v>1.90785100909086E-4</v>
      </c>
      <c r="AG175" s="19">
        <v>97.063708313499305</v>
      </c>
      <c r="AH175" s="18">
        <v>-8.4950452901461707E-2</v>
      </c>
      <c r="AI175" s="19">
        <v>94.739751816456007</v>
      </c>
      <c r="AJ175" s="18">
        <v>-0.13237937871595301</v>
      </c>
      <c r="AK175" s="19">
        <v>99.081146969963697</v>
      </c>
      <c r="AL175" s="18">
        <v>-5.90661630422495E-2</v>
      </c>
      <c r="AM175" s="19">
        <v>100.054817624287</v>
      </c>
      <c r="AN175" s="18">
        <v>4.5084899714080704E-3</v>
      </c>
      <c r="AO175" s="19">
        <v>100.438195849473</v>
      </c>
      <c r="AP175" s="18">
        <v>5.4879431728991302E-3</v>
      </c>
      <c r="AQ175" s="19">
        <v>101.112181431317</v>
      </c>
      <c r="AR175" s="18">
        <v>1.2411602811650799E-2</v>
      </c>
      <c r="AS175" s="19">
        <v>99.735308183564698</v>
      </c>
      <c r="AT175" s="18">
        <v>2.2858954063083E-3</v>
      </c>
      <c r="AU175" s="19">
        <v>99.109182123990607</v>
      </c>
      <c r="AV175" s="18">
        <v>1.4416317201863199E-2</v>
      </c>
      <c r="AW175" s="19">
        <v>100.08577285606999</v>
      </c>
      <c r="AX175" s="18">
        <v>1.58762196684217E-2</v>
      </c>
      <c r="AY175" s="19">
        <v>100.266379118814</v>
      </c>
      <c r="AZ175" s="18">
        <v>1.7336430764432802E-2</v>
      </c>
      <c r="BA175" s="19">
        <v>94.0654480187319</v>
      </c>
      <c r="BB175" s="18">
        <v>-1.7474838805044201E-2</v>
      </c>
      <c r="BC175" s="19">
        <v>96.719157180294303</v>
      </c>
      <c r="BD175" s="18">
        <v>-1.21764522607963E-2</v>
      </c>
      <c r="BE175" s="19">
        <v>99.861819401336703</v>
      </c>
      <c r="BF175" s="18">
        <v>-7.1901479951403903E-3</v>
      </c>
      <c r="BG175" s="19"/>
      <c r="BH175" s="18"/>
    </row>
    <row r="176" spans="1:60" x14ac:dyDescent="0.2">
      <c r="A176" s="16">
        <v>2021</v>
      </c>
      <c r="B176" s="16">
        <v>1</v>
      </c>
      <c r="C176" s="19">
        <v>100.88935379745099</v>
      </c>
      <c r="D176" s="18">
        <v>6.8993273189330599E-3</v>
      </c>
      <c r="E176" s="19">
        <v>100.662372373333</v>
      </c>
      <c r="F176" s="18">
        <v>6.3056196799793404E-3</v>
      </c>
      <c r="G176" s="19">
        <v>100.19857451770299</v>
      </c>
      <c r="H176" s="18">
        <v>1.76207287251622E-2</v>
      </c>
      <c r="I176" s="19">
        <v>102.225236817197</v>
      </c>
      <c r="J176" s="18">
        <v>1.5867904280926898E-2</v>
      </c>
      <c r="K176" s="19">
        <v>97.790109877629604</v>
      </c>
      <c r="L176" s="18">
        <v>-2.6932758512239401E-2</v>
      </c>
      <c r="M176" s="19">
        <v>97.458093640244499</v>
      </c>
      <c r="N176" s="18">
        <v>-4.1298833387536302E-2</v>
      </c>
      <c r="O176" s="19">
        <v>97.999409111532799</v>
      </c>
      <c r="P176" s="18">
        <v>-1.7886621407502998E-2</v>
      </c>
      <c r="Q176" s="19">
        <v>93.298480297355695</v>
      </c>
      <c r="R176" s="18">
        <v>-1.29340767443109E-2</v>
      </c>
      <c r="S176" s="19">
        <v>113.18185706419899</v>
      </c>
      <c r="T176" s="18">
        <v>0.121109389607059</v>
      </c>
      <c r="U176" s="19">
        <v>100.64634934982701</v>
      </c>
      <c r="V176" s="18">
        <v>1.19554719842891E-2</v>
      </c>
      <c r="W176" s="19">
        <v>109.835184036109</v>
      </c>
      <c r="X176" s="18">
        <v>0.112794190593106</v>
      </c>
      <c r="Y176" s="19">
        <v>99.363789126192401</v>
      </c>
      <c r="Z176" s="18">
        <v>6.8539544293244603E-4</v>
      </c>
      <c r="AA176" s="19">
        <v>100.971592504942</v>
      </c>
      <c r="AB176" s="18">
        <v>1.6925928234475401E-2</v>
      </c>
      <c r="AC176" s="19">
        <v>100.83511390072999</v>
      </c>
      <c r="AD176" s="18">
        <v>7.2262170007864101E-3</v>
      </c>
      <c r="AE176" s="19">
        <v>99.6860079070034</v>
      </c>
      <c r="AF176" s="18">
        <v>-2.7439471063860398E-3</v>
      </c>
      <c r="AG176" s="19">
        <v>96.047567066469199</v>
      </c>
      <c r="AH176" s="18">
        <v>-7.07970278978413E-2</v>
      </c>
      <c r="AI176" s="19">
        <v>92.448765999337596</v>
      </c>
      <c r="AJ176" s="18">
        <v>-0.126185604303443</v>
      </c>
      <c r="AK176" s="19">
        <v>100.26696455623301</v>
      </c>
      <c r="AL176" s="18">
        <v>-1.6626732676902199E-2</v>
      </c>
      <c r="AM176" s="19">
        <v>100.270491212568</v>
      </c>
      <c r="AN176" s="18">
        <v>3.8310991926850898E-3</v>
      </c>
      <c r="AO176" s="19">
        <v>101.18305166561601</v>
      </c>
      <c r="AP176" s="18">
        <v>1.39136956460879E-2</v>
      </c>
      <c r="AQ176" s="19">
        <v>101.854465448089</v>
      </c>
      <c r="AR176" s="18">
        <v>2.58576705196032E-2</v>
      </c>
      <c r="AS176" s="19">
        <v>99.388337392688399</v>
      </c>
      <c r="AT176" s="18">
        <v>-5.90914612990501E-3</v>
      </c>
      <c r="AU176" s="19">
        <v>96.963986723580803</v>
      </c>
      <c r="AV176" s="18">
        <v>-3.12471349243949E-2</v>
      </c>
      <c r="AW176" s="19">
        <v>99.7717844364104</v>
      </c>
      <c r="AX176" s="18">
        <v>2.9886751390644198E-3</v>
      </c>
      <c r="AY176" s="19">
        <v>100.327699275051</v>
      </c>
      <c r="AZ176" s="18">
        <v>1.5750075854315902E-2</v>
      </c>
      <c r="BA176" s="19">
        <v>109.349125837722</v>
      </c>
      <c r="BB176" s="18">
        <v>3.02785610617065E-2</v>
      </c>
      <c r="BC176" s="19">
        <v>104.924800772091</v>
      </c>
      <c r="BD176" s="18">
        <v>1.4337710558879099E-2</v>
      </c>
      <c r="BE176" s="19">
        <v>99.945153519761206</v>
      </c>
      <c r="BF176" s="18">
        <v>-2.9897785607386801E-3</v>
      </c>
      <c r="BG176" s="19"/>
      <c r="BH176" s="18"/>
    </row>
    <row r="177" spans="1:60" x14ac:dyDescent="0.2">
      <c r="A177" s="16">
        <v>2021</v>
      </c>
      <c r="B177" s="16">
        <v>2</v>
      </c>
      <c r="C177" s="19">
        <v>101.75668444406</v>
      </c>
      <c r="D177" s="18">
        <v>2.05325008906121E-2</v>
      </c>
      <c r="E177" s="19">
        <v>101.55443160301201</v>
      </c>
      <c r="F177" s="18">
        <v>1.76893776285088E-2</v>
      </c>
      <c r="G177" s="19">
        <v>102.191737454574</v>
      </c>
      <c r="H177" s="18">
        <v>4.5711801577399798E-2</v>
      </c>
      <c r="I177" s="19">
        <v>100.123279758051</v>
      </c>
      <c r="J177" s="18">
        <v>3.9095781528637498E-3</v>
      </c>
      <c r="K177" s="19">
        <v>97.540999346948198</v>
      </c>
      <c r="L177" s="18">
        <v>-2.8273726367555201E-2</v>
      </c>
      <c r="M177" s="19">
        <v>96.947600088808002</v>
      </c>
      <c r="N177" s="18">
        <v>-3.7895752213036801E-2</v>
      </c>
      <c r="O177" s="19">
        <v>97.929773609320307</v>
      </c>
      <c r="P177" s="18">
        <v>-2.5243169939933498E-2</v>
      </c>
      <c r="Q177" s="19">
        <v>88.378572475590104</v>
      </c>
      <c r="R177" s="18">
        <v>-0.137715372829606</v>
      </c>
      <c r="S177" s="19">
        <v>116.346428246323</v>
      </c>
      <c r="T177" s="18">
        <v>0.183252590212449</v>
      </c>
      <c r="U177" s="19">
        <v>100.71248107269599</v>
      </c>
      <c r="V177" s="18">
        <v>4.6979824984654302E-3</v>
      </c>
      <c r="W177" s="19">
        <v>116.591477534916</v>
      </c>
      <c r="X177" s="18">
        <v>0.190845068718451</v>
      </c>
      <c r="Y177" s="19">
        <v>100.440015862856</v>
      </c>
      <c r="Z177" s="18">
        <v>5.7674353154246695E-4</v>
      </c>
      <c r="AA177" s="19">
        <v>101.28730237498399</v>
      </c>
      <c r="AB177" s="18">
        <v>1.46147278769453E-2</v>
      </c>
      <c r="AC177" s="19">
        <v>101.127922931424</v>
      </c>
      <c r="AD177" s="18">
        <v>1.7233422480836098E-2</v>
      </c>
      <c r="AE177" s="19">
        <v>99.1552855757933</v>
      </c>
      <c r="AF177" s="18">
        <v>-9.9233023989894198E-3</v>
      </c>
      <c r="AG177" s="19">
        <v>95.900818348805203</v>
      </c>
      <c r="AH177" s="18">
        <v>-5.01445557732682E-2</v>
      </c>
      <c r="AI177" s="19">
        <v>92.156406090766296</v>
      </c>
      <c r="AJ177" s="18">
        <v>-9.6869600753961005E-2</v>
      </c>
      <c r="AK177" s="19">
        <v>100.95399471511899</v>
      </c>
      <c r="AL177" s="18">
        <v>1.03210900251511E-2</v>
      </c>
      <c r="AM177" s="19">
        <v>100.64137190738499</v>
      </c>
      <c r="AN177" s="18">
        <v>5.9153229325053002E-3</v>
      </c>
      <c r="AO177" s="19">
        <v>101.799596409744</v>
      </c>
      <c r="AP177" s="18">
        <v>1.9781770424909001E-2</v>
      </c>
      <c r="AQ177" s="19">
        <v>102.441184944032</v>
      </c>
      <c r="AR177" s="18">
        <v>3.0741337413043902E-2</v>
      </c>
      <c r="AS177" s="19">
        <v>99.056733828800901</v>
      </c>
      <c r="AT177" s="18">
        <v>-1.1667862940192401E-2</v>
      </c>
      <c r="AU177" s="19">
        <v>95.838903747375596</v>
      </c>
      <c r="AV177" s="18">
        <v>-5.0259078104534297E-2</v>
      </c>
      <c r="AW177" s="19">
        <v>99.304820851151106</v>
      </c>
      <c r="AX177" s="18">
        <v>-7.41202458810608E-3</v>
      </c>
      <c r="AY177" s="19">
        <v>101.531543213433</v>
      </c>
      <c r="AZ177" s="18">
        <v>1.38543448205148E-2</v>
      </c>
      <c r="BA177" s="19">
        <v>109.152138443712</v>
      </c>
      <c r="BB177" s="18">
        <v>0.12758824150592701</v>
      </c>
      <c r="BC177" s="19">
        <v>105.009331201791</v>
      </c>
      <c r="BD177" s="18">
        <v>6.8159377899634804E-2</v>
      </c>
      <c r="BE177" s="19">
        <v>100.027904479008</v>
      </c>
      <c r="BF177" s="18">
        <v>1.6039232843256801E-4</v>
      </c>
      <c r="BG177" s="19"/>
      <c r="BH177" s="18"/>
    </row>
    <row r="178" spans="1:60" x14ac:dyDescent="0.2">
      <c r="A178" s="16">
        <v>2021</v>
      </c>
      <c r="B178" s="16">
        <v>3</v>
      </c>
      <c r="C178" s="19">
        <v>102.161977610747</v>
      </c>
      <c r="D178" s="18">
        <v>2.1840655250882302E-2</v>
      </c>
      <c r="E178" s="19">
        <v>102.042693409249</v>
      </c>
      <c r="F178" s="18">
        <v>2.14859378100993E-2</v>
      </c>
      <c r="G178" s="19">
        <v>103.236632883854</v>
      </c>
      <c r="H178" s="18">
        <v>2.4007485236897701E-2</v>
      </c>
      <c r="I178" s="19">
        <v>99.478408191855095</v>
      </c>
      <c r="J178" s="18">
        <v>-4.1338259859092803E-3</v>
      </c>
      <c r="K178" s="19">
        <v>96.521435371609797</v>
      </c>
      <c r="L178" s="18">
        <v>-3.5424242800994397E-2</v>
      </c>
      <c r="M178" s="19">
        <v>94.688656582128601</v>
      </c>
      <c r="N178" s="18">
        <v>-5.16040476062933E-2</v>
      </c>
      <c r="O178" s="19">
        <v>97.786837885763902</v>
      </c>
      <c r="P178" s="18">
        <v>-2.3404082279693601E-2</v>
      </c>
      <c r="Q178" s="19">
        <v>86.482982240833806</v>
      </c>
      <c r="R178" s="18">
        <v>-0.15501643963026199</v>
      </c>
      <c r="S178" s="19">
        <v>117.814462397946</v>
      </c>
      <c r="T178" s="18">
        <v>0.209688230829981</v>
      </c>
      <c r="U178" s="19">
        <v>101.136683353953</v>
      </c>
      <c r="V178" s="18">
        <v>1.04685691396904E-2</v>
      </c>
      <c r="W178" s="19">
        <v>123.613405101315</v>
      </c>
      <c r="X178" s="18">
        <v>0.24604932983986799</v>
      </c>
      <c r="Y178" s="19">
        <v>100.167924621122</v>
      </c>
      <c r="Z178" s="18">
        <v>4.2170110738592998E-4</v>
      </c>
      <c r="AA178" s="19">
        <v>101.332994241656</v>
      </c>
      <c r="AB178" s="18">
        <v>1.03130957447657E-2</v>
      </c>
      <c r="AC178" s="19">
        <v>100.796395611566</v>
      </c>
      <c r="AD178" s="18">
        <v>5.8862709387159703E-3</v>
      </c>
      <c r="AE178" s="19">
        <v>98.946685325813903</v>
      </c>
      <c r="AF178" s="18">
        <v>-1.0911300947599799E-2</v>
      </c>
      <c r="AG178" s="19">
        <v>95.828474988862297</v>
      </c>
      <c r="AH178" s="18">
        <v>-2.8706623070453699E-2</v>
      </c>
      <c r="AI178" s="19">
        <v>91.753911858617897</v>
      </c>
      <c r="AJ178" s="18">
        <v>-6.0695160875120897E-2</v>
      </c>
      <c r="AK178" s="19">
        <v>101.26687858882801</v>
      </c>
      <c r="AL178" s="18">
        <v>2.3055707164024501E-2</v>
      </c>
      <c r="AM178" s="19">
        <v>101.071375608279</v>
      </c>
      <c r="AN178" s="18">
        <v>1.06194340041414E-2</v>
      </c>
      <c r="AO178" s="19">
        <v>102.31034258543301</v>
      </c>
      <c r="AP178" s="18">
        <v>2.3731953570962801E-2</v>
      </c>
      <c r="AQ178" s="19">
        <v>103.44809482811</v>
      </c>
      <c r="AR178" s="18">
        <v>3.2295683473016097E-2</v>
      </c>
      <c r="AS178" s="19">
        <v>98.801637361969696</v>
      </c>
      <c r="AT178" s="18">
        <v>-1.27269713111817E-2</v>
      </c>
      <c r="AU178" s="19">
        <v>95.413674578588996</v>
      </c>
      <c r="AV178" s="18">
        <v>-4.73766664669854E-2</v>
      </c>
      <c r="AW178" s="19">
        <v>98.622305143290404</v>
      </c>
      <c r="AX178" s="18">
        <v>-1.75336080885851E-2</v>
      </c>
      <c r="AY178" s="19">
        <v>101.137927993472</v>
      </c>
      <c r="AZ178" s="18">
        <v>2.3796618587443902E-3</v>
      </c>
      <c r="BA178" s="19">
        <v>106.520260119778</v>
      </c>
      <c r="BB178" s="18">
        <v>3.4589767421615597E-2</v>
      </c>
      <c r="BC178" s="19">
        <v>103.63140506752499</v>
      </c>
      <c r="BD178" s="18">
        <v>2.0654586186199801E-2</v>
      </c>
      <c r="BE178" s="19">
        <v>100.11007380682101</v>
      </c>
      <c r="BF178" s="18">
        <v>2.2617550496750699E-3</v>
      </c>
      <c r="BG178" s="19"/>
      <c r="BH178" s="18"/>
    </row>
    <row r="179" spans="1:60" x14ac:dyDescent="0.2">
      <c r="A179" s="16">
        <v>2021</v>
      </c>
      <c r="B179" s="16">
        <v>4</v>
      </c>
      <c r="C179" s="19">
        <v>102.84305045078401</v>
      </c>
      <c r="D179" s="18">
        <v>2.7453851419667601E-2</v>
      </c>
      <c r="E179" s="19">
        <v>103.01045894081901</v>
      </c>
      <c r="F179" s="18">
        <v>2.7411565997507999E-2</v>
      </c>
      <c r="G179" s="19">
        <v>101.176488799572</v>
      </c>
      <c r="H179" s="18">
        <v>-1.86549008856268E-2</v>
      </c>
      <c r="I179" s="19">
        <v>99.730560223328894</v>
      </c>
      <c r="J179" s="18">
        <v>-7.7424895822597595E-4</v>
      </c>
      <c r="K179" s="19">
        <v>94.897722753335302</v>
      </c>
      <c r="L179" s="18">
        <v>-4.2733731855446301E-2</v>
      </c>
      <c r="M179" s="19">
        <v>92.346703374904905</v>
      </c>
      <c r="N179" s="18">
        <v>-5.5384575155816899E-2</v>
      </c>
      <c r="O179" s="19">
        <v>96.621969552417397</v>
      </c>
      <c r="P179" s="18">
        <v>-3.0931786240781502E-2</v>
      </c>
      <c r="Q179" s="19">
        <v>87.474004263808695</v>
      </c>
      <c r="R179" s="18">
        <v>-0.132283011993751</v>
      </c>
      <c r="S179" s="19">
        <v>114.07579281230799</v>
      </c>
      <c r="T179" s="18">
        <v>0.10285486582209701</v>
      </c>
      <c r="U179" s="19">
        <v>103.023358032505</v>
      </c>
      <c r="V179" s="18">
        <v>2.8256113909706601E-2</v>
      </c>
      <c r="W179" s="19">
        <v>130.88676125432701</v>
      </c>
      <c r="X179" s="18">
        <v>0.26148366694101999</v>
      </c>
      <c r="Y179" s="19">
        <v>99.841466623652806</v>
      </c>
      <c r="Z179" s="18">
        <v>-3.0747480598819501E-3</v>
      </c>
      <c r="AA179" s="19">
        <v>101.908228611594</v>
      </c>
      <c r="AB179" s="18">
        <v>1.29709245189218E-2</v>
      </c>
      <c r="AC179" s="19">
        <v>99.722759944602501</v>
      </c>
      <c r="AD179" s="18">
        <v>-7.4707444782939902E-4</v>
      </c>
      <c r="AE179" s="19">
        <v>98.637714232815895</v>
      </c>
      <c r="AF179" s="18">
        <v>-1.2380041129879E-2</v>
      </c>
      <c r="AG179" s="19">
        <v>96.149193399148302</v>
      </c>
      <c r="AH179" s="18">
        <v>-9.4218006940065494E-3</v>
      </c>
      <c r="AI179" s="19">
        <v>91.918982045595101</v>
      </c>
      <c r="AJ179" s="18">
        <v>-2.97738775622477E-2</v>
      </c>
      <c r="AK179" s="19">
        <v>101.286306296785</v>
      </c>
      <c r="AL179" s="18">
        <v>2.22560940628771E-2</v>
      </c>
      <c r="AM179" s="19">
        <v>101.43481851140101</v>
      </c>
      <c r="AN179" s="18">
        <v>1.3792448178710399E-2</v>
      </c>
      <c r="AO179" s="19">
        <v>102.795061398709</v>
      </c>
      <c r="AP179" s="18">
        <v>2.3465829202752999E-2</v>
      </c>
      <c r="AQ179" s="19">
        <v>103.97379738588801</v>
      </c>
      <c r="AR179" s="18">
        <v>2.8301396667172601E-2</v>
      </c>
      <c r="AS179" s="19">
        <v>98.629960556315993</v>
      </c>
      <c r="AT179" s="18">
        <v>-1.1082811567737501E-2</v>
      </c>
      <c r="AU179" s="19">
        <v>94.3976636882836</v>
      </c>
      <c r="AV179" s="18">
        <v>-4.7538667303425597E-2</v>
      </c>
      <c r="AW179" s="19">
        <v>98.095701985364798</v>
      </c>
      <c r="AX179" s="18">
        <v>-1.9883653929185601E-2</v>
      </c>
      <c r="AY179" s="19">
        <v>101.018467736376</v>
      </c>
      <c r="AZ179" s="18">
        <v>7.5009053300978401E-3</v>
      </c>
      <c r="BA179" s="19">
        <v>96.819342245352999</v>
      </c>
      <c r="BB179" s="18">
        <v>2.92763632622337E-2</v>
      </c>
      <c r="BC179" s="19">
        <v>98.312496145115603</v>
      </c>
      <c r="BD179" s="18">
        <v>1.6473871477717499E-2</v>
      </c>
      <c r="BE179" s="19">
        <v>100.191654608909</v>
      </c>
      <c r="BF179" s="18">
        <v>3.3029160649125102E-3</v>
      </c>
      <c r="BG179" s="19"/>
      <c r="BH179" s="18"/>
    </row>
    <row r="180" spans="1:60" x14ac:dyDescent="0.2">
      <c r="A180" s="16">
        <v>2022</v>
      </c>
      <c r="B180" s="16">
        <v>1</v>
      </c>
      <c r="C180" s="19">
        <v>104.390068039613</v>
      </c>
      <c r="D180" s="18">
        <v>3.46985495535048E-2</v>
      </c>
      <c r="E180" s="19">
        <v>104.06481460439799</v>
      </c>
      <c r="F180" s="18">
        <v>3.3800536892240302E-2</v>
      </c>
      <c r="G180" s="19">
        <v>95.668948302369898</v>
      </c>
      <c r="H180" s="18">
        <v>-4.5206493576742099E-2</v>
      </c>
      <c r="I180" s="19">
        <v>101.40972038352101</v>
      </c>
      <c r="J180" s="18">
        <v>-7.9776428900261206E-3</v>
      </c>
      <c r="K180" s="19">
        <v>94.297687207352695</v>
      </c>
      <c r="L180" s="18">
        <v>-3.5713454813039801E-2</v>
      </c>
      <c r="M180" s="19">
        <v>91.797815303378798</v>
      </c>
      <c r="N180" s="18">
        <v>-5.8079099697558E-2</v>
      </c>
      <c r="O180" s="19">
        <v>95.993208906443499</v>
      </c>
      <c r="P180" s="18">
        <v>-2.04715540968834E-2</v>
      </c>
      <c r="Q180" s="19">
        <v>93.235300937674694</v>
      </c>
      <c r="R180" s="18">
        <v>-6.7717458504812399E-4</v>
      </c>
      <c r="S180" s="19">
        <v>116.00559038504301</v>
      </c>
      <c r="T180" s="18">
        <v>2.4948639243854299E-2</v>
      </c>
      <c r="U180" s="19">
        <v>105.86019325311401</v>
      </c>
      <c r="V180" s="18">
        <v>5.1803606757405002E-2</v>
      </c>
      <c r="W180" s="19">
        <v>139.17187222249299</v>
      </c>
      <c r="X180" s="18">
        <v>0.26709736450879801</v>
      </c>
      <c r="Y180" s="19">
        <v>99.419813203898997</v>
      </c>
      <c r="Z180" s="18">
        <v>5.6382791154829803E-4</v>
      </c>
      <c r="AA180" s="19">
        <v>103.6505138831</v>
      </c>
      <c r="AB180" s="18">
        <v>2.6531436334699801E-2</v>
      </c>
      <c r="AC180" s="19">
        <v>101.209301017757</v>
      </c>
      <c r="AD180" s="18">
        <v>3.7108810864863199E-3</v>
      </c>
      <c r="AE180" s="19">
        <v>98.298877034849198</v>
      </c>
      <c r="AF180" s="18">
        <v>-1.3915000723554199E-2</v>
      </c>
      <c r="AG180" s="19">
        <v>96.498273254908398</v>
      </c>
      <c r="AH180" s="18">
        <v>4.69253102608236E-3</v>
      </c>
      <c r="AI180" s="19">
        <v>92.386539826521599</v>
      </c>
      <c r="AJ180" s="18">
        <v>-6.7308819261469E-4</v>
      </c>
      <c r="AK180" s="19">
        <v>101.058552708162</v>
      </c>
      <c r="AL180" s="18">
        <v>7.8948051876586208E-3</v>
      </c>
      <c r="AM180" s="19">
        <v>101.902101500702</v>
      </c>
      <c r="AN180" s="18">
        <v>1.6272088312355298E-2</v>
      </c>
      <c r="AO180" s="19">
        <v>103.354983882818</v>
      </c>
      <c r="AP180" s="18">
        <v>2.14653756874226E-2</v>
      </c>
      <c r="AQ180" s="19">
        <v>103.971891791044</v>
      </c>
      <c r="AR180" s="18">
        <v>2.0788743366721499E-2</v>
      </c>
      <c r="AS180" s="19">
        <v>98.577167903122302</v>
      </c>
      <c r="AT180" s="18">
        <v>-8.1616164516477002E-3</v>
      </c>
      <c r="AU180" s="19">
        <v>93.580379588227203</v>
      </c>
      <c r="AV180" s="18">
        <v>-3.4895503471813603E-2</v>
      </c>
      <c r="AW180" s="19">
        <v>97.674913303137401</v>
      </c>
      <c r="AX180" s="18">
        <v>-2.1016674655242502E-2</v>
      </c>
      <c r="AY180" s="19">
        <v>100.57215294756401</v>
      </c>
      <c r="AZ180" s="18">
        <v>2.4365521613580699E-3</v>
      </c>
      <c r="BA180" s="19">
        <v>116.30972232864301</v>
      </c>
      <c r="BB180" s="18">
        <v>6.3654797764470597E-2</v>
      </c>
      <c r="BC180" s="19">
        <v>108.993284295999</v>
      </c>
      <c r="BD180" s="18">
        <v>3.8775232299421897E-2</v>
      </c>
      <c r="BE180" s="19">
        <v>100.272634196006</v>
      </c>
      <c r="BF180" s="18">
        <v>3.2766038643410301E-3</v>
      </c>
      <c r="BG180" s="19"/>
      <c r="BH180" s="18"/>
    </row>
    <row r="181" spans="1:60" x14ac:dyDescent="0.2">
      <c r="A181" s="16">
        <v>2022</v>
      </c>
      <c r="B181" s="16">
        <v>2</v>
      </c>
      <c r="C181" s="19">
        <v>104.868628805702</v>
      </c>
      <c r="D181" s="18">
        <v>3.0582210678780801E-2</v>
      </c>
      <c r="E181" s="19">
        <v>104.802636091195</v>
      </c>
      <c r="F181" s="18">
        <v>3.1984862077517801E-2</v>
      </c>
      <c r="G181" s="19">
        <v>93.410673584996104</v>
      </c>
      <c r="H181" s="18">
        <v>-8.5927337065596604E-2</v>
      </c>
      <c r="I181" s="19">
        <v>100.00733690381099</v>
      </c>
      <c r="J181" s="18">
        <v>-1.1580009616197801E-3</v>
      </c>
      <c r="K181" s="19">
        <v>93.516547288688997</v>
      </c>
      <c r="L181" s="18">
        <v>-4.12590816703087E-2</v>
      </c>
      <c r="M181" s="19">
        <v>89.991305380334197</v>
      </c>
      <c r="N181" s="18">
        <v>-7.17531398621679E-2</v>
      </c>
      <c r="O181" s="19">
        <v>95.820655282473496</v>
      </c>
      <c r="P181" s="18">
        <v>-2.1537048939385E-2</v>
      </c>
      <c r="Q181" s="19">
        <v>84.491785620967704</v>
      </c>
      <c r="R181" s="18">
        <v>-4.3978837242431602E-2</v>
      </c>
      <c r="S181" s="19">
        <v>116.424451314119</v>
      </c>
      <c r="T181" s="18">
        <v>6.7060991017453596E-4</v>
      </c>
      <c r="U181" s="19">
        <v>107.762670932107</v>
      </c>
      <c r="V181" s="18">
        <v>7.0003139475058707E-2</v>
      </c>
      <c r="W181" s="19">
        <v>144.24236345791999</v>
      </c>
      <c r="X181" s="18">
        <v>0.23716043837529399</v>
      </c>
      <c r="Y181" s="19">
        <v>101.94716057239501</v>
      </c>
      <c r="Z181" s="18">
        <v>1.50054208633035E-2</v>
      </c>
      <c r="AA181" s="19">
        <v>105.597656173847</v>
      </c>
      <c r="AB181" s="18">
        <v>4.2555717230044601E-2</v>
      </c>
      <c r="AC181" s="19">
        <v>98.885591081908103</v>
      </c>
      <c r="AD181" s="18">
        <v>-2.2173221643602602E-2</v>
      </c>
      <c r="AE181" s="19">
        <v>98.259028381483702</v>
      </c>
      <c r="AF181" s="18">
        <v>-9.0389250467585204E-3</v>
      </c>
      <c r="AG181" s="19">
        <v>98.798510454838606</v>
      </c>
      <c r="AH181" s="18">
        <v>3.0215509689334199E-2</v>
      </c>
      <c r="AI181" s="19">
        <v>97.207574692486006</v>
      </c>
      <c r="AJ181" s="18">
        <v>5.4810824510070202E-2</v>
      </c>
      <c r="AK181" s="19">
        <v>101.04975616693299</v>
      </c>
      <c r="AL181" s="18">
        <v>9.4856525573216999E-4</v>
      </c>
      <c r="AM181" s="19">
        <v>102.480688796655</v>
      </c>
      <c r="AN181" s="18">
        <v>1.8275952070315099E-2</v>
      </c>
      <c r="AO181" s="19">
        <v>103.894913496463</v>
      </c>
      <c r="AP181" s="18">
        <v>2.0582764181941399E-2</v>
      </c>
      <c r="AQ181" s="19">
        <v>103.668844807829</v>
      </c>
      <c r="AR181" s="18">
        <v>1.1984045913443901E-2</v>
      </c>
      <c r="AS181" s="19">
        <v>98.511375805909793</v>
      </c>
      <c r="AT181" s="18">
        <v>-5.5055118598365E-3</v>
      </c>
      <c r="AU181" s="19">
        <v>92.658704956027407</v>
      </c>
      <c r="AV181" s="18">
        <v>-3.3182754257404398E-2</v>
      </c>
      <c r="AW181" s="19">
        <v>97.548574008598493</v>
      </c>
      <c r="AX181" s="18">
        <v>-1.7685413734194001E-2</v>
      </c>
      <c r="AY181" s="19">
        <v>102.446030328029</v>
      </c>
      <c r="AZ181" s="18">
        <v>9.0069261793181993E-3</v>
      </c>
      <c r="BA181" s="19">
        <v>107.28509259690399</v>
      </c>
      <c r="BB181" s="18">
        <v>-1.71049864292936E-2</v>
      </c>
      <c r="BC181" s="19">
        <v>104.188520353402</v>
      </c>
      <c r="BD181" s="18">
        <v>-7.8165515292334398E-3</v>
      </c>
      <c r="BE181" s="19">
        <v>100.46182665699401</v>
      </c>
      <c r="BF181" s="18">
        <v>4.3380112804110001E-3</v>
      </c>
      <c r="BG181" s="19"/>
      <c r="BH181" s="18"/>
    </row>
    <row r="182" spans="1:60" x14ac:dyDescent="0.2">
      <c r="A182" s="16">
        <v>2022</v>
      </c>
      <c r="B182" s="16">
        <v>3</v>
      </c>
      <c r="C182" s="19">
        <v>105.26667613894</v>
      </c>
      <c r="D182" s="18">
        <v>3.0389961126461099E-2</v>
      </c>
      <c r="E182" s="19">
        <v>105.335223112478</v>
      </c>
      <c r="F182" s="18">
        <v>3.2266197541690501E-2</v>
      </c>
      <c r="G182" s="19">
        <v>94.395662682026398</v>
      </c>
      <c r="H182" s="18">
        <v>-8.5637917034492E-2</v>
      </c>
      <c r="I182" s="19">
        <v>101.458963210875</v>
      </c>
      <c r="J182" s="18">
        <v>1.9909395968625801E-2</v>
      </c>
      <c r="K182" s="19">
        <v>93.038216200545605</v>
      </c>
      <c r="L182" s="18">
        <v>-3.6087519395600599E-2</v>
      </c>
      <c r="M182" s="19">
        <v>87.530460563557099</v>
      </c>
      <c r="N182" s="18">
        <v>-7.5597186367965793E-2</v>
      </c>
      <c r="O182" s="19">
        <v>96.709071077767604</v>
      </c>
      <c r="P182" s="18">
        <v>-1.1021593818744501E-2</v>
      </c>
      <c r="Q182" s="19">
        <v>87.309404437708096</v>
      </c>
      <c r="R182" s="18">
        <v>9.5558938355395605E-3</v>
      </c>
      <c r="S182" s="19">
        <v>107.103298086496</v>
      </c>
      <c r="T182" s="18">
        <v>-9.0915530177191298E-2</v>
      </c>
      <c r="U182" s="19">
        <v>109.97841730914401</v>
      </c>
      <c r="V182" s="18">
        <v>8.7423609930403795E-2</v>
      </c>
      <c r="W182" s="19">
        <v>144.913321621655</v>
      </c>
      <c r="X182" s="18">
        <v>0.17231073363671001</v>
      </c>
      <c r="Y182" s="19">
        <v>102.659284572822</v>
      </c>
      <c r="Z182" s="18">
        <v>2.4871833584688301E-2</v>
      </c>
      <c r="AA182" s="19">
        <v>106.305992512708</v>
      </c>
      <c r="AB182" s="18">
        <v>4.9075805055082397E-2</v>
      </c>
      <c r="AC182" s="19">
        <v>100.592156510815</v>
      </c>
      <c r="AD182" s="18">
        <v>-2.0262540094955202E-3</v>
      </c>
      <c r="AE182" s="19">
        <v>98.419741921861899</v>
      </c>
      <c r="AF182" s="18">
        <v>-5.3255286138882401E-3</v>
      </c>
      <c r="AG182" s="19">
        <v>101.803235775188</v>
      </c>
      <c r="AH182" s="18">
        <v>6.2348490748912903E-2</v>
      </c>
      <c r="AI182" s="19">
        <v>103.98046083223601</v>
      </c>
      <c r="AJ182" s="18">
        <v>0.13325370794497901</v>
      </c>
      <c r="AK182" s="19">
        <v>101.303256404219</v>
      </c>
      <c r="AL182" s="18">
        <v>3.5922718166037099E-4</v>
      </c>
      <c r="AM182" s="19">
        <v>102.96391811453699</v>
      </c>
      <c r="AN182" s="18">
        <v>1.8724811994176301E-2</v>
      </c>
      <c r="AO182" s="19">
        <v>104.80780423530101</v>
      </c>
      <c r="AP182" s="18">
        <v>2.44106469273444E-2</v>
      </c>
      <c r="AQ182" s="19">
        <v>104.14194305715</v>
      </c>
      <c r="AR182" s="18">
        <v>6.7072112849726499E-3</v>
      </c>
      <c r="AS182" s="19">
        <v>98.8808321737515</v>
      </c>
      <c r="AT182" s="18">
        <v>8.0155363712885997E-4</v>
      </c>
      <c r="AU182" s="19">
        <v>91.953955531045906</v>
      </c>
      <c r="AV182" s="18">
        <v>-3.6260201305771803E-2</v>
      </c>
      <c r="AW182" s="19">
        <v>97.6857383651665</v>
      </c>
      <c r="AX182" s="18">
        <v>-9.4965005813158997E-3</v>
      </c>
      <c r="AY182" s="19">
        <v>102.216437075218</v>
      </c>
      <c r="AZ182" s="18">
        <v>1.0663745077076601E-2</v>
      </c>
      <c r="BA182" s="19">
        <v>102.781061526838</v>
      </c>
      <c r="BB182" s="18">
        <v>-3.5103168061511002E-2</v>
      </c>
      <c r="BC182" s="19">
        <v>101.855132818051</v>
      </c>
      <c r="BD182" s="18">
        <v>-1.7140289165398601E-2</v>
      </c>
      <c r="BE182" s="19">
        <v>100.76115024209</v>
      </c>
      <c r="BF182" s="18">
        <v>6.5036055864409201E-3</v>
      </c>
      <c r="BG182" s="19"/>
      <c r="BH182" s="18"/>
    </row>
    <row r="183" spans="1:60" x14ac:dyDescent="0.2">
      <c r="A183" s="16">
        <v>2022</v>
      </c>
      <c r="B183" s="16">
        <v>4</v>
      </c>
      <c r="C183" s="19">
        <v>105.628941862121</v>
      </c>
      <c r="D183" s="18">
        <v>2.7088766806563601E-2</v>
      </c>
      <c r="E183" s="19">
        <v>106.06156061914101</v>
      </c>
      <c r="F183" s="18">
        <v>2.9619338751560201E-2</v>
      </c>
      <c r="G183" s="19">
        <v>96.755360335077299</v>
      </c>
      <c r="H183" s="18">
        <v>-4.3697192074462397E-2</v>
      </c>
      <c r="I183" s="19">
        <v>102.035783272035</v>
      </c>
      <c r="J183" s="18">
        <v>2.3114510171650102E-2</v>
      </c>
      <c r="K183" s="19">
        <v>93.278741594612796</v>
      </c>
      <c r="L183" s="18">
        <v>-1.7060274069280301E-2</v>
      </c>
      <c r="M183" s="19">
        <v>86.755805252426498</v>
      </c>
      <c r="N183" s="18">
        <v>-6.0542476538451101E-2</v>
      </c>
      <c r="O183" s="19">
        <v>97.481271114895605</v>
      </c>
      <c r="P183" s="18">
        <v>8.8934386916217408E-3</v>
      </c>
      <c r="Q183" s="19">
        <v>105.74789112177299</v>
      </c>
      <c r="R183" s="18">
        <v>0.20890648612419099</v>
      </c>
      <c r="S183" s="19">
        <v>104.890724116618</v>
      </c>
      <c r="T183" s="18">
        <v>-8.0517246203162501E-2</v>
      </c>
      <c r="U183" s="19">
        <v>112.206188783399</v>
      </c>
      <c r="V183" s="18">
        <v>8.9133483185406301E-2</v>
      </c>
      <c r="W183" s="19">
        <v>141.72862659600599</v>
      </c>
      <c r="X183" s="18">
        <v>8.2833933988270006E-2</v>
      </c>
      <c r="Y183" s="19">
        <v>103.170669483358</v>
      </c>
      <c r="Z183" s="18">
        <v>3.3344891379199403E-2</v>
      </c>
      <c r="AA183" s="19">
        <v>105.767681880544</v>
      </c>
      <c r="AB183" s="18">
        <v>3.7871851189366298E-2</v>
      </c>
      <c r="AC183" s="19">
        <v>99.771603430342594</v>
      </c>
      <c r="AD183" s="18">
        <v>4.8979275911831298E-4</v>
      </c>
      <c r="AE183" s="19">
        <v>97.932520064614593</v>
      </c>
      <c r="AF183" s="18">
        <v>-7.1493360697392197E-3</v>
      </c>
      <c r="AG183" s="19">
        <v>105.409145461036</v>
      </c>
      <c r="AH183" s="18">
        <v>9.6308161665452197E-2</v>
      </c>
      <c r="AI183" s="19">
        <v>111.904137405944</v>
      </c>
      <c r="AJ183" s="18">
        <v>0.21742141737857701</v>
      </c>
      <c r="AK183" s="19">
        <v>101.893329197825</v>
      </c>
      <c r="AL183" s="18">
        <v>5.9931388875125204E-3</v>
      </c>
      <c r="AM183" s="19">
        <v>103.462135476719</v>
      </c>
      <c r="AN183" s="18">
        <v>1.99864010708584E-2</v>
      </c>
      <c r="AO183" s="19">
        <v>105.77228024470099</v>
      </c>
      <c r="AP183" s="18">
        <v>2.8962664212477601E-2</v>
      </c>
      <c r="AQ183" s="19">
        <v>104.989621877112</v>
      </c>
      <c r="AR183" s="18">
        <v>9.7700047200777202E-3</v>
      </c>
      <c r="AS183" s="19">
        <v>99.117046318972598</v>
      </c>
      <c r="AT183" s="18">
        <v>4.9385172609741597E-3</v>
      </c>
      <c r="AU183" s="19">
        <v>90.911115899444695</v>
      </c>
      <c r="AV183" s="18">
        <v>-3.6934683048427799E-2</v>
      </c>
      <c r="AW183" s="19">
        <v>98.243380597084396</v>
      </c>
      <c r="AX183" s="18">
        <v>1.5054544565222801E-3</v>
      </c>
      <c r="AY183" s="19">
        <v>102.187990571044</v>
      </c>
      <c r="AZ183" s="18">
        <v>1.1577317107203999E-2</v>
      </c>
      <c r="BA183" s="19">
        <v>89.864620144444302</v>
      </c>
      <c r="BB183" s="18">
        <v>-7.1831949480555005E-2</v>
      </c>
      <c r="BC183" s="19">
        <v>94.910640156948105</v>
      </c>
      <c r="BD183" s="18">
        <v>-3.4602478032356498E-2</v>
      </c>
      <c r="BE183" s="19">
        <v>101.172644876314</v>
      </c>
      <c r="BF183" s="18">
        <v>9.7911375077535095E-3</v>
      </c>
      <c r="BG183" s="19"/>
      <c r="BH183" s="18"/>
    </row>
    <row r="184" spans="1:60" x14ac:dyDescent="0.2">
      <c r="A184" s="16">
        <v>2023</v>
      </c>
      <c r="B184" s="16">
        <v>1</v>
      </c>
      <c r="C184" s="19">
        <v>106.518144715182</v>
      </c>
      <c r="D184" s="18">
        <v>2.0385815581239999E-2</v>
      </c>
      <c r="E184" s="19">
        <v>106.303397079578</v>
      </c>
      <c r="F184" s="18">
        <v>2.1511425198702101E-2</v>
      </c>
      <c r="G184" s="19">
        <v>96.297279465320699</v>
      </c>
      <c r="H184" s="18">
        <v>6.5677649237341198E-3</v>
      </c>
      <c r="I184" s="19">
        <v>103.547415467294</v>
      </c>
      <c r="J184" s="18">
        <v>2.1079784814397502E-2</v>
      </c>
      <c r="K184" s="19">
        <v>94.4496148927891</v>
      </c>
      <c r="L184" s="18">
        <v>1.61114964678166E-3</v>
      </c>
      <c r="M184" s="19">
        <v>85.636292776225602</v>
      </c>
      <c r="N184" s="18">
        <v>-6.7120579142218403E-2</v>
      </c>
      <c r="O184" s="19">
        <v>100.400445174437</v>
      </c>
      <c r="P184" s="18">
        <v>4.5911958962523897E-2</v>
      </c>
      <c r="Q184" s="19">
        <v>131.99931748840899</v>
      </c>
      <c r="R184" s="18">
        <v>0.41576544678765898</v>
      </c>
      <c r="S184" s="19">
        <v>103.558909999158</v>
      </c>
      <c r="T184" s="18">
        <v>-0.107293798036561</v>
      </c>
      <c r="U184" s="19">
        <v>113.146849809655</v>
      </c>
      <c r="V184" s="18">
        <v>6.8832828777468893E-2</v>
      </c>
      <c r="W184" s="19">
        <v>136.328805493251</v>
      </c>
      <c r="X184" s="18">
        <v>-2.04284578761499E-2</v>
      </c>
      <c r="Y184" s="19">
        <v>103.92717863491301</v>
      </c>
      <c r="Z184" s="18">
        <v>4.53366918098113E-2</v>
      </c>
      <c r="AA184" s="19">
        <v>104.56001934666899</v>
      </c>
      <c r="AB184" s="18">
        <v>8.77473183196531E-3</v>
      </c>
      <c r="AC184" s="19">
        <v>104.194618532869</v>
      </c>
      <c r="AD184" s="18">
        <v>2.94964739909407E-2</v>
      </c>
      <c r="AE184" s="19">
        <v>97.982196982451498</v>
      </c>
      <c r="AF184" s="18">
        <v>-3.2216039689386702E-3</v>
      </c>
      <c r="AG184" s="19">
        <v>106.90501481039701</v>
      </c>
      <c r="AH184" s="18">
        <v>0.107843811132228</v>
      </c>
      <c r="AI184" s="19">
        <v>114.68322529040699</v>
      </c>
      <c r="AJ184" s="18">
        <v>0.24134127661618701</v>
      </c>
      <c r="AK184" s="19">
        <v>102.933988388988</v>
      </c>
      <c r="AL184" s="18">
        <v>1.8557911533146901E-2</v>
      </c>
      <c r="AM184" s="19">
        <v>104.04190110185</v>
      </c>
      <c r="AN184" s="18">
        <v>2.0998581674326101E-2</v>
      </c>
      <c r="AO184" s="19">
        <v>106.62965047532499</v>
      </c>
      <c r="AP184" s="18">
        <v>3.1683683451779299E-2</v>
      </c>
      <c r="AQ184" s="19">
        <v>105.461178008508</v>
      </c>
      <c r="AR184" s="18">
        <v>1.43239311299352E-2</v>
      </c>
      <c r="AS184" s="19">
        <v>99.368562511437801</v>
      </c>
      <c r="AT184" s="18">
        <v>8.0281735126861396E-3</v>
      </c>
      <c r="AU184" s="19">
        <v>89.753988035667405</v>
      </c>
      <c r="AV184" s="18">
        <v>-4.0888822736098597E-2</v>
      </c>
      <c r="AW184" s="19">
        <v>99.498237329800801</v>
      </c>
      <c r="AX184" s="18">
        <v>1.8667270489451E-2</v>
      </c>
      <c r="AY184" s="19">
        <v>101.380349426398</v>
      </c>
      <c r="AZ184" s="18">
        <v>8.0359866538282105E-3</v>
      </c>
      <c r="BA184" s="19">
        <v>114.60682290727399</v>
      </c>
      <c r="BB184" s="18">
        <v>-1.46410754602094E-2</v>
      </c>
      <c r="BC184" s="19">
        <v>108.643491100749</v>
      </c>
      <c r="BD184" s="18">
        <v>-3.2093096148918501E-3</v>
      </c>
      <c r="BE184" s="19">
        <v>101.700756536401</v>
      </c>
      <c r="BF184" s="18">
        <v>1.42423937682035E-2</v>
      </c>
      <c r="BG184" s="19"/>
      <c r="BH184" s="18"/>
    </row>
    <row r="185" spans="1:60" x14ac:dyDescent="0.2">
      <c r="A185" s="16">
        <v>2023</v>
      </c>
      <c r="B185" s="16">
        <v>2</v>
      </c>
      <c r="C185" s="19">
        <v>106.096186758527</v>
      </c>
      <c r="D185" s="18">
        <v>1.17056737253558E-2</v>
      </c>
      <c r="E185" s="19">
        <v>106.173927836023</v>
      </c>
      <c r="F185" s="18">
        <v>1.30845157714838E-2</v>
      </c>
      <c r="G185" s="19">
        <v>95.784034365838096</v>
      </c>
      <c r="H185" s="18">
        <v>2.5407811439048099E-2</v>
      </c>
      <c r="I185" s="19">
        <v>105.201187982631</v>
      </c>
      <c r="J185" s="18">
        <v>5.1934700389188598E-2</v>
      </c>
      <c r="K185" s="19">
        <v>94.6357675708702</v>
      </c>
      <c r="L185" s="18">
        <v>1.19681523177515E-2</v>
      </c>
      <c r="M185" s="19">
        <v>82.466998180123696</v>
      </c>
      <c r="N185" s="18">
        <v>-8.3611490781361403E-2</v>
      </c>
      <c r="O185" s="19">
        <v>102.944190515297</v>
      </c>
      <c r="P185" s="18">
        <v>7.4342376513959502E-2</v>
      </c>
      <c r="Q185" s="19">
        <v>137.12830714634299</v>
      </c>
      <c r="R185" s="18">
        <v>0.62297797517860498</v>
      </c>
      <c r="S185" s="19">
        <v>100.475462811727</v>
      </c>
      <c r="T185" s="18">
        <v>-0.13699002505376001</v>
      </c>
      <c r="U185" s="19">
        <v>114.032796065361</v>
      </c>
      <c r="V185" s="18">
        <v>5.8184574296643102E-2</v>
      </c>
      <c r="W185" s="19">
        <v>132.16531105262001</v>
      </c>
      <c r="X185" s="18">
        <v>-8.3727499437595401E-2</v>
      </c>
      <c r="Y185" s="19">
        <v>105.508689789201</v>
      </c>
      <c r="Z185" s="18">
        <v>3.4935050636129401E-2</v>
      </c>
      <c r="AA185" s="19">
        <v>103.97960777586</v>
      </c>
      <c r="AB185" s="18">
        <v>-1.5322768105041001E-2</v>
      </c>
      <c r="AC185" s="19">
        <v>103.83512454356</v>
      </c>
      <c r="AD185" s="18">
        <v>5.0053131174107299E-2</v>
      </c>
      <c r="AE185" s="19">
        <v>97.770925390363601</v>
      </c>
      <c r="AF185" s="18">
        <v>-4.9675129009529896E-3</v>
      </c>
      <c r="AG185" s="19">
        <v>108.800776802613</v>
      </c>
      <c r="AH185" s="18">
        <v>0.101239039958471</v>
      </c>
      <c r="AI185" s="19">
        <v>119.175333951811</v>
      </c>
      <c r="AJ185" s="18">
        <v>0.225988142681465</v>
      </c>
      <c r="AK185" s="19">
        <v>103.673054969929</v>
      </c>
      <c r="AL185" s="18">
        <v>2.5960466432614699E-2</v>
      </c>
      <c r="AM185" s="19">
        <v>104.444514920972</v>
      </c>
      <c r="AN185" s="18">
        <v>1.9162889588044001E-2</v>
      </c>
      <c r="AO185" s="19">
        <v>107.44296974526</v>
      </c>
      <c r="AP185" s="18">
        <v>3.4150432676552302E-2</v>
      </c>
      <c r="AQ185" s="19">
        <v>105.81853671223</v>
      </c>
      <c r="AR185" s="18">
        <v>2.0736142168710701E-2</v>
      </c>
      <c r="AS185" s="19">
        <v>99.4090706109656</v>
      </c>
      <c r="AT185" s="18">
        <v>9.1126004251977904E-3</v>
      </c>
      <c r="AU185" s="19">
        <v>89.078515334592694</v>
      </c>
      <c r="AV185" s="18">
        <v>-3.8638459528802301E-2</v>
      </c>
      <c r="AW185" s="19">
        <v>100.38123541972701</v>
      </c>
      <c r="AX185" s="18">
        <v>2.9038470730270698E-2</v>
      </c>
      <c r="AY185" s="19">
        <v>103.073843129751</v>
      </c>
      <c r="AZ185" s="18">
        <v>6.1282296611373504E-3</v>
      </c>
      <c r="BA185" s="19">
        <v>103.201432509556</v>
      </c>
      <c r="BB185" s="18">
        <v>-3.8063630169855603E-2</v>
      </c>
      <c r="BC185" s="19">
        <v>102.750154099547</v>
      </c>
      <c r="BD185" s="18">
        <v>-1.38054197235536E-2</v>
      </c>
      <c r="BE185" s="19">
        <v>102.153286266162</v>
      </c>
      <c r="BF185" s="18">
        <v>1.6836839080613099E-2</v>
      </c>
      <c r="BG185" s="19"/>
      <c r="BH185" s="18"/>
    </row>
    <row r="186" spans="1:60" x14ac:dyDescent="0.2">
      <c r="A186" s="16">
        <v>2023</v>
      </c>
      <c r="B186" s="16">
        <v>3</v>
      </c>
      <c r="C186" s="19">
        <v>106.040058208779</v>
      </c>
      <c r="D186" s="18">
        <v>7.34688410621298E-3</v>
      </c>
      <c r="E186" s="19">
        <v>106.12009567077099</v>
      </c>
      <c r="F186" s="18">
        <v>7.4511880746119799E-3</v>
      </c>
      <c r="G186" s="19">
        <v>99.049232572606499</v>
      </c>
      <c r="H186" s="18">
        <v>4.9298556293373E-2</v>
      </c>
      <c r="I186" s="19">
        <v>104.959371653443</v>
      </c>
      <c r="J186" s="18">
        <v>3.4500731446387399E-2</v>
      </c>
      <c r="K186" s="19">
        <v>93.765573381759594</v>
      </c>
      <c r="L186" s="18">
        <v>7.8178324017539307E-3</v>
      </c>
      <c r="M186" s="19">
        <v>80.387609793615397</v>
      </c>
      <c r="N186" s="18">
        <v>-8.1604172124230906E-2</v>
      </c>
      <c r="O186" s="19">
        <v>103.467691900663</v>
      </c>
      <c r="P186" s="18">
        <v>6.9886110450385799E-2</v>
      </c>
      <c r="Q186" s="19">
        <v>137.28760779992899</v>
      </c>
      <c r="R186" s="18">
        <v>0.57242634609743903</v>
      </c>
      <c r="S186" s="19">
        <v>96.451712712965104</v>
      </c>
      <c r="T186" s="18">
        <v>-9.9451516095504303E-2</v>
      </c>
      <c r="U186" s="19">
        <v>115.189894661729</v>
      </c>
      <c r="V186" s="18">
        <v>4.73863643439765E-2</v>
      </c>
      <c r="W186" s="19">
        <v>129.796092284075</v>
      </c>
      <c r="X186" s="18">
        <v>-0.104319114132571</v>
      </c>
      <c r="Y186" s="19">
        <v>105.48812879429801</v>
      </c>
      <c r="Z186" s="18">
        <v>2.7555658830545199E-2</v>
      </c>
      <c r="AA186" s="19">
        <v>104.075844832991</v>
      </c>
      <c r="AB186" s="18">
        <v>-2.0978569758893801E-2</v>
      </c>
      <c r="AC186" s="19">
        <v>105.546507419902</v>
      </c>
      <c r="AD186" s="18">
        <v>4.9251860989325297E-2</v>
      </c>
      <c r="AE186" s="19">
        <v>97.944942153273999</v>
      </c>
      <c r="AF186" s="18">
        <v>-4.8242330178513999E-3</v>
      </c>
      <c r="AG186" s="19">
        <v>109.032664206045</v>
      </c>
      <c r="AH186" s="18">
        <v>7.1013739158758402E-2</v>
      </c>
      <c r="AI186" s="19">
        <v>119.507117409046</v>
      </c>
      <c r="AJ186" s="18">
        <v>0.149322829044407</v>
      </c>
      <c r="AK186" s="19">
        <v>104.241925450107</v>
      </c>
      <c r="AL186" s="18">
        <v>2.9008633583913899E-2</v>
      </c>
      <c r="AM186" s="19">
        <v>104.726712322244</v>
      </c>
      <c r="AN186" s="18">
        <v>1.7120504347417201E-2</v>
      </c>
      <c r="AO186" s="19">
        <v>108.14598969325</v>
      </c>
      <c r="AP186" s="18">
        <v>3.1850542832230398E-2</v>
      </c>
      <c r="AQ186" s="19">
        <v>107.725861559896</v>
      </c>
      <c r="AR186" s="18">
        <v>3.4413785623134602E-2</v>
      </c>
      <c r="AS186" s="19">
        <v>99.487930493015995</v>
      </c>
      <c r="AT186" s="18">
        <v>6.1396967027718104E-3</v>
      </c>
      <c r="AU186" s="19">
        <v>89.311078746071701</v>
      </c>
      <c r="AV186" s="18">
        <v>-2.8741306121213301E-2</v>
      </c>
      <c r="AW186" s="19">
        <v>100.806158525252</v>
      </c>
      <c r="AX186" s="18">
        <v>3.1943456765622498E-2</v>
      </c>
      <c r="AY186" s="19">
        <v>104.531216108002</v>
      </c>
      <c r="AZ186" s="18">
        <v>2.2645859110511899E-2</v>
      </c>
      <c r="BA186" s="19">
        <v>103.055521250978</v>
      </c>
      <c r="BB186" s="18">
        <v>2.6703336204514398E-3</v>
      </c>
      <c r="BC186" s="19">
        <v>102.84545830594</v>
      </c>
      <c r="BD186" s="18">
        <v>9.7228824948678606E-3</v>
      </c>
      <c r="BE186" s="19">
        <v>102.527209573511</v>
      </c>
      <c r="BF186" s="18">
        <v>1.75271851023753E-2</v>
      </c>
      <c r="BG186" s="19"/>
      <c r="BH186" s="18"/>
    </row>
    <row r="187" spans="1:60" x14ac:dyDescent="0.2">
      <c r="A187" s="16">
        <v>2023</v>
      </c>
      <c r="B187" s="16">
        <v>4</v>
      </c>
      <c r="C187" s="19">
        <v>105.467423335882</v>
      </c>
      <c r="D187" s="18">
        <v>-1.52911241362641E-3</v>
      </c>
      <c r="E187" s="19">
        <v>105.969709444572</v>
      </c>
      <c r="F187" s="18">
        <v>-8.6601756595750001E-4</v>
      </c>
      <c r="G187" s="19">
        <v>101.28158116954</v>
      </c>
      <c r="H187" s="18">
        <v>4.6780052482753701E-2</v>
      </c>
      <c r="I187" s="19">
        <v>105.153672250626</v>
      </c>
      <c r="J187" s="18">
        <v>3.05568191727217E-2</v>
      </c>
      <c r="K187" s="19">
        <v>93.416768428212507</v>
      </c>
      <c r="L187" s="18">
        <v>1.47972443924593E-3</v>
      </c>
      <c r="M187" s="19">
        <v>80.087535259905493</v>
      </c>
      <c r="N187" s="18">
        <v>-7.6862522030874805E-2</v>
      </c>
      <c r="O187" s="19">
        <v>102.64380142492099</v>
      </c>
      <c r="P187" s="18">
        <v>5.2959201813657798E-2</v>
      </c>
      <c r="Q187" s="19">
        <v>138.69900653635301</v>
      </c>
      <c r="R187" s="18">
        <v>0.31160068598091001</v>
      </c>
      <c r="S187" s="19">
        <v>96.303522669402398</v>
      </c>
      <c r="T187" s="18">
        <v>-8.1868072887632801E-2</v>
      </c>
      <c r="U187" s="19">
        <v>116.45390382222099</v>
      </c>
      <c r="V187" s="18">
        <v>3.7856334707363E-2</v>
      </c>
      <c r="W187" s="19">
        <v>129.45830967889199</v>
      </c>
      <c r="X187" s="18">
        <v>-8.6576136464584993E-2</v>
      </c>
      <c r="Y187" s="19">
        <v>104.864349571994</v>
      </c>
      <c r="Z187" s="18">
        <v>1.64162944479955E-2</v>
      </c>
      <c r="AA187" s="19">
        <v>104.77723075998399</v>
      </c>
      <c r="AB187" s="18">
        <v>-9.3644022725115593E-3</v>
      </c>
      <c r="AC187" s="19">
        <v>104.83886560359799</v>
      </c>
      <c r="AD187" s="18">
        <v>5.0788621201157902E-2</v>
      </c>
      <c r="AE187" s="19">
        <v>98.1763845636886</v>
      </c>
      <c r="AF187" s="18">
        <v>2.49012788513037E-3</v>
      </c>
      <c r="AG187" s="19">
        <v>108.241979892629</v>
      </c>
      <c r="AH187" s="18">
        <v>2.6874655127904198E-2</v>
      </c>
      <c r="AI187" s="19">
        <v>116.793109272048</v>
      </c>
      <c r="AJ187" s="18">
        <v>4.3688928572574601E-2</v>
      </c>
      <c r="AK187" s="19">
        <v>104.75170299744499</v>
      </c>
      <c r="AL187" s="18">
        <v>2.80526097451421E-2</v>
      </c>
      <c r="AM187" s="19">
        <v>105.275003472786</v>
      </c>
      <c r="AN187" s="18">
        <v>1.75220430905869E-2</v>
      </c>
      <c r="AO187" s="19">
        <v>108.733972255815</v>
      </c>
      <c r="AP187" s="18">
        <v>2.80006444435386E-2</v>
      </c>
      <c r="AQ187" s="19">
        <v>108.871038806999</v>
      </c>
      <c r="AR187" s="18">
        <v>3.6969529563877203E-2</v>
      </c>
      <c r="AS187" s="19">
        <v>99.448461153986102</v>
      </c>
      <c r="AT187" s="18">
        <v>3.34367142002034E-3</v>
      </c>
      <c r="AU187" s="19">
        <v>89.517528627101498</v>
      </c>
      <c r="AV187" s="18">
        <v>-1.5329118541286E-2</v>
      </c>
      <c r="AW187" s="19">
        <v>101.281413785966</v>
      </c>
      <c r="AX187" s="18">
        <v>3.09235408066924E-2</v>
      </c>
      <c r="AY187" s="19">
        <v>103.587202178997</v>
      </c>
      <c r="AZ187" s="18">
        <v>1.36925249252338E-2</v>
      </c>
      <c r="BA187" s="19">
        <v>86.475996832589303</v>
      </c>
      <c r="BB187" s="18">
        <v>-3.7708091420275001E-2</v>
      </c>
      <c r="BC187" s="19">
        <v>94.090253681889095</v>
      </c>
      <c r="BD187" s="18">
        <v>-8.6437777018718593E-3</v>
      </c>
      <c r="BE187" s="19">
        <v>102.820925555559</v>
      </c>
      <c r="BF187" s="18">
        <v>1.62917622768519E-2</v>
      </c>
      <c r="BG187" s="19"/>
      <c r="BH187" s="18"/>
    </row>
    <row r="188" spans="1:60" x14ac:dyDescent="0.2">
      <c r="A188" s="16">
        <v>2024</v>
      </c>
      <c r="B188" s="16">
        <v>1</v>
      </c>
      <c r="C188" s="19">
        <v>107.048324213736</v>
      </c>
      <c r="D188" s="18">
        <v>4.9773632461531702E-3</v>
      </c>
      <c r="E188" s="19">
        <v>106.638826056013</v>
      </c>
      <c r="F188" s="18">
        <v>3.1553928251590898E-3</v>
      </c>
      <c r="G188" s="19">
        <v>101.37155240112</v>
      </c>
      <c r="H188" s="18">
        <v>5.2693834799630898E-2</v>
      </c>
      <c r="I188" s="19">
        <v>107.347329769124</v>
      </c>
      <c r="J188" s="18">
        <v>3.6697336043410397E-2</v>
      </c>
      <c r="K188" s="19">
        <v>93.525289743417702</v>
      </c>
      <c r="L188" s="18">
        <v>-9.7864364023146893E-3</v>
      </c>
      <c r="M188" s="19">
        <v>78.837743501885896</v>
      </c>
      <c r="N188" s="18">
        <v>-7.9388645327102797E-2</v>
      </c>
      <c r="O188" s="19">
        <v>104.05074736407499</v>
      </c>
      <c r="P188" s="18">
        <v>3.6357430321108698E-2</v>
      </c>
      <c r="Q188" s="19">
        <v>158.18080060627099</v>
      </c>
      <c r="R188" s="18">
        <v>0.19834559462901499</v>
      </c>
      <c r="S188" s="19">
        <v>97.308662528328497</v>
      </c>
      <c r="T188" s="18">
        <v>-6.0354511947649299E-2</v>
      </c>
      <c r="U188" s="19">
        <v>116.81210905846901</v>
      </c>
      <c r="V188" s="18">
        <v>3.2393824971529699E-2</v>
      </c>
      <c r="W188" s="19">
        <v>129.54581546350801</v>
      </c>
      <c r="X188" s="18">
        <v>-4.9754635531364701E-2</v>
      </c>
      <c r="Y188" s="19">
        <v>103.10097071431299</v>
      </c>
      <c r="Z188" s="18">
        <v>-7.9498734734494408E-3</v>
      </c>
      <c r="AA188" s="19">
        <v>104.98112745213599</v>
      </c>
      <c r="AB188" s="18">
        <v>4.02742949071322E-3</v>
      </c>
      <c r="AC188" s="19">
        <v>108.589683413088</v>
      </c>
      <c r="AD188" s="18">
        <v>4.2181304006906097E-2</v>
      </c>
      <c r="AE188" s="19">
        <v>98.2280391869959</v>
      </c>
      <c r="AF188" s="18">
        <v>2.5090497265380898E-3</v>
      </c>
      <c r="AG188" s="19">
        <v>108.531232869056</v>
      </c>
      <c r="AH188" s="18">
        <v>1.5211803314775899E-2</v>
      </c>
      <c r="AI188" s="19">
        <v>116.89841647517601</v>
      </c>
      <c r="AJ188" s="18">
        <v>1.93157384539864E-2</v>
      </c>
      <c r="AK188" s="19">
        <v>105.30636594442601</v>
      </c>
      <c r="AL188" s="18">
        <v>2.30475627396571E-2</v>
      </c>
      <c r="AM188" s="19">
        <v>105.663879164969</v>
      </c>
      <c r="AN188" s="18">
        <v>1.55896619144944E-2</v>
      </c>
      <c r="AO188" s="19">
        <v>109.207060789555</v>
      </c>
      <c r="AP188" s="18">
        <v>2.41716098921856E-2</v>
      </c>
      <c r="AQ188" s="19">
        <v>109.169452454313</v>
      </c>
      <c r="AR188" s="18">
        <v>3.5162459929146503E-2</v>
      </c>
      <c r="AS188" s="19">
        <v>99.468424661217895</v>
      </c>
      <c r="AT188" s="18">
        <v>1.0049672376874999E-3</v>
      </c>
      <c r="AU188" s="19">
        <v>90.230158067764606</v>
      </c>
      <c r="AV188" s="18">
        <v>5.3052799381796403E-3</v>
      </c>
      <c r="AW188" s="19">
        <v>102.349649321714</v>
      </c>
      <c r="AX188" s="18">
        <v>2.8657914636839501E-2</v>
      </c>
      <c r="AY188" s="19">
        <v>103.926059361212</v>
      </c>
      <c r="AZ188" s="18">
        <v>2.5110486886438001E-2</v>
      </c>
      <c r="BA188" s="19">
        <v>123.315714947535</v>
      </c>
      <c r="BB188" s="18">
        <v>7.5989298187834994E-2</v>
      </c>
      <c r="BC188" s="19">
        <v>113.54799634166299</v>
      </c>
      <c r="BD188" s="18">
        <v>4.5143111577351097E-2</v>
      </c>
      <c r="BE188" s="19">
        <v>103.031305905775</v>
      </c>
      <c r="BF188" s="18">
        <v>1.3082983988407E-2</v>
      </c>
      <c r="BG188" s="19"/>
      <c r="BH188" s="18"/>
    </row>
    <row r="189" spans="1:60" x14ac:dyDescent="0.2">
      <c r="A189" s="16">
        <v>2024</v>
      </c>
      <c r="B189" s="16">
        <v>2</v>
      </c>
      <c r="C189" s="19">
        <v>106.844402494081</v>
      </c>
      <c r="D189" s="18">
        <v>7.05223965547375E-3</v>
      </c>
      <c r="E189" s="19">
        <v>106.827736373715</v>
      </c>
      <c r="F189" s="18">
        <v>6.1579010122045901E-3</v>
      </c>
      <c r="G189" s="19">
        <v>99.654387497014596</v>
      </c>
      <c r="H189" s="18">
        <v>4.04070799147387E-2</v>
      </c>
      <c r="I189" s="19">
        <v>104.664679424379</v>
      </c>
      <c r="J189" s="18">
        <v>-5.09983364770505E-3</v>
      </c>
      <c r="K189" s="19">
        <v>93.556900967783704</v>
      </c>
      <c r="L189" s="18">
        <v>-1.14001992140924E-2</v>
      </c>
      <c r="M189" s="19">
        <v>80.315097089443299</v>
      </c>
      <c r="N189" s="18">
        <v>-2.6094087794736001E-2</v>
      </c>
      <c r="O189" s="19">
        <v>102.93022619142999</v>
      </c>
      <c r="P189" s="18">
        <v>-1.3564946013300299E-4</v>
      </c>
      <c r="Q189" s="19">
        <v>155.015753498224</v>
      </c>
      <c r="R189" s="18">
        <v>0.130443135513894</v>
      </c>
      <c r="S189" s="19">
        <v>97.394634365132404</v>
      </c>
      <c r="T189" s="18">
        <v>-3.0662495701740601E-2</v>
      </c>
      <c r="U189" s="19">
        <v>117.263675974417</v>
      </c>
      <c r="V189" s="18">
        <v>2.8332900889350501E-2</v>
      </c>
      <c r="W189" s="19">
        <v>129.742240780153</v>
      </c>
      <c r="X189" s="18">
        <v>-1.8333632729860501E-2</v>
      </c>
      <c r="Y189" s="19">
        <v>103.69549085397701</v>
      </c>
      <c r="Z189" s="18">
        <v>-1.71853042516888E-2</v>
      </c>
      <c r="AA189" s="19">
        <v>104.99935041670101</v>
      </c>
      <c r="AB189" s="18">
        <v>9.8071406755038098E-3</v>
      </c>
      <c r="AC189" s="19">
        <v>107.38983575478601</v>
      </c>
      <c r="AD189" s="18">
        <v>3.4234188352466798E-2</v>
      </c>
      <c r="AE189" s="19">
        <v>97.895003899793807</v>
      </c>
      <c r="AF189" s="18">
        <v>1.26907369378793E-3</v>
      </c>
      <c r="AG189" s="19">
        <v>109.640072419484</v>
      </c>
      <c r="AH189" s="18">
        <v>7.7140590493518504E-3</v>
      </c>
      <c r="AI189" s="19">
        <v>119.687371229509</v>
      </c>
      <c r="AJ189" s="18">
        <v>4.2965038210425197E-3</v>
      </c>
      <c r="AK189" s="19">
        <v>105.500199167519</v>
      </c>
      <c r="AL189" s="18">
        <v>1.7624099127015298E-2</v>
      </c>
      <c r="AM189" s="19">
        <v>106.24214131485</v>
      </c>
      <c r="AN189" s="18">
        <v>1.7211304923366599E-2</v>
      </c>
      <c r="AO189" s="19">
        <v>109.51384388267699</v>
      </c>
      <c r="AP189" s="18">
        <v>1.9274170681685E-2</v>
      </c>
      <c r="AQ189" s="19">
        <v>109.149365069564</v>
      </c>
      <c r="AR189" s="18">
        <v>3.1476794716901901E-2</v>
      </c>
      <c r="AS189" s="19">
        <v>99.453326242973404</v>
      </c>
      <c r="AT189" s="18">
        <v>4.4518706125984398E-4</v>
      </c>
      <c r="AU189" s="19">
        <v>90.890412749252306</v>
      </c>
      <c r="AV189" s="18">
        <v>2.03404536756575E-2</v>
      </c>
      <c r="AW189" s="19">
        <v>103.08241656803401</v>
      </c>
      <c r="AX189" s="18">
        <v>2.6909223990045E-2</v>
      </c>
      <c r="AY189" s="19">
        <v>105.73994080761101</v>
      </c>
      <c r="AZ189" s="18">
        <v>2.5865899600773699E-2</v>
      </c>
      <c r="BA189" s="19">
        <v>107.67169764048499</v>
      </c>
      <c r="BB189" s="18">
        <v>4.3315921322258498E-2</v>
      </c>
      <c r="BC189" s="19">
        <v>105.561232244696</v>
      </c>
      <c r="BD189" s="18">
        <v>2.7358383739501699E-2</v>
      </c>
      <c r="BE189" s="19">
        <v>103.190250165831</v>
      </c>
      <c r="BF189" s="18">
        <v>1.01510576660924E-2</v>
      </c>
      <c r="BG189" s="19"/>
      <c r="BH189" s="18"/>
    </row>
    <row r="190" spans="1:60" x14ac:dyDescent="0.2">
      <c r="A190" s="16">
        <v>2024</v>
      </c>
      <c r="B190" s="16">
        <v>3</v>
      </c>
      <c r="C190" s="19">
        <v>107.34422616431399</v>
      </c>
      <c r="D190" s="18">
        <v>1.2298823459403901E-2</v>
      </c>
      <c r="E190" s="19">
        <v>107.31441455131301</v>
      </c>
      <c r="F190" s="18">
        <v>1.12544082531503E-2</v>
      </c>
      <c r="G190" s="19">
        <v>103.202647213787</v>
      </c>
      <c r="H190" s="18">
        <v>4.19328301017972E-2</v>
      </c>
      <c r="I190" s="19">
        <v>105.53875467841</v>
      </c>
      <c r="J190" s="18">
        <v>5.5200694882267002E-3</v>
      </c>
      <c r="K190" s="19">
        <v>94.183474433459295</v>
      </c>
      <c r="L190" s="18">
        <v>4.4568708602492598E-3</v>
      </c>
      <c r="M190" s="19">
        <v>79.345809556678702</v>
      </c>
      <c r="N190" s="18">
        <v>-1.2959711572609001E-2</v>
      </c>
      <c r="O190" s="19">
        <v>105.100636910725</v>
      </c>
      <c r="P190" s="18">
        <v>1.5782172966901899E-2</v>
      </c>
      <c r="Q190" s="19">
        <v>159.07636837608601</v>
      </c>
      <c r="R190" s="18">
        <v>0.158708866192138</v>
      </c>
      <c r="S190" s="19">
        <v>96.251915103258298</v>
      </c>
      <c r="T190" s="18">
        <v>-2.0714780908184199E-3</v>
      </c>
      <c r="U190" s="19">
        <v>116.848010302898</v>
      </c>
      <c r="V190" s="18">
        <v>1.4394627636728399E-2</v>
      </c>
      <c r="W190" s="19">
        <v>129.28491417095699</v>
      </c>
      <c r="X190" s="18">
        <v>-3.9383166636458604E-3</v>
      </c>
      <c r="Y190" s="19">
        <v>102.888465313754</v>
      </c>
      <c r="Z190" s="18">
        <v>-2.46441330437671E-2</v>
      </c>
      <c r="AA190" s="19">
        <v>105.328755152342</v>
      </c>
      <c r="AB190" s="18">
        <v>1.2038435252305701E-2</v>
      </c>
      <c r="AC190" s="19">
        <v>109.00031455678</v>
      </c>
      <c r="AD190" s="18">
        <v>3.2723083134691897E-2</v>
      </c>
      <c r="AE190" s="19">
        <v>98.046004610545594</v>
      </c>
      <c r="AF190" s="18">
        <v>1.0318292609072801E-3</v>
      </c>
      <c r="AG190" s="19">
        <v>109.809521164543</v>
      </c>
      <c r="AH190" s="18">
        <v>7.12499290149049E-3</v>
      </c>
      <c r="AI190" s="19">
        <v>120.246752914426</v>
      </c>
      <c r="AJ190" s="18">
        <v>6.1890498358190297E-3</v>
      </c>
      <c r="AK190" s="19">
        <v>105.399642210244</v>
      </c>
      <c r="AL190" s="18">
        <v>1.1106056945309001E-2</v>
      </c>
      <c r="AM190" s="19">
        <v>107.02294338175901</v>
      </c>
      <c r="AN190" s="18">
        <v>2.1925934736209299E-2</v>
      </c>
      <c r="AO190" s="19">
        <v>109.79714079658299</v>
      </c>
      <c r="AP190" s="18">
        <v>1.5267797798292E-2</v>
      </c>
      <c r="AQ190" s="19">
        <v>110.169697224519</v>
      </c>
      <c r="AR190" s="18">
        <v>2.2685691525096099E-2</v>
      </c>
      <c r="AS190" s="19">
        <v>99.355535898423</v>
      </c>
      <c r="AT190" s="18">
        <v>-1.3307603639643999E-3</v>
      </c>
      <c r="AU190" s="19">
        <v>91.814649893000393</v>
      </c>
      <c r="AV190" s="18">
        <v>2.8032033450707799E-2</v>
      </c>
      <c r="AW190" s="19">
        <v>103.55022438517</v>
      </c>
      <c r="AX190" s="18">
        <v>2.7221212474145599E-2</v>
      </c>
      <c r="AY190" s="19">
        <v>105.171343507853</v>
      </c>
      <c r="AZ190" s="18">
        <v>6.12379175986666E-3</v>
      </c>
      <c r="BA190" s="19">
        <v>108.73959737516201</v>
      </c>
      <c r="BB190" s="18">
        <v>5.5155474012314999E-2</v>
      </c>
      <c r="BC190" s="19">
        <v>106.14462859991799</v>
      </c>
      <c r="BD190" s="18">
        <v>3.2078910904978199E-2</v>
      </c>
      <c r="BE190" s="19">
        <v>103.296860313084</v>
      </c>
      <c r="BF190" s="18">
        <v>7.5067949549603198E-3</v>
      </c>
      <c r="BG190" s="19"/>
      <c r="BH190" s="18"/>
    </row>
    <row r="191" spans="1:60" x14ac:dyDescent="0.2">
      <c r="A191" s="16">
        <v>2024</v>
      </c>
      <c r="B191" s="16">
        <v>4</v>
      </c>
      <c r="C191" s="19">
        <v>106.96611744806501</v>
      </c>
      <c r="D191" s="18">
        <v>1.42100192152235E-2</v>
      </c>
      <c r="E191" s="19">
        <v>107.325289352551</v>
      </c>
      <c r="F191" s="18">
        <v>1.2792145180773999E-2</v>
      </c>
      <c r="G191" s="19">
        <v>106.306355036486</v>
      </c>
      <c r="H191" s="18">
        <v>4.9611921624076502E-2</v>
      </c>
      <c r="I191" s="19">
        <v>106.26779245780899</v>
      </c>
      <c r="J191" s="18">
        <v>1.0595162140678301E-2</v>
      </c>
      <c r="K191" s="19">
        <v>94.576407380439207</v>
      </c>
      <c r="L191" s="18">
        <v>1.24136059482496E-2</v>
      </c>
      <c r="M191" s="19">
        <v>80.773025958785894</v>
      </c>
      <c r="N191" s="18">
        <v>8.5592682638537792E-3</v>
      </c>
      <c r="O191" s="19">
        <v>104.459758536357</v>
      </c>
      <c r="P191" s="18">
        <v>1.76918341509813E-2</v>
      </c>
      <c r="Q191" s="19">
        <v>163.556667275173</v>
      </c>
      <c r="R191" s="18">
        <v>0.17922017871342799</v>
      </c>
      <c r="S191" s="19">
        <v>94.708524359368695</v>
      </c>
      <c r="T191" s="18">
        <v>-1.6562201109808699E-2</v>
      </c>
      <c r="U191" s="19">
        <v>117.446196202655</v>
      </c>
      <c r="V191" s="18">
        <v>8.5209026736363692E-3</v>
      </c>
      <c r="W191" s="19">
        <v>128.26653941763701</v>
      </c>
      <c r="X191" s="18">
        <v>-9.2058228182572092E-3</v>
      </c>
      <c r="Y191" s="19">
        <v>102.23869780346701</v>
      </c>
      <c r="Z191" s="18">
        <v>-2.50385548496097E-2</v>
      </c>
      <c r="AA191" s="19">
        <v>105.774563625293</v>
      </c>
      <c r="AB191" s="18">
        <v>9.5186030216214395E-3</v>
      </c>
      <c r="AC191" s="19">
        <v>108.00648134928799</v>
      </c>
      <c r="AD191" s="18">
        <v>3.0214136021528702E-2</v>
      </c>
      <c r="AE191" s="19">
        <v>98.361110919695705</v>
      </c>
      <c r="AF191" s="18">
        <v>1.8815762754766899E-3</v>
      </c>
      <c r="AG191" s="19">
        <v>108.96628211303</v>
      </c>
      <c r="AH191" s="18">
        <v>6.6915093489596797E-3</v>
      </c>
      <c r="AI191" s="19">
        <v>118.26809761946301</v>
      </c>
      <c r="AJ191" s="18">
        <v>1.2629069956333601E-2</v>
      </c>
      <c r="AK191" s="19">
        <v>105.03642894200701</v>
      </c>
      <c r="AL191" s="18">
        <v>2.7181032519309999E-3</v>
      </c>
      <c r="AM191" s="19">
        <v>107.653456417794</v>
      </c>
      <c r="AN191" s="18">
        <v>2.2592760546644101E-2</v>
      </c>
      <c r="AO191" s="19">
        <v>110.128181257561</v>
      </c>
      <c r="AP191" s="18">
        <v>1.2822202415867999E-2</v>
      </c>
      <c r="AQ191" s="19">
        <v>110.652813670111</v>
      </c>
      <c r="AR191" s="18">
        <v>1.6365921393207299E-2</v>
      </c>
      <c r="AS191" s="19">
        <v>99.383665496014999</v>
      </c>
      <c r="AT191" s="18">
        <v>-6.5155013178941302E-4</v>
      </c>
      <c r="AU191" s="19">
        <v>92.223166788584294</v>
      </c>
      <c r="AV191" s="18">
        <v>3.02246744629588E-2</v>
      </c>
      <c r="AW191" s="19">
        <v>104.01170286243099</v>
      </c>
      <c r="AX191" s="18">
        <v>2.6957454229805399E-2</v>
      </c>
      <c r="AY191" s="19">
        <v>104.484529930656</v>
      </c>
      <c r="AZ191" s="18">
        <v>8.6625348767344103E-3</v>
      </c>
      <c r="BA191" s="19">
        <v>93.233168207025201</v>
      </c>
      <c r="BB191" s="18">
        <v>7.8139271265265306E-2</v>
      </c>
      <c r="BC191" s="19">
        <v>98.044421339802</v>
      </c>
      <c r="BD191" s="18">
        <v>4.2025263012698301E-2</v>
      </c>
      <c r="BE191" s="19">
        <v>103.350370697298</v>
      </c>
      <c r="BF191" s="18">
        <v>5.1491964196750404E-3</v>
      </c>
      <c r="BG191" s="19"/>
      <c r="BH191" s="18"/>
    </row>
    <row r="192" spans="1:60" x14ac:dyDescent="0.2">
      <c r="A192" s="16">
        <v>2025</v>
      </c>
      <c r="B192" s="16">
        <v>1</v>
      </c>
      <c r="C192" s="19">
        <v>107.956001103364</v>
      </c>
      <c r="D192" s="18">
        <v>8.4791321704054106E-3</v>
      </c>
      <c r="E192" s="19">
        <v>107.667301381187</v>
      </c>
      <c r="F192" s="18">
        <v>9.6444734362879404E-3</v>
      </c>
      <c r="G192" s="19">
        <v>106.828553928904</v>
      </c>
      <c r="H192" s="18">
        <v>5.3831685502758499E-2</v>
      </c>
      <c r="I192" s="19">
        <v>107.140166351465</v>
      </c>
      <c r="J192" s="18">
        <v>-1.9298422988649499E-3</v>
      </c>
      <c r="K192" s="19">
        <v>96.080265425957094</v>
      </c>
      <c r="L192" s="18">
        <v>2.7318554046171301E-2</v>
      </c>
      <c r="M192" s="19">
        <v>81.425447456652904</v>
      </c>
      <c r="N192" s="18">
        <v>3.28231610878751E-2</v>
      </c>
      <c r="O192" s="19">
        <v>106.673204023415</v>
      </c>
      <c r="P192" s="18">
        <v>2.5203631168198199E-2</v>
      </c>
      <c r="Q192" s="19">
        <v>154.57350327076099</v>
      </c>
      <c r="R192" s="18">
        <v>-2.28048999732249E-2</v>
      </c>
      <c r="S192" s="19">
        <v>95.287284095093099</v>
      </c>
      <c r="T192" s="18">
        <v>-2.07728518789063E-2</v>
      </c>
      <c r="U192" s="19">
        <v>117.448800332535</v>
      </c>
      <c r="V192" s="18">
        <v>5.4505588435820301E-3</v>
      </c>
      <c r="W192" s="19">
        <v>126.335648761492</v>
      </c>
      <c r="X192" s="18">
        <v>-2.4780165152609699E-2</v>
      </c>
      <c r="Y192" s="19">
        <v>101.24335266422401</v>
      </c>
      <c r="Z192" s="18">
        <v>-1.8017464212205299E-2</v>
      </c>
      <c r="AA192" s="19">
        <v>106.48974454840901</v>
      </c>
      <c r="AB192" s="18">
        <v>1.43703647778093E-2</v>
      </c>
      <c r="AC192" s="19">
        <v>110.791371863625</v>
      </c>
      <c r="AD192" s="18">
        <v>2.02753003907599E-2</v>
      </c>
      <c r="AE192" s="19">
        <v>98.633817312702007</v>
      </c>
      <c r="AF192" s="18">
        <v>4.1309806147467E-3</v>
      </c>
      <c r="AG192" s="19">
        <v>108.32918016107899</v>
      </c>
      <c r="AH192" s="18">
        <v>-1.8617010296061399E-3</v>
      </c>
      <c r="AI192" s="19">
        <v>117.204307637648</v>
      </c>
      <c r="AJ192" s="18">
        <v>2.6167263141418898E-3</v>
      </c>
      <c r="AK192" s="19">
        <v>104.411342083256</v>
      </c>
      <c r="AL192" s="18">
        <v>-8.4992379439156104E-3</v>
      </c>
      <c r="AM192" s="19">
        <v>108.37963880276401</v>
      </c>
      <c r="AN192" s="18">
        <v>2.5701873329439E-2</v>
      </c>
      <c r="AO192" s="19">
        <v>110.476929479448</v>
      </c>
      <c r="AP192" s="18">
        <v>1.16280822935138E-2</v>
      </c>
      <c r="AQ192" s="19">
        <v>110.344304320304</v>
      </c>
      <c r="AR192" s="18">
        <v>1.0761727200960599E-2</v>
      </c>
      <c r="AS192" s="19">
        <v>99.7685534072981</v>
      </c>
      <c r="AT192" s="18">
        <v>3.0173268261004501E-3</v>
      </c>
      <c r="AU192" s="19">
        <v>92.510259266723807</v>
      </c>
      <c r="AV192" s="18">
        <v>2.5269834917576402E-2</v>
      </c>
      <c r="AW192" s="19">
        <v>104.382407245108</v>
      </c>
      <c r="AX192" s="18">
        <v>1.9860917324731501E-2</v>
      </c>
      <c r="AY192" s="19">
        <v>103.380101456071</v>
      </c>
      <c r="AZ192" s="18">
        <v>-5.2533301897187403E-3</v>
      </c>
      <c r="BA192" s="19">
        <v>119.407512891211</v>
      </c>
      <c r="BB192" s="18">
        <v>-3.1692652132667698E-2</v>
      </c>
      <c r="BC192" s="19">
        <v>111.74652158594</v>
      </c>
      <c r="BD192" s="18">
        <v>-1.58653152302425E-2</v>
      </c>
      <c r="BE192" s="19">
        <v>103.350370697298</v>
      </c>
      <c r="BF192" s="18">
        <v>3.0967751861164E-3</v>
      </c>
      <c r="BG192" s="19"/>
      <c r="BH192" s="18"/>
    </row>
    <row r="193" spans="1:60" x14ac:dyDescent="0.2">
      <c r="A193" s="16">
        <v>2025</v>
      </c>
      <c r="B193" s="16">
        <v>2</v>
      </c>
      <c r="C193" s="19">
        <v>107.546013249377</v>
      </c>
      <c r="D193" s="18">
        <v>6.5666589818347302E-3</v>
      </c>
      <c r="E193" s="19">
        <v>107.493927376979</v>
      </c>
      <c r="F193" s="18">
        <v>6.2361239307193702E-3</v>
      </c>
      <c r="G193" s="19">
        <v>106.961592148012</v>
      </c>
      <c r="H193" s="18">
        <v>7.33254684969675E-2</v>
      </c>
      <c r="I193" s="19">
        <v>109.28844692889599</v>
      </c>
      <c r="J193" s="18">
        <v>4.4176961415701502E-2</v>
      </c>
      <c r="K193" s="19">
        <v>95.270379724774202</v>
      </c>
      <c r="L193" s="18">
        <v>1.83148302184621E-2</v>
      </c>
      <c r="M193" s="19">
        <v>78.424674114225994</v>
      </c>
      <c r="N193" s="18">
        <v>-2.3537579405674601E-2</v>
      </c>
      <c r="O193" s="19">
        <v>107.96373869171001</v>
      </c>
      <c r="P193" s="18">
        <v>4.8902180501562399E-2</v>
      </c>
      <c r="Q193" s="19">
        <v>153.70195757600101</v>
      </c>
      <c r="R193" s="18">
        <v>-8.4752413388627899E-3</v>
      </c>
      <c r="S193" s="19">
        <v>95.871962572391098</v>
      </c>
      <c r="T193" s="18">
        <v>-1.5634041881946299E-2</v>
      </c>
      <c r="U193" s="19">
        <v>117.528026789599</v>
      </c>
      <c r="V193" s="18">
        <v>2.2543282306843899E-3</v>
      </c>
      <c r="W193" s="19">
        <v>124.810363869637</v>
      </c>
      <c r="X193" s="18">
        <v>-3.8012885247401401E-2</v>
      </c>
      <c r="Y193" s="19">
        <v>102.34259300088701</v>
      </c>
      <c r="Z193" s="18">
        <v>-1.30468339746296E-2</v>
      </c>
      <c r="AA193" s="19">
        <v>106.995235577936</v>
      </c>
      <c r="AB193" s="18">
        <v>1.90085477035189E-2</v>
      </c>
      <c r="AC193" s="19">
        <v>109.443649181594</v>
      </c>
      <c r="AD193" s="18">
        <v>1.91248400034589E-2</v>
      </c>
      <c r="AE193" s="19">
        <v>99.008565077199805</v>
      </c>
      <c r="AF193" s="18">
        <v>1.13750562648309E-2</v>
      </c>
      <c r="AG193" s="19">
        <v>108.937011709367</v>
      </c>
      <c r="AH193" s="18">
        <v>-6.4124429563205999E-3</v>
      </c>
      <c r="AI193" s="19">
        <v>119.24031356016</v>
      </c>
      <c r="AJ193" s="18">
        <v>-3.7352116999187501E-3</v>
      </c>
      <c r="AK193" s="19">
        <v>103.859977626052</v>
      </c>
      <c r="AL193" s="18">
        <v>-1.5547094265321399E-2</v>
      </c>
      <c r="AM193" s="19">
        <v>109.033923294975</v>
      </c>
      <c r="AN193" s="18">
        <v>2.6277538701446199E-2</v>
      </c>
      <c r="AO193" s="19">
        <v>110.77807178269001</v>
      </c>
      <c r="AP193" s="18">
        <v>1.15440007873981E-2</v>
      </c>
      <c r="AQ193" s="19">
        <v>110.191738011309</v>
      </c>
      <c r="AR193" s="18">
        <v>9.5499679826864803E-3</v>
      </c>
      <c r="AS193" s="19">
        <v>99.940096871235497</v>
      </c>
      <c r="AT193" s="18">
        <v>4.8944630275393796E-3</v>
      </c>
      <c r="AU193" s="19">
        <v>93.066099197545796</v>
      </c>
      <c r="AV193" s="18">
        <v>2.3937469117845601E-2</v>
      </c>
      <c r="AW193" s="19">
        <v>104.598511065521</v>
      </c>
      <c r="AX193" s="18">
        <v>1.47075956109981E-2</v>
      </c>
      <c r="AY193" s="19">
        <v>104.04633739985999</v>
      </c>
      <c r="AZ193" s="18">
        <v>-1.6016685793612501E-2</v>
      </c>
      <c r="BA193" s="19">
        <v>109.756237084128</v>
      </c>
      <c r="BB193" s="18">
        <v>1.93601428167651E-2</v>
      </c>
      <c r="BC193" s="19">
        <v>106.72530076646299</v>
      </c>
      <c r="BD193" s="18">
        <v>1.10274245290063E-2</v>
      </c>
      <c r="BE193" s="19">
        <v>103.350370697298</v>
      </c>
      <c r="BF193" s="18">
        <v>1.55170213474243E-3</v>
      </c>
      <c r="BG193" s="19"/>
      <c r="BH193" s="18"/>
    </row>
    <row r="194" spans="1:60" x14ac:dyDescent="0.2">
      <c r="A194" s="16"/>
      <c r="B194" s="16"/>
      <c r="C194" s="19"/>
      <c r="D194" s="18"/>
      <c r="E194" s="19"/>
      <c r="F194" s="18"/>
      <c r="G194" s="19"/>
      <c r="H194" s="18"/>
      <c r="I194" s="19"/>
      <c r="J194" s="18"/>
      <c r="K194" s="19"/>
      <c r="L194" s="18"/>
      <c r="M194" s="19"/>
      <c r="N194" s="18"/>
      <c r="O194" s="19"/>
      <c r="P194" s="18"/>
      <c r="Q194" s="19"/>
      <c r="R194" s="18"/>
      <c r="S194" s="19"/>
      <c r="T194" s="18"/>
      <c r="U194" s="19"/>
      <c r="V194" s="18"/>
      <c r="W194" s="19"/>
      <c r="X194" s="18"/>
      <c r="Y194" s="19"/>
      <c r="Z194" s="18"/>
      <c r="AA194" s="19"/>
      <c r="AB194" s="18"/>
      <c r="AC194" s="19"/>
      <c r="AD194" s="18"/>
      <c r="AE194" s="19"/>
      <c r="AF194" s="18"/>
      <c r="AG194" s="19"/>
      <c r="AH194" s="18"/>
      <c r="AI194" s="19"/>
      <c r="AJ194" s="18"/>
      <c r="AK194" s="19"/>
      <c r="AL194" s="18"/>
      <c r="AM194" s="19"/>
      <c r="AN194" s="18"/>
      <c r="AO194" s="19"/>
      <c r="AP194" s="18"/>
      <c r="AQ194" s="19"/>
      <c r="AR194" s="18"/>
      <c r="AS194" s="19"/>
      <c r="AT194" s="18"/>
      <c r="AU194" s="19"/>
      <c r="AV194" s="18"/>
      <c r="AW194" s="19"/>
      <c r="AX194" s="18"/>
      <c r="AY194" s="19"/>
      <c r="AZ194" s="18"/>
      <c r="BA194" s="19"/>
      <c r="BB194" s="18"/>
      <c r="BC194" s="19"/>
      <c r="BD194" s="18"/>
      <c r="BE194" s="19"/>
      <c r="BF194" s="18"/>
      <c r="BG194" s="19"/>
      <c r="BH194"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K6:AL6"/>
    <mergeCell ref="AK7:AL7"/>
    <mergeCell ref="AK8:AL10"/>
    <mergeCell ref="AI6:AJ6"/>
    <mergeCell ref="AI7:AJ7"/>
    <mergeCell ref="AI8:AJ10"/>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le06"/>
  <dimension ref="A1:BH194"/>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12"/>
      <c r="E1" s="12"/>
      <c r="G1" s="12"/>
      <c r="I1" s="12"/>
      <c r="K1" s="12"/>
      <c r="M1" s="12"/>
      <c r="Q1" s="12"/>
      <c r="S1" s="12"/>
      <c r="U1" s="12"/>
      <c r="W1" s="12"/>
      <c r="Y1" s="12"/>
      <c r="AA1" s="12"/>
      <c r="AG1" s="12"/>
      <c r="AI1" s="12"/>
      <c r="AM1" s="12"/>
      <c r="AO1" s="12"/>
      <c r="AQ1" s="12"/>
      <c r="AS1" s="12"/>
      <c r="AU1" s="12"/>
      <c r="AW1" s="12"/>
    </row>
    <row r="2" spans="1:60" ht="11.25" customHeight="1" x14ac:dyDescent="0.2">
      <c r="A2" s="4" t="str">
        <f ca="1">INDIRECT("beschriftung!"&amp;ADDRESS(beschriftung!$C$1*12+ROW(beschriftung!$A5)-1,COLUMN(beschriftung!A$1)))</f>
        <v>Contributions to real GDP-growth</v>
      </c>
      <c r="C2" s="12"/>
      <c r="E2" s="12"/>
      <c r="G2" s="12"/>
      <c r="I2" s="12"/>
      <c r="K2" s="12"/>
      <c r="M2" s="12"/>
      <c r="Q2" s="12"/>
      <c r="S2" s="12"/>
      <c r="U2" s="12"/>
      <c r="W2" s="12"/>
      <c r="Y2" s="12"/>
      <c r="AA2" s="12"/>
      <c r="AG2" s="12"/>
      <c r="AI2" s="12"/>
      <c r="AM2" s="12"/>
      <c r="AO2" s="12"/>
      <c r="AQ2" s="12"/>
      <c r="AS2" s="12"/>
      <c r="AU2" s="12"/>
      <c r="AW2" s="12"/>
    </row>
    <row r="3" spans="1:60" ht="11.25" customHeight="1" x14ac:dyDescent="0.2">
      <c r="C3" s="12"/>
      <c r="E3" s="12"/>
      <c r="G3" s="12"/>
      <c r="I3" s="12"/>
      <c r="K3" s="12"/>
      <c r="M3" s="12"/>
      <c r="Q3" s="12"/>
      <c r="S3" s="12"/>
      <c r="U3" s="12"/>
      <c r="W3" s="12"/>
      <c r="Y3" s="12"/>
      <c r="AA3" s="12"/>
      <c r="AG3" s="12"/>
      <c r="AI3" s="12"/>
      <c r="AM3" s="12"/>
      <c r="AO3" s="12"/>
      <c r="AQ3" s="12"/>
      <c r="AS3" s="12"/>
      <c r="AU3" s="12"/>
      <c r="AW3" s="12"/>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v>1</v>
      </c>
      <c r="C12" s="20"/>
      <c r="D12" s="18"/>
      <c r="E12" s="20"/>
      <c r="F12" s="18"/>
      <c r="G12" s="20"/>
      <c r="H12" s="18"/>
      <c r="I12" s="20"/>
      <c r="J12" s="18"/>
      <c r="K12" s="20"/>
      <c r="L12" s="18"/>
      <c r="M12" s="20"/>
      <c r="N12" s="18"/>
      <c r="O12" s="20"/>
      <c r="P12" s="18"/>
      <c r="Q12" s="20"/>
      <c r="R12" s="18"/>
      <c r="S12" s="20"/>
      <c r="T12" s="18"/>
      <c r="U12" s="20"/>
      <c r="V12" s="18"/>
      <c r="W12" s="20"/>
      <c r="X12" s="18"/>
      <c r="Y12" s="20"/>
      <c r="Z12" s="18"/>
      <c r="AA12" s="20"/>
      <c r="AB12" s="18"/>
      <c r="AC12" s="20"/>
      <c r="AD12" s="18"/>
      <c r="AE12" s="20"/>
      <c r="AF12" s="18"/>
      <c r="AG12" s="20"/>
      <c r="AH12" s="18"/>
      <c r="AI12" s="20"/>
      <c r="AJ12" s="18"/>
      <c r="AK12" s="20"/>
      <c r="AL12" s="18"/>
      <c r="AM12" s="20"/>
      <c r="AN12" s="18"/>
      <c r="AO12" s="20"/>
      <c r="AP12" s="18"/>
      <c r="AQ12" s="20"/>
      <c r="AR12" s="18"/>
      <c r="AS12" s="20"/>
      <c r="AT12" s="18"/>
      <c r="AU12" s="20"/>
      <c r="AV12" s="18"/>
      <c r="AW12" s="20"/>
      <c r="AX12" s="18"/>
      <c r="AY12" s="20"/>
      <c r="AZ12" s="18"/>
      <c r="BA12" s="20"/>
      <c r="BB12" s="18"/>
      <c r="BC12" s="20"/>
      <c r="BD12" s="18"/>
      <c r="BE12" s="20"/>
      <c r="BF12" s="18"/>
      <c r="BG12" s="20"/>
      <c r="BH12" s="18"/>
    </row>
    <row r="13" spans="1:60" x14ac:dyDescent="0.2">
      <c r="A13" s="16">
        <v>1980</v>
      </c>
      <c r="B13" s="16">
        <v>2</v>
      </c>
      <c r="C13" s="20"/>
      <c r="D13" s="18"/>
      <c r="E13" s="20"/>
      <c r="F13" s="18"/>
      <c r="G13" s="20"/>
      <c r="H13" s="18"/>
      <c r="I13" s="20"/>
      <c r="J13" s="18"/>
      <c r="K13" s="20"/>
      <c r="L13" s="18"/>
      <c r="M13" s="20"/>
      <c r="N13" s="18"/>
      <c r="O13" s="20"/>
      <c r="P13" s="18"/>
      <c r="Q13" s="20"/>
      <c r="R13" s="18"/>
      <c r="S13" s="20"/>
      <c r="T13" s="18"/>
      <c r="U13" s="20"/>
      <c r="V13" s="18"/>
      <c r="W13" s="20"/>
      <c r="X13" s="18"/>
      <c r="Y13" s="20"/>
      <c r="Z13" s="18"/>
      <c r="AA13" s="20"/>
      <c r="AB13" s="18"/>
      <c r="AC13" s="20"/>
      <c r="AD13" s="18"/>
      <c r="AE13" s="20"/>
      <c r="AF13" s="18"/>
      <c r="AG13" s="20"/>
      <c r="AH13" s="18"/>
      <c r="AI13" s="20"/>
      <c r="AJ13" s="18"/>
      <c r="AK13" s="20"/>
      <c r="AL13" s="18"/>
      <c r="AM13" s="20"/>
      <c r="AN13" s="18"/>
      <c r="AO13" s="20"/>
      <c r="AP13" s="18"/>
      <c r="AQ13" s="20"/>
      <c r="AR13" s="18"/>
      <c r="AS13" s="20"/>
      <c r="AT13" s="18"/>
      <c r="AU13" s="20"/>
      <c r="AV13" s="18"/>
      <c r="AW13" s="20"/>
      <c r="AX13" s="18"/>
      <c r="AY13" s="20"/>
      <c r="AZ13" s="18"/>
      <c r="BA13" s="20"/>
      <c r="BB13" s="18"/>
      <c r="BC13" s="20"/>
      <c r="BD13" s="18"/>
      <c r="BE13" s="20"/>
      <c r="BF13" s="18"/>
      <c r="BG13" s="20"/>
      <c r="BH13" s="18"/>
    </row>
    <row r="14" spans="1:60" x14ac:dyDescent="0.2">
      <c r="A14" s="16">
        <v>1980</v>
      </c>
      <c r="B14" s="16">
        <v>3</v>
      </c>
      <c r="C14" s="20"/>
      <c r="D14" s="18"/>
      <c r="E14" s="20"/>
      <c r="F14" s="18"/>
      <c r="G14" s="20"/>
      <c r="H14" s="18"/>
      <c r="I14" s="20"/>
      <c r="J14" s="18"/>
      <c r="K14" s="20"/>
      <c r="L14" s="18"/>
      <c r="M14" s="20"/>
      <c r="N14" s="18"/>
      <c r="O14" s="20"/>
      <c r="P14" s="18"/>
      <c r="Q14" s="20"/>
      <c r="R14" s="18"/>
      <c r="S14" s="20"/>
      <c r="T14" s="18"/>
      <c r="U14" s="20"/>
      <c r="V14" s="18"/>
      <c r="W14" s="20"/>
      <c r="X14" s="18"/>
      <c r="Y14" s="20"/>
      <c r="Z14" s="18"/>
      <c r="AA14" s="20"/>
      <c r="AB14" s="18"/>
      <c r="AC14" s="20"/>
      <c r="AD14" s="18"/>
      <c r="AE14" s="20"/>
      <c r="AF14" s="18"/>
      <c r="AG14" s="20"/>
      <c r="AH14" s="18"/>
      <c r="AI14" s="20"/>
      <c r="AJ14" s="18"/>
      <c r="AK14" s="20"/>
      <c r="AL14" s="18"/>
      <c r="AM14" s="20"/>
      <c r="AN14" s="18"/>
      <c r="AO14" s="20"/>
      <c r="AP14" s="18"/>
      <c r="AQ14" s="20"/>
      <c r="AR14" s="18"/>
      <c r="AS14" s="20"/>
      <c r="AT14" s="18"/>
      <c r="AU14" s="20"/>
      <c r="AV14" s="18"/>
      <c r="AW14" s="20"/>
      <c r="AX14" s="18"/>
      <c r="AY14" s="20"/>
      <c r="AZ14" s="18"/>
      <c r="BA14" s="20"/>
      <c r="BB14" s="18"/>
      <c r="BC14" s="20"/>
      <c r="BD14" s="18"/>
      <c r="BE14" s="20"/>
      <c r="BF14" s="18"/>
      <c r="BG14" s="20"/>
      <c r="BH14" s="18"/>
    </row>
    <row r="15" spans="1:60" x14ac:dyDescent="0.2">
      <c r="A15" s="16">
        <v>1980</v>
      </c>
      <c r="B15" s="16">
        <v>4</v>
      </c>
      <c r="C15" s="20"/>
      <c r="D15" s="18"/>
      <c r="E15" s="20"/>
      <c r="F15" s="18"/>
      <c r="G15" s="20"/>
      <c r="H15" s="18"/>
      <c r="I15" s="20"/>
      <c r="J15" s="18"/>
      <c r="K15" s="20"/>
      <c r="L15" s="18"/>
      <c r="M15" s="20"/>
      <c r="N15" s="18"/>
      <c r="O15" s="20"/>
      <c r="P15" s="18"/>
      <c r="Q15" s="20"/>
      <c r="R15" s="18"/>
      <c r="S15" s="20"/>
      <c r="T15" s="18"/>
      <c r="U15" s="20"/>
      <c r="V15" s="18"/>
      <c r="W15" s="20"/>
      <c r="X15" s="18"/>
      <c r="Y15" s="20"/>
      <c r="Z15" s="18"/>
      <c r="AA15" s="20"/>
      <c r="AB15" s="18"/>
      <c r="AC15" s="20"/>
      <c r="AD15" s="18"/>
      <c r="AE15" s="20"/>
      <c r="AF15" s="18"/>
      <c r="AG15" s="20"/>
      <c r="AH15" s="18"/>
      <c r="AI15" s="20"/>
      <c r="AJ15" s="18"/>
      <c r="AK15" s="20"/>
      <c r="AL15" s="18"/>
      <c r="AM15" s="20"/>
      <c r="AN15" s="18"/>
      <c r="AO15" s="20"/>
      <c r="AP15" s="18"/>
      <c r="AQ15" s="20"/>
      <c r="AR15" s="18"/>
      <c r="AS15" s="20"/>
      <c r="AT15" s="18"/>
      <c r="AU15" s="20"/>
      <c r="AV15" s="18"/>
      <c r="AW15" s="20"/>
      <c r="AX15" s="18"/>
      <c r="AY15" s="20"/>
      <c r="AZ15" s="18"/>
      <c r="BA15" s="20"/>
      <c r="BB15" s="18"/>
      <c r="BC15" s="20"/>
      <c r="BD15" s="18"/>
      <c r="BE15" s="20"/>
      <c r="BF15" s="18"/>
      <c r="BG15" s="20"/>
      <c r="BH15" s="18"/>
    </row>
    <row r="16" spans="1:60" x14ac:dyDescent="0.2">
      <c r="A16" s="16">
        <v>1981</v>
      </c>
      <c r="B16" s="16">
        <v>1</v>
      </c>
      <c r="C16" s="20"/>
      <c r="D16" s="18"/>
      <c r="E16" s="20"/>
      <c r="F16" s="18"/>
      <c r="G16" s="20"/>
      <c r="H16" s="18"/>
      <c r="I16" s="20"/>
      <c r="J16" s="18"/>
      <c r="K16" s="20"/>
      <c r="L16" s="18"/>
      <c r="M16" s="20"/>
      <c r="N16" s="18"/>
      <c r="O16" s="20"/>
      <c r="P16" s="18"/>
      <c r="Q16" s="20"/>
      <c r="R16" s="18"/>
      <c r="S16" s="20"/>
      <c r="T16" s="18"/>
      <c r="U16" s="20"/>
      <c r="V16" s="18"/>
      <c r="W16" s="20"/>
      <c r="X16" s="18"/>
      <c r="Y16" s="20"/>
      <c r="Z16" s="18"/>
      <c r="AA16" s="20"/>
      <c r="AB16" s="18"/>
      <c r="AC16" s="20"/>
      <c r="AD16" s="18"/>
      <c r="AE16" s="20"/>
      <c r="AF16" s="18"/>
      <c r="AG16" s="20"/>
      <c r="AH16" s="18"/>
      <c r="AI16" s="20"/>
      <c r="AJ16" s="18"/>
      <c r="AK16" s="20"/>
      <c r="AL16" s="18"/>
      <c r="AM16" s="20"/>
      <c r="AN16" s="18"/>
      <c r="AO16" s="20"/>
      <c r="AP16" s="18"/>
      <c r="AQ16" s="20"/>
      <c r="AR16" s="18"/>
      <c r="AS16" s="20"/>
      <c r="AT16" s="18"/>
      <c r="AU16" s="20"/>
      <c r="AV16" s="18"/>
      <c r="AW16" s="20"/>
      <c r="AX16" s="18"/>
      <c r="AY16" s="20"/>
      <c r="AZ16" s="18"/>
      <c r="BA16" s="20"/>
      <c r="BB16" s="18"/>
      <c r="BC16" s="20"/>
      <c r="BD16" s="18"/>
      <c r="BE16" s="20"/>
      <c r="BF16" s="18"/>
      <c r="BG16" s="20"/>
      <c r="BH16" s="18"/>
    </row>
    <row r="17" spans="1:60" x14ac:dyDescent="0.2">
      <c r="A17" s="16">
        <v>1981</v>
      </c>
      <c r="B17" s="16">
        <v>2</v>
      </c>
      <c r="C17" s="20"/>
      <c r="D17" s="18"/>
      <c r="E17" s="20"/>
      <c r="F17" s="18"/>
      <c r="G17" s="20"/>
      <c r="H17" s="18"/>
      <c r="I17" s="20"/>
      <c r="J17" s="18"/>
      <c r="K17" s="20"/>
      <c r="L17" s="18"/>
      <c r="M17" s="20"/>
      <c r="N17" s="18"/>
      <c r="O17" s="20"/>
      <c r="P17" s="18"/>
      <c r="Q17" s="20"/>
      <c r="R17" s="18"/>
      <c r="S17" s="20"/>
      <c r="T17" s="18"/>
      <c r="U17" s="20"/>
      <c r="V17" s="18"/>
      <c r="W17" s="20"/>
      <c r="X17" s="18"/>
      <c r="Y17" s="20"/>
      <c r="Z17" s="18"/>
      <c r="AA17" s="20"/>
      <c r="AB17" s="18"/>
      <c r="AC17" s="20"/>
      <c r="AD17" s="18"/>
      <c r="AE17" s="20"/>
      <c r="AF17" s="18"/>
      <c r="AG17" s="20"/>
      <c r="AH17" s="18"/>
      <c r="AI17" s="20"/>
      <c r="AJ17" s="18"/>
      <c r="AK17" s="20"/>
      <c r="AL17" s="18"/>
      <c r="AM17" s="20"/>
      <c r="AN17" s="18"/>
      <c r="AO17" s="20"/>
      <c r="AP17" s="18"/>
      <c r="AQ17" s="20"/>
      <c r="AR17" s="18"/>
      <c r="AS17" s="20"/>
      <c r="AT17" s="18"/>
      <c r="AU17" s="20"/>
      <c r="AV17" s="18"/>
      <c r="AW17" s="20"/>
      <c r="AX17" s="18"/>
      <c r="AY17" s="20"/>
      <c r="AZ17" s="18"/>
      <c r="BA17" s="20"/>
      <c r="BB17" s="18"/>
      <c r="BC17" s="20"/>
      <c r="BD17" s="18"/>
      <c r="BE17" s="20"/>
      <c r="BF17" s="18"/>
      <c r="BG17" s="20"/>
      <c r="BH17" s="18"/>
    </row>
    <row r="18" spans="1:60" x14ac:dyDescent="0.2">
      <c r="A18" s="16">
        <v>1981</v>
      </c>
      <c r="B18" s="16">
        <v>3</v>
      </c>
      <c r="C18" s="20"/>
      <c r="D18" s="18"/>
      <c r="E18" s="20"/>
      <c r="F18" s="18"/>
      <c r="G18" s="20"/>
      <c r="H18" s="18"/>
      <c r="I18" s="20"/>
      <c r="J18" s="18"/>
      <c r="K18" s="20"/>
      <c r="L18" s="18"/>
      <c r="M18" s="20"/>
      <c r="N18" s="18"/>
      <c r="O18" s="20"/>
      <c r="P18" s="18"/>
      <c r="Q18" s="20"/>
      <c r="R18" s="18"/>
      <c r="S18" s="20"/>
      <c r="T18" s="18"/>
      <c r="U18" s="20"/>
      <c r="V18" s="18"/>
      <c r="W18" s="20"/>
      <c r="X18" s="18"/>
      <c r="Y18" s="20"/>
      <c r="Z18" s="18"/>
      <c r="AA18" s="20"/>
      <c r="AB18" s="18"/>
      <c r="AC18" s="20"/>
      <c r="AD18" s="18"/>
      <c r="AE18" s="20"/>
      <c r="AF18" s="18"/>
      <c r="AG18" s="20"/>
      <c r="AH18" s="18"/>
      <c r="AI18" s="20"/>
      <c r="AJ18" s="18"/>
      <c r="AK18" s="20"/>
      <c r="AL18" s="18"/>
      <c r="AM18" s="20"/>
      <c r="AN18" s="18"/>
      <c r="AO18" s="20"/>
      <c r="AP18" s="18"/>
      <c r="AQ18" s="20"/>
      <c r="AR18" s="18"/>
      <c r="AS18" s="20"/>
      <c r="AT18" s="18"/>
      <c r="AU18" s="20"/>
      <c r="AV18" s="18"/>
      <c r="AW18" s="20"/>
      <c r="AX18" s="18"/>
      <c r="AY18" s="20"/>
      <c r="AZ18" s="18"/>
      <c r="BA18" s="20"/>
      <c r="BB18" s="18"/>
      <c r="BC18" s="20"/>
      <c r="BD18" s="18"/>
      <c r="BE18" s="20"/>
      <c r="BF18" s="18"/>
      <c r="BG18" s="20"/>
      <c r="BH18" s="18"/>
    </row>
    <row r="19" spans="1:60" x14ac:dyDescent="0.2">
      <c r="A19" s="16">
        <v>1981</v>
      </c>
      <c r="B19" s="16">
        <v>4</v>
      </c>
      <c r="C19" s="20"/>
      <c r="D19" s="18"/>
      <c r="E19" s="20"/>
      <c r="F19" s="18"/>
      <c r="G19" s="20"/>
      <c r="H19" s="18"/>
      <c r="I19" s="20"/>
      <c r="J19" s="18"/>
      <c r="K19" s="20"/>
      <c r="L19" s="18"/>
      <c r="M19" s="20"/>
      <c r="N19" s="18"/>
      <c r="O19" s="20"/>
      <c r="P19" s="18"/>
      <c r="Q19" s="20"/>
      <c r="R19" s="18"/>
      <c r="S19" s="20"/>
      <c r="T19" s="18"/>
      <c r="U19" s="20"/>
      <c r="V19" s="18"/>
      <c r="W19" s="20"/>
      <c r="X19" s="18"/>
      <c r="Y19" s="20"/>
      <c r="Z19" s="18"/>
      <c r="AA19" s="20"/>
      <c r="AB19" s="18"/>
      <c r="AC19" s="20"/>
      <c r="AD19" s="18"/>
      <c r="AE19" s="20"/>
      <c r="AF19" s="18"/>
      <c r="AG19" s="20"/>
      <c r="AH19" s="18"/>
      <c r="AI19" s="20"/>
      <c r="AJ19" s="18"/>
      <c r="AK19" s="20"/>
      <c r="AL19" s="18"/>
      <c r="AM19" s="20"/>
      <c r="AN19" s="18"/>
      <c r="AO19" s="20"/>
      <c r="AP19" s="18"/>
      <c r="AQ19" s="20"/>
      <c r="AR19" s="18"/>
      <c r="AS19" s="20"/>
      <c r="AT19" s="18"/>
      <c r="AU19" s="20"/>
      <c r="AV19" s="18"/>
      <c r="AW19" s="20"/>
      <c r="AX19" s="18"/>
      <c r="AY19" s="20"/>
      <c r="AZ19" s="18"/>
      <c r="BA19" s="20"/>
      <c r="BB19" s="18"/>
      <c r="BC19" s="20"/>
      <c r="BD19" s="18"/>
      <c r="BE19" s="20"/>
      <c r="BF19" s="18"/>
      <c r="BG19" s="20"/>
      <c r="BH19" s="18"/>
    </row>
    <row r="20" spans="1:60" x14ac:dyDescent="0.2">
      <c r="A20" s="16">
        <v>1982</v>
      </c>
      <c r="B20" s="16">
        <v>1</v>
      </c>
      <c r="C20" s="20"/>
      <c r="D20" s="18"/>
      <c r="E20" s="20"/>
      <c r="F20" s="18"/>
      <c r="G20" s="20"/>
      <c r="H20" s="18"/>
      <c r="I20" s="20"/>
      <c r="J20" s="18"/>
      <c r="K20" s="20"/>
      <c r="L20" s="18"/>
      <c r="M20" s="20"/>
      <c r="N20" s="18"/>
      <c r="O20" s="20"/>
      <c r="P20" s="18"/>
      <c r="Q20" s="20"/>
      <c r="R20" s="18"/>
      <c r="S20" s="20"/>
      <c r="T20" s="18"/>
      <c r="U20" s="20"/>
      <c r="V20" s="18"/>
      <c r="W20" s="20"/>
      <c r="X20" s="18"/>
      <c r="Y20" s="20"/>
      <c r="Z20" s="18"/>
      <c r="AA20" s="20"/>
      <c r="AB20" s="18"/>
      <c r="AC20" s="20"/>
      <c r="AD20" s="18"/>
      <c r="AE20" s="20"/>
      <c r="AF20" s="18"/>
      <c r="AG20" s="20"/>
      <c r="AH20" s="18"/>
      <c r="AI20" s="20"/>
      <c r="AJ20" s="18"/>
      <c r="AK20" s="20"/>
      <c r="AL20" s="18"/>
      <c r="AM20" s="20"/>
      <c r="AN20" s="18"/>
      <c r="AO20" s="20"/>
      <c r="AP20" s="18"/>
      <c r="AQ20" s="20"/>
      <c r="AR20" s="18"/>
      <c r="AS20" s="20"/>
      <c r="AT20" s="18"/>
      <c r="AU20" s="20"/>
      <c r="AV20" s="18"/>
      <c r="AW20" s="20"/>
      <c r="AX20" s="18"/>
      <c r="AY20" s="20"/>
      <c r="AZ20" s="18"/>
      <c r="BA20" s="20"/>
      <c r="BB20" s="18"/>
      <c r="BC20" s="20"/>
      <c r="BD20" s="18"/>
      <c r="BE20" s="20"/>
      <c r="BF20" s="18"/>
      <c r="BG20" s="20"/>
      <c r="BH20" s="18"/>
    </row>
    <row r="21" spans="1:60" x14ac:dyDescent="0.2">
      <c r="A21" s="16">
        <v>1982</v>
      </c>
      <c r="B21" s="16">
        <v>2</v>
      </c>
      <c r="C21" s="20"/>
      <c r="D21" s="18"/>
      <c r="E21" s="20"/>
      <c r="F21" s="18"/>
      <c r="G21" s="20"/>
      <c r="H21" s="18"/>
      <c r="I21" s="20"/>
      <c r="J21" s="18"/>
      <c r="K21" s="20"/>
      <c r="L21" s="18"/>
      <c r="M21" s="20"/>
      <c r="N21" s="18"/>
      <c r="O21" s="20"/>
      <c r="P21" s="18"/>
      <c r="Q21" s="20"/>
      <c r="R21" s="18"/>
      <c r="S21" s="20"/>
      <c r="T21" s="18"/>
      <c r="U21" s="20"/>
      <c r="V21" s="18"/>
      <c r="W21" s="20"/>
      <c r="X21" s="18"/>
      <c r="Y21" s="20"/>
      <c r="Z21" s="18"/>
      <c r="AA21" s="20"/>
      <c r="AB21" s="18"/>
      <c r="AC21" s="20"/>
      <c r="AD21" s="18"/>
      <c r="AE21" s="20"/>
      <c r="AF21" s="18"/>
      <c r="AG21" s="20"/>
      <c r="AH21" s="18"/>
      <c r="AI21" s="20"/>
      <c r="AJ21" s="18"/>
      <c r="AK21" s="20"/>
      <c r="AL21" s="18"/>
      <c r="AM21" s="20"/>
      <c r="AN21" s="18"/>
      <c r="AO21" s="20"/>
      <c r="AP21" s="18"/>
      <c r="AQ21" s="20"/>
      <c r="AR21" s="18"/>
      <c r="AS21" s="20"/>
      <c r="AT21" s="18"/>
      <c r="AU21" s="20"/>
      <c r="AV21" s="18"/>
      <c r="AW21" s="20"/>
      <c r="AX21" s="18"/>
      <c r="AY21" s="20"/>
      <c r="AZ21" s="18"/>
      <c r="BA21" s="20"/>
      <c r="BB21" s="18"/>
      <c r="BC21" s="20"/>
      <c r="BD21" s="18"/>
      <c r="BE21" s="20"/>
      <c r="BF21" s="18"/>
      <c r="BG21" s="20"/>
      <c r="BH21" s="18"/>
    </row>
    <row r="22" spans="1:60" x14ac:dyDescent="0.2">
      <c r="A22" s="16">
        <v>1982</v>
      </c>
      <c r="B22" s="16">
        <v>3</v>
      </c>
      <c r="C22" s="20"/>
      <c r="D22" s="18"/>
      <c r="E22" s="20"/>
      <c r="F22" s="18"/>
      <c r="G22" s="20"/>
      <c r="H22" s="18"/>
      <c r="I22" s="20"/>
      <c r="J22" s="18"/>
      <c r="K22" s="20"/>
      <c r="L22" s="18"/>
      <c r="M22" s="20"/>
      <c r="N22" s="18"/>
      <c r="O22" s="20"/>
      <c r="P22" s="18"/>
      <c r="Q22" s="20"/>
      <c r="R22" s="18"/>
      <c r="S22" s="20"/>
      <c r="T22" s="18"/>
      <c r="U22" s="20"/>
      <c r="V22" s="18"/>
      <c r="W22" s="20"/>
      <c r="X22" s="18"/>
      <c r="Y22" s="20"/>
      <c r="Z22" s="18"/>
      <c r="AA22" s="20"/>
      <c r="AB22" s="18"/>
      <c r="AC22" s="20"/>
      <c r="AD22" s="18"/>
      <c r="AE22" s="20"/>
      <c r="AF22" s="18"/>
      <c r="AG22" s="20"/>
      <c r="AH22" s="18"/>
      <c r="AI22" s="20"/>
      <c r="AJ22" s="18"/>
      <c r="AK22" s="20"/>
      <c r="AL22" s="18"/>
      <c r="AM22" s="20"/>
      <c r="AN22" s="18"/>
      <c r="AO22" s="20"/>
      <c r="AP22" s="18"/>
      <c r="AQ22" s="20"/>
      <c r="AR22" s="18"/>
      <c r="AS22" s="20"/>
      <c r="AT22" s="18"/>
      <c r="AU22" s="20"/>
      <c r="AV22" s="18"/>
      <c r="AW22" s="20"/>
      <c r="AX22" s="18"/>
      <c r="AY22" s="20"/>
      <c r="AZ22" s="18"/>
      <c r="BA22" s="20"/>
      <c r="BB22" s="18"/>
      <c r="BC22" s="20"/>
      <c r="BD22" s="18"/>
      <c r="BE22" s="20"/>
      <c r="BF22" s="18"/>
      <c r="BG22" s="20"/>
      <c r="BH22" s="18"/>
    </row>
    <row r="23" spans="1:60" x14ac:dyDescent="0.2">
      <c r="A23" s="16">
        <v>1982</v>
      </c>
      <c r="B23" s="16">
        <v>4</v>
      </c>
      <c r="C23" s="20"/>
      <c r="D23" s="18"/>
      <c r="E23" s="20"/>
      <c r="F23" s="18"/>
      <c r="G23" s="20"/>
      <c r="H23" s="18"/>
      <c r="I23" s="20"/>
      <c r="J23" s="18"/>
      <c r="K23" s="20"/>
      <c r="L23" s="18"/>
      <c r="M23" s="20"/>
      <c r="N23" s="18"/>
      <c r="O23" s="20"/>
      <c r="P23" s="18"/>
      <c r="Q23" s="20"/>
      <c r="R23" s="18"/>
      <c r="S23" s="20"/>
      <c r="T23" s="18"/>
      <c r="U23" s="20"/>
      <c r="V23" s="18"/>
      <c r="W23" s="20"/>
      <c r="X23" s="18"/>
      <c r="Y23" s="20"/>
      <c r="Z23" s="18"/>
      <c r="AA23" s="20"/>
      <c r="AB23" s="18"/>
      <c r="AC23" s="20"/>
      <c r="AD23" s="18"/>
      <c r="AE23" s="20"/>
      <c r="AF23" s="18"/>
      <c r="AG23" s="20"/>
      <c r="AH23" s="18"/>
      <c r="AI23" s="20"/>
      <c r="AJ23" s="18"/>
      <c r="AK23" s="20"/>
      <c r="AL23" s="18"/>
      <c r="AM23" s="20"/>
      <c r="AN23" s="18"/>
      <c r="AO23" s="20"/>
      <c r="AP23" s="18"/>
      <c r="AQ23" s="20"/>
      <c r="AR23" s="18"/>
      <c r="AS23" s="20"/>
      <c r="AT23" s="18"/>
      <c r="AU23" s="20"/>
      <c r="AV23" s="18"/>
      <c r="AW23" s="20"/>
      <c r="AX23" s="18"/>
      <c r="AY23" s="20"/>
      <c r="AZ23" s="18"/>
      <c r="BA23" s="20"/>
      <c r="BB23" s="18"/>
      <c r="BC23" s="20"/>
      <c r="BD23" s="18"/>
      <c r="BE23" s="20"/>
      <c r="BF23" s="18"/>
      <c r="BG23" s="20"/>
      <c r="BH23" s="18"/>
    </row>
    <row r="24" spans="1:60" x14ac:dyDescent="0.2">
      <c r="A24" s="16">
        <v>1983</v>
      </c>
      <c r="B24" s="16">
        <v>1</v>
      </c>
      <c r="C24" s="20"/>
      <c r="D24" s="18"/>
      <c r="E24" s="20"/>
      <c r="F24" s="18"/>
      <c r="G24" s="20"/>
      <c r="H24" s="18"/>
      <c r="I24" s="20"/>
      <c r="J24" s="18"/>
      <c r="K24" s="20"/>
      <c r="L24" s="18"/>
      <c r="M24" s="20"/>
      <c r="N24" s="18"/>
      <c r="O24" s="20"/>
      <c r="P24" s="18"/>
      <c r="Q24" s="20"/>
      <c r="R24" s="18"/>
      <c r="S24" s="20"/>
      <c r="T24" s="18"/>
      <c r="U24" s="20"/>
      <c r="V24" s="18"/>
      <c r="W24" s="20"/>
      <c r="X24" s="18"/>
      <c r="Y24" s="20"/>
      <c r="Z24" s="18"/>
      <c r="AA24" s="20"/>
      <c r="AB24" s="18"/>
      <c r="AC24" s="20"/>
      <c r="AD24" s="18"/>
      <c r="AE24" s="20"/>
      <c r="AF24" s="18"/>
      <c r="AG24" s="20"/>
      <c r="AH24" s="18"/>
      <c r="AI24" s="20"/>
      <c r="AJ24" s="18"/>
      <c r="AK24" s="20"/>
      <c r="AL24" s="18"/>
      <c r="AM24" s="20"/>
      <c r="AN24" s="18"/>
      <c r="AO24" s="20"/>
      <c r="AP24" s="18"/>
      <c r="AQ24" s="20"/>
      <c r="AR24" s="18"/>
      <c r="AS24" s="20"/>
      <c r="AT24" s="18"/>
      <c r="AU24" s="20"/>
      <c r="AV24" s="18"/>
      <c r="AW24" s="20"/>
      <c r="AX24" s="18"/>
      <c r="AY24" s="20"/>
      <c r="AZ24" s="18"/>
      <c r="BA24" s="20"/>
      <c r="BB24" s="18"/>
      <c r="BC24" s="20"/>
      <c r="BD24" s="18"/>
      <c r="BE24" s="20"/>
      <c r="BF24" s="18"/>
      <c r="BG24" s="20"/>
      <c r="BH24" s="18"/>
    </row>
    <row r="25" spans="1:60" x14ac:dyDescent="0.2">
      <c r="A25" s="16">
        <v>1983</v>
      </c>
      <c r="B25" s="16">
        <v>2</v>
      </c>
      <c r="C25" s="20"/>
      <c r="D25" s="18"/>
      <c r="E25" s="20"/>
      <c r="F25" s="18"/>
      <c r="G25" s="20"/>
      <c r="H25" s="18"/>
      <c r="I25" s="20"/>
      <c r="J25" s="18"/>
      <c r="K25" s="20"/>
      <c r="L25" s="18"/>
      <c r="M25" s="20"/>
      <c r="N25" s="18"/>
      <c r="O25" s="20"/>
      <c r="P25" s="18"/>
      <c r="Q25" s="20"/>
      <c r="R25" s="18"/>
      <c r="S25" s="20"/>
      <c r="T25" s="18"/>
      <c r="U25" s="20"/>
      <c r="V25" s="18"/>
      <c r="W25" s="20"/>
      <c r="X25" s="18"/>
      <c r="Y25" s="20"/>
      <c r="Z25" s="18"/>
      <c r="AA25" s="20"/>
      <c r="AB25" s="18"/>
      <c r="AC25" s="20"/>
      <c r="AD25" s="18"/>
      <c r="AE25" s="20"/>
      <c r="AF25" s="18"/>
      <c r="AG25" s="20"/>
      <c r="AH25" s="18"/>
      <c r="AI25" s="20"/>
      <c r="AJ25" s="18"/>
      <c r="AK25" s="20"/>
      <c r="AL25" s="18"/>
      <c r="AM25" s="20"/>
      <c r="AN25" s="18"/>
      <c r="AO25" s="20"/>
      <c r="AP25" s="18"/>
      <c r="AQ25" s="20"/>
      <c r="AR25" s="18"/>
      <c r="AS25" s="20"/>
      <c r="AT25" s="18"/>
      <c r="AU25" s="20"/>
      <c r="AV25" s="18"/>
      <c r="AW25" s="20"/>
      <c r="AX25" s="18"/>
      <c r="AY25" s="20"/>
      <c r="AZ25" s="18"/>
      <c r="BA25" s="20"/>
      <c r="BB25" s="18"/>
      <c r="BC25" s="20"/>
      <c r="BD25" s="18"/>
      <c r="BE25" s="20"/>
      <c r="BF25" s="18"/>
      <c r="BG25" s="20"/>
      <c r="BH25" s="18"/>
    </row>
    <row r="26" spans="1:60" x14ac:dyDescent="0.2">
      <c r="A26" s="16">
        <v>1983</v>
      </c>
      <c r="B26" s="16">
        <v>3</v>
      </c>
      <c r="C26" s="20"/>
      <c r="D26" s="18"/>
      <c r="E26" s="20"/>
      <c r="F26" s="18"/>
      <c r="G26" s="20"/>
      <c r="H26" s="18"/>
      <c r="I26" s="20"/>
      <c r="J26" s="18"/>
      <c r="K26" s="20"/>
      <c r="L26" s="18"/>
      <c r="M26" s="20"/>
      <c r="N26" s="18"/>
      <c r="O26" s="20"/>
      <c r="P26" s="18"/>
      <c r="Q26" s="20"/>
      <c r="R26" s="18"/>
      <c r="S26" s="20"/>
      <c r="T26" s="18"/>
      <c r="U26" s="20"/>
      <c r="V26" s="18"/>
      <c r="W26" s="20"/>
      <c r="X26" s="18"/>
      <c r="Y26" s="20"/>
      <c r="Z26" s="18"/>
      <c r="AA26" s="20"/>
      <c r="AB26" s="18"/>
      <c r="AC26" s="20"/>
      <c r="AD26" s="18"/>
      <c r="AE26" s="20"/>
      <c r="AF26" s="18"/>
      <c r="AG26" s="20"/>
      <c r="AH26" s="18"/>
      <c r="AI26" s="20"/>
      <c r="AJ26" s="18"/>
      <c r="AK26" s="20"/>
      <c r="AL26" s="18"/>
      <c r="AM26" s="20"/>
      <c r="AN26" s="18"/>
      <c r="AO26" s="20"/>
      <c r="AP26" s="18"/>
      <c r="AQ26" s="20"/>
      <c r="AR26" s="18"/>
      <c r="AS26" s="20"/>
      <c r="AT26" s="18"/>
      <c r="AU26" s="20"/>
      <c r="AV26" s="18"/>
      <c r="AW26" s="20"/>
      <c r="AX26" s="18"/>
      <c r="AY26" s="20"/>
      <c r="AZ26" s="18"/>
      <c r="BA26" s="20"/>
      <c r="BB26" s="18"/>
      <c r="BC26" s="20"/>
      <c r="BD26" s="18"/>
      <c r="BE26" s="20"/>
      <c r="BF26" s="18"/>
      <c r="BG26" s="20"/>
      <c r="BH26" s="18"/>
    </row>
    <row r="27" spans="1:60" x14ac:dyDescent="0.2">
      <c r="A27" s="16">
        <v>1983</v>
      </c>
      <c r="B27" s="16">
        <v>4</v>
      </c>
      <c r="C27" s="20"/>
      <c r="D27" s="18"/>
      <c r="E27" s="20"/>
      <c r="F27" s="18"/>
      <c r="G27" s="20"/>
      <c r="H27" s="18"/>
      <c r="I27" s="20"/>
      <c r="J27" s="18"/>
      <c r="K27" s="20"/>
      <c r="L27" s="18"/>
      <c r="M27" s="20"/>
      <c r="N27" s="18"/>
      <c r="O27" s="20"/>
      <c r="P27" s="18"/>
      <c r="Q27" s="20"/>
      <c r="R27" s="18"/>
      <c r="S27" s="20"/>
      <c r="T27" s="18"/>
      <c r="U27" s="20"/>
      <c r="V27" s="18"/>
      <c r="W27" s="20"/>
      <c r="X27" s="18"/>
      <c r="Y27" s="20"/>
      <c r="Z27" s="18"/>
      <c r="AA27" s="20"/>
      <c r="AB27" s="18"/>
      <c r="AC27" s="20"/>
      <c r="AD27" s="18"/>
      <c r="AE27" s="20"/>
      <c r="AF27" s="18"/>
      <c r="AG27" s="20"/>
      <c r="AH27" s="18"/>
      <c r="AI27" s="20"/>
      <c r="AJ27" s="18"/>
      <c r="AK27" s="20"/>
      <c r="AL27" s="18"/>
      <c r="AM27" s="20"/>
      <c r="AN27" s="18"/>
      <c r="AO27" s="20"/>
      <c r="AP27" s="18"/>
      <c r="AQ27" s="20"/>
      <c r="AR27" s="18"/>
      <c r="AS27" s="20"/>
      <c r="AT27" s="18"/>
      <c r="AU27" s="20"/>
      <c r="AV27" s="18"/>
      <c r="AW27" s="20"/>
      <c r="AX27" s="18"/>
      <c r="AY27" s="20"/>
      <c r="AZ27" s="18"/>
      <c r="BA27" s="20"/>
      <c r="BB27" s="18"/>
      <c r="BC27" s="20"/>
      <c r="BD27" s="18"/>
      <c r="BE27" s="20"/>
      <c r="BF27" s="18"/>
      <c r="BG27" s="20"/>
      <c r="BH27" s="18"/>
    </row>
    <row r="28" spans="1:60" x14ac:dyDescent="0.2">
      <c r="A28" s="16">
        <v>1984</v>
      </c>
      <c r="B28" s="16">
        <v>1</v>
      </c>
      <c r="C28" s="20"/>
      <c r="D28" s="18"/>
      <c r="E28" s="20"/>
      <c r="F28" s="18"/>
      <c r="G28" s="20"/>
      <c r="H28" s="18"/>
      <c r="I28" s="20"/>
      <c r="J28" s="18"/>
      <c r="K28" s="20"/>
      <c r="L28" s="18"/>
      <c r="M28" s="20"/>
      <c r="N28" s="18"/>
      <c r="O28" s="20"/>
      <c r="P28" s="18"/>
      <c r="Q28" s="20"/>
      <c r="R28" s="18"/>
      <c r="S28" s="20"/>
      <c r="T28" s="18"/>
      <c r="U28" s="20"/>
      <c r="V28" s="18"/>
      <c r="W28" s="20"/>
      <c r="X28" s="18"/>
      <c r="Y28" s="20"/>
      <c r="Z28" s="18"/>
      <c r="AA28" s="20"/>
      <c r="AB28" s="18"/>
      <c r="AC28" s="20"/>
      <c r="AD28" s="18"/>
      <c r="AE28" s="20"/>
      <c r="AF28" s="18"/>
      <c r="AG28" s="20"/>
      <c r="AH28" s="18"/>
      <c r="AI28" s="20"/>
      <c r="AJ28" s="18"/>
      <c r="AK28" s="20"/>
      <c r="AL28" s="18"/>
      <c r="AM28" s="20"/>
      <c r="AN28" s="18"/>
      <c r="AO28" s="20"/>
      <c r="AP28" s="18"/>
      <c r="AQ28" s="20"/>
      <c r="AR28" s="18"/>
      <c r="AS28" s="20"/>
      <c r="AT28" s="18"/>
      <c r="AU28" s="20"/>
      <c r="AV28" s="18"/>
      <c r="AW28" s="20"/>
      <c r="AX28" s="18"/>
      <c r="AY28" s="20"/>
      <c r="AZ28" s="18"/>
      <c r="BA28" s="20"/>
      <c r="BB28" s="18"/>
      <c r="BC28" s="20"/>
      <c r="BD28" s="18"/>
      <c r="BE28" s="20"/>
      <c r="BF28" s="18"/>
      <c r="BG28" s="20"/>
      <c r="BH28" s="18"/>
    </row>
    <row r="29" spans="1:60" x14ac:dyDescent="0.2">
      <c r="A29" s="16">
        <v>1984</v>
      </c>
      <c r="B29" s="16">
        <v>2</v>
      </c>
      <c r="C29" s="20"/>
      <c r="D29" s="18"/>
      <c r="E29" s="20"/>
      <c r="F29" s="18"/>
      <c r="G29" s="20"/>
      <c r="H29" s="18"/>
      <c r="I29" s="20"/>
      <c r="J29" s="18"/>
      <c r="K29" s="20"/>
      <c r="L29" s="18"/>
      <c r="M29" s="20"/>
      <c r="N29" s="18"/>
      <c r="O29" s="20"/>
      <c r="P29" s="18"/>
      <c r="Q29" s="20"/>
      <c r="R29" s="18"/>
      <c r="S29" s="20"/>
      <c r="T29" s="18"/>
      <c r="U29" s="20"/>
      <c r="V29" s="18"/>
      <c r="W29" s="20"/>
      <c r="X29" s="18"/>
      <c r="Y29" s="20"/>
      <c r="Z29" s="18"/>
      <c r="AA29" s="20"/>
      <c r="AB29" s="18"/>
      <c r="AC29" s="20"/>
      <c r="AD29" s="18"/>
      <c r="AE29" s="20"/>
      <c r="AF29" s="18"/>
      <c r="AG29" s="20"/>
      <c r="AH29" s="18"/>
      <c r="AI29" s="20"/>
      <c r="AJ29" s="18"/>
      <c r="AK29" s="20"/>
      <c r="AL29" s="18"/>
      <c r="AM29" s="20"/>
      <c r="AN29" s="18"/>
      <c r="AO29" s="20"/>
      <c r="AP29" s="18"/>
      <c r="AQ29" s="20"/>
      <c r="AR29" s="18"/>
      <c r="AS29" s="20"/>
      <c r="AT29" s="18"/>
      <c r="AU29" s="20"/>
      <c r="AV29" s="18"/>
      <c r="AW29" s="20"/>
      <c r="AX29" s="18"/>
      <c r="AY29" s="20"/>
      <c r="AZ29" s="18"/>
      <c r="BA29" s="20"/>
      <c r="BB29" s="18"/>
      <c r="BC29" s="20"/>
      <c r="BD29" s="18"/>
      <c r="BE29" s="20"/>
      <c r="BF29" s="18"/>
      <c r="BG29" s="20"/>
      <c r="BH29" s="18"/>
    </row>
    <row r="30" spans="1:60" x14ac:dyDescent="0.2">
      <c r="A30" s="16">
        <v>1984</v>
      </c>
      <c r="B30" s="16">
        <v>3</v>
      </c>
      <c r="C30" s="20"/>
      <c r="D30" s="18"/>
      <c r="E30" s="20"/>
      <c r="F30" s="18"/>
      <c r="G30" s="20"/>
      <c r="H30" s="18"/>
      <c r="I30" s="20"/>
      <c r="J30" s="18"/>
      <c r="K30" s="20"/>
      <c r="L30" s="18"/>
      <c r="M30" s="20"/>
      <c r="N30" s="18"/>
      <c r="O30" s="20"/>
      <c r="P30" s="18"/>
      <c r="Q30" s="20"/>
      <c r="R30" s="18"/>
      <c r="S30" s="20"/>
      <c r="T30" s="18"/>
      <c r="U30" s="20"/>
      <c r="V30" s="18"/>
      <c r="W30" s="20"/>
      <c r="X30" s="18"/>
      <c r="Y30" s="20"/>
      <c r="Z30" s="18"/>
      <c r="AA30" s="20"/>
      <c r="AB30" s="18"/>
      <c r="AC30" s="20"/>
      <c r="AD30" s="18"/>
      <c r="AE30" s="20"/>
      <c r="AF30" s="18"/>
      <c r="AG30" s="20"/>
      <c r="AH30" s="18"/>
      <c r="AI30" s="20"/>
      <c r="AJ30" s="18"/>
      <c r="AK30" s="20"/>
      <c r="AL30" s="18"/>
      <c r="AM30" s="20"/>
      <c r="AN30" s="18"/>
      <c r="AO30" s="20"/>
      <c r="AP30" s="18"/>
      <c r="AQ30" s="20"/>
      <c r="AR30" s="18"/>
      <c r="AS30" s="20"/>
      <c r="AT30" s="18"/>
      <c r="AU30" s="20"/>
      <c r="AV30" s="18"/>
      <c r="AW30" s="20"/>
      <c r="AX30" s="18"/>
      <c r="AY30" s="20"/>
      <c r="AZ30" s="18"/>
      <c r="BA30" s="20"/>
      <c r="BB30" s="18"/>
      <c r="BC30" s="20"/>
      <c r="BD30" s="18"/>
      <c r="BE30" s="20"/>
      <c r="BF30" s="18"/>
      <c r="BG30" s="20"/>
      <c r="BH30" s="18"/>
    </row>
    <row r="31" spans="1:60" x14ac:dyDescent="0.2">
      <c r="A31" s="16">
        <v>1984</v>
      </c>
      <c r="B31" s="16">
        <v>4</v>
      </c>
      <c r="C31" s="20"/>
      <c r="D31" s="18"/>
      <c r="E31" s="20"/>
      <c r="F31" s="18"/>
      <c r="G31" s="20"/>
      <c r="H31" s="18"/>
      <c r="I31" s="20"/>
      <c r="J31" s="18"/>
      <c r="K31" s="20"/>
      <c r="L31" s="18"/>
      <c r="M31" s="20"/>
      <c r="N31" s="18"/>
      <c r="O31" s="20"/>
      <c r="P31" s="18"/>
      <c r="Q31" s="20"/>
      <c r="R31" s="18"/>
      <c r="S31" s="20"/>
      <c r="T31" s="18"/>
      <c r="U31" s="20"/>
      <c r="V31" s="18"/>
      <c r="W31" s="20"/>
      <c r="X31" s="18"/>
      <c r="Y31" s="20"/>
      <c r="Z31" s="18"/>
      <c r="AA31" s="20"/>
      <c r="AB31" s="18"/>
      <c r="AC31" s="20"/>
      <c r="AD31" s="18"/>
      <c r="AE31" s="20"/>
      <c r="AF31" s="18"/>
      <c r="AG31" s="20"/>
      <c r="AH31" s="18"/>
      <c r="AI31" s="20"/>
      <c r="AJ31" s="18"/>
      <c r="AK31" s="20"/>
      <c r="AL31" s="18"/>
      <c r="AM31" s="20"/>
      <c r="AN31" s="18"/>
      <c r="AO31" s="20"/>
      <c r="AP31" s="18"/>
      <c r="AQ31" s="20"/>
      <c r="AR31" s="18"/>
      <c r="AS31" s="20"/>
      <c r="AT31" s="18"/>
      <c r="AU31" s="20"/>
      <c r="AV31" s="18"/>
      <c r="AW31" s="20"/>
      <c r="AX31" s="18"/>
      <c r="AY31" s="20"/>
      <c r="AZ31" s="18"/>
      <c r="BA31" s="20"/>
      <c r="BB31" s="18"/>
      <c r="BC31" s="20"/>
      <c r="BD31" s="18"/>
      <c r="BE31" s="20"/>
      <c r="BF31" s="18"/>
      <c r="BG31" s="20"/>
      <c r="BH31" s="18"/>
    </row>
    <row r="32" spans="1:60" x14ac:dyDescent="0.2">
      <c r="A32" s="16">
        <v>1985</v>
      </c>
      <c r="B32" s="16">
        <v>1</v>
      </c>
      <c r="C32" s="20"/>
      <c r="D32" s="18"/>
      <c r="E32" s="20"/>
      <c r="F32" s="18"/>
      <c r="G32" s="20"/>
      <c r="H32" s="18"/>
      <c r="I32" s="20"/>
      <c r="J32" s="18"/>
      <c r="K32" s="20"/>
      <c r="L32" s="18"/>
      <c r="M32" s="20"/>
      <c r="N32" s="18"/>
      <c r="O32" s="20"/>
      <c r="P32" s="18"/>
      <c r="Q32" s="20"/>
      <c r="R32" s="18"/>
      <c r="S32" s="20"/>
      <c r="T32" s="18"/>
      <c r="U32" s="20"/>
      <c r="V32" s="18"/>
      <c r="W32" s="20"/>
      <c r="X32" s="18"/>
      <c r="Y32" s="20"/>
      <c r="Z32" s="18"/>
      <c r="AA32" s="20"/>
      <c r="AB32" s="18"/>
      <c r="AC32" s="20"/>
      <c r="AD32" s="18"/>
      <c r="AE32" s="20"/>
      <c r="AF32" s="18"/>
      <c r="AG32" s="20"/>
      <c r="AH32" s="18"/>
      <c r="AI32" s="20"/>
      <c r="AJ32" s="18"/>
      <c r="AK32" s="20"/>
      <c r="AL32" s="18"/>
      <c r="AM32" s="20"/>
      <c r="AN32" s="18"/>
      <c r="AO32" s="20"/>
      <c r="AP32" s="18"/>
      <c r="AQ32" s="20"/>
      <c r="AR32" s="18"/>
      <c r="AS32" s="20"/>
      <c r="AT32" s="18"/>
      <c r="AU32" s="20"/>
      <c r="AV32" s="18"/>
      <c r="AW32" s="20"/>
      <c r="AX32" s="18"/>
      <c r="AY32" s="20"/>
      <c r="AZ32" s="18"/>
      <c r="BA32" s="20"/>
      <c r="BB32" s="18"/>
      <c r="BC32" s="20"/>
      <c r="BD32" s="18"/>
      <c r="BE32" s="20"/>
      <c r="BF32" s="18"/>
      <c r="BG32" s="20"/>
      <c r="BH32" s="18"/>
    </row>
    <row r="33" spans="1:60" x14ac:dyDescent="0.2">
      <c r="A33" s="16">
        <v>1985</v>
      </c>
      <c r="B33" s="16">
        <v>2</v>
      </c>
      <c r="C33" s="20"/>
      <c r="D33" s="18"/>
      <c r="E33" s="20"/>
      <c r="F33" s="18"/>
      <c r="G33" s="20"/>
      <c r="H33" s="18"/>
      <c r="I33" s="20"/>
      <c r="J33" s="18"/>
      <c r="K33" s="20"/>
      <c r="L33" s="18"/>
      <c r="M33" s="20"/>
      <c r="N33" s="18"/>
      <c r="O33" s="20"/>
      <c r="P33" s="18"/>
      <c r="Q33" s="20"/>
      <c r="R33" s="18"/>
      <c r="S33" s="20"/>
      <c r="T33" s="18"/>
      <c r="U33" s="20"/>
      <c r="V33" s="18"/>
      <c r="W33" s="20"/>
      <c r="X33" s="18"/>
      <c r="Y33" s="20"/>
      <c r="Z33" s="18"/>
      <c r="AA33" s="20"/>
      <c r="AB33" s="18"/>
      <c r="AC33" s="20"/>
      <c r="AD33" s="18"/>
      <c r="AE33" s="20"/>
      <c r="AF33" s="18"/>
      <c r="AG33" s="20"/>
      <c r="AH33" s="18"/>
      <c r="AI33" s="20"/>
      <c r="AJ33" s="18"/>
      <c r="AK33" s="20"/>
      <c r="AL33" s="18"/>
      <c r="AM33" s="20"/>
      <c r="AN33" s="18"/>
      <c r="AO33" s="20"/>
      <c r="AP33" s="18"/>
      <c r="AQ33" s="20"/>
      <c r="AR33" s="18"/>
      <c r="AS33" s="20"/>
      <c r="AT33" s="18"/>
      <c r="AU33" s="20"/>
      <c r="AV33" s="18"/>
      <c r="AW33" s="20"/>
      <c r="AX33" s="18"/>
      <c r="AY33" s="20"/>
      <c r="AZ33" s="18"/>
      <c r="BA33" s="20"/>
      <c r="BB33" s="18"/>
      <c r="BC33" s="20"/>
      <c r="BD33" s="18"/>
      <c r="BE33" s="20"/>
      <c r="BF33" s="18"/>
      <c r="BG33" s="20"/>
      <c r="BH33" s="18"/>
    </row>
    <row r="34" spans="1:60" x14ac:dyDescent="0.2">
      <c r="A34" s="16">
        <v>1985</v>
      </c>
      <c r="B34" s="16">
        <v>3</v>
      </c>
      <c r="C34" s="20"/>
      <c r="D34" s="18"/>
      <c r="E34" s="20"/>
      <c r="F34" s="18"/>
      <c r="G34" s="20"/>
      <c r="H34" s="18"/>
      <c r="I34" s="20"/>
      <c r="J34" s="18"/>
      <c r="K34" s="20"/>
      <c r="L34" s="18"/>
      <c r="M34" s="20"/>
      <c r="N34" s="18"/>
      <c r="O34" s="20"/>
      <c r="P34" s="18"/>
      <c r="Q34" s="20"/>
      <c r="R34" s="18"/>
      <c r="S34" s="20"/>
      <c r="T34" s="18"/>
      <c r="U34" s="20"/>
      <c r="V34" s="18"/>
      <c r="W34" s="20"/>
      <c r="X34" s="18"/>
      <c r="Y34" s="20"/>
      <c r="Z34" s="18"/>
      <c r="AA34" s="20"/>
      <c r="AB34" s="18"/>
      <c r="AC34" s="20"/>
      <c r="AD34" s="18"/>
      <c r="AE34" s="20"/>
      <c r="AF34" s="18"/>
      <c r="AG34" s="20"/>
      <c r="AH34" s="18"/>
      <c r="AI34" s="20"/>
      <c r="AJ34" s="18"/>
      <c r="AK34" s="20"/>
      <c r="AL34" s="18"/>
      <c r="AM34" s="20"/>
      <c r="AN34" s="18"/>
      <c r="AO34" s="20"/>
      <c r="AP34" s="18"/>
      <c r="AQ34" s="20"/>
      <c r="AR34" s="18"/>
      <c r="AS34" s="20"/>
      <c r="AT34" s="18"/>
      <c r="AU34" s="20"/>
      <c r="AV34" s="18"/>
      <c r="AW34" s="20"/>
      <c r="AX34" s="18"/>
      <c r="AY34" s="20"/>
      <c r="AZ34" s="18"/>
      <c r="BA34" s="20"/>
      <c r="BB34" s="18"/>
      <c r="BC34" s="20"/>
      <c r="BD34" s="18"/>
      <c r="BE34" s="20"/>
      <c r="BF34" s="18"/>
      <c r="BG34" s="20"/>
      <c r="BH34" s="18"/>
    </row>
    <row r="35" spans="1:60" x14ac:dyDescent="0.2">
      <c r="A35" s="16">
        <v>1985</v>
      </c>
      <c r="B35" s="16">
        <v>4</v>
      </c>
      <c r="C35" s="20"/>
      <c r="D35" s="18"/>
      <c r="E35" s="20"/>
      <c r="F35" s="18"/>
      <c r="G35" s="20"/>
      <c r="H35" s="18"/>
      <c r="I35" s="20"/>
      <c r="J35" s="18"/>
      <c r="K35" s="20"/>
      <c r="L35" s="18"/>
      <c r="M35" s="20"/>
      <c r="N35" s="18"/>
      <c r="O35" s="20"/>
      <c r="P35" s="18"/>
      <c r="Q35" s="20"/>
      <c r="R35" s="18"/>
      <c r="S35" s="20"/>
      <c r="T35" s="18"/>
      <c r="U35" s="20"/>
      <c r="V35" s="18"/>
      <c r="W35" s="20"/>
      <c r="X35" s="18"/>
      <c r="Y35" s="20"/>
      <c r="Z35" s="18"/>
      <c r="AA35" s="20"/>
      <c r="AB35" s="18"/>
      <c r="AC35" s="20"/>
      <c r="AD35" s="18"/>
      <c r="AE35" s="20"/>
      <c r="AF35" s="18"/>
      <c r="AG35" s="20"/>
      <c r="AH35" s="18"/>
      <c r="AI35" s="20"/>
      <c r="AJ35" s="18"/>
      <c r="AK35" s="20"/>
      <c r="AL35" s="18"/>
      <c r="AM35" s="20"/>
      <c r="AN35" s="18"/>
      <c r="AO35" s="20"/>
      <c r="AP35" s="18"/>
      <c r="AQ35" s="20"/>
      <c r="AR35" s="18"/>
      <c r="AS35" s="20"/>
      <c r="AT35" s="18"/>
      <c r="AU35" s="20"/>
      <c r="AV35" s="18"/>
      <c r="AW35" s="20"/>
      <c r="AX35" s="18"/>
      <c r="AY35" s="20"/>
      <c r="AZ35" s="18"/>
      <c r="BA35" s="20"/>
      <c r="BB35" s="18"/>
      <c r="BC35" s="20"/>
      <c r="BD35" s="18"/>
      <c r="BE35" s="20"/>
      <c r="BF35" s="18"/>
      <c r="BG35" s="20"/>
      <c r="BH35" s="18"/>
    </row>
    <row r="36" spans="1:60" x14ac:dyDescent="0.2">
      <c r="A36" s="16">
        <v>1986</v>
      </c>
      <c r="B36" s="16">
        <v>1</v>
      </c>
      <c r="C36" s="20"/>
      <c r="D36" s="18"/>
      <c r="E36" s="20"/>
      <c r="F36" s="18"/>
      <c r="G36" s="20"/>
      <c r="H36" s="18"/>
      <c r="I36" s="20"/>
      <c r="J36" s="18"/>
      <c r="K36" s="20"/>
      <c r="L36" s="18"/>
      <c r="M36" s="20"/>
      <c r="N36" s="18"/>
      <c r="O36" s="20"/>
      <c r="P36" s="18"/>
      <c r="Q36" s="20"/>
      <c r="R36" s="18"/>
      <c r="S36" s="20"/>
      <c r="T36" s="18"/>
      <c r="U36" s="20"/>
      <c r="V36" s="18"/>
      <c r="W36" s="20"/>
      <c r="X36" s="18"/>
      <c r="Y36" s="20"/>
      <c r="Z36" s="18"/>
      <c r="AA36" s="20"/>
      <c r="AB36" s="18"/>
      <c r="AC36" s="20"/>
      <c r="AD36" s="18"/>
      <c r="AE36" s="20"/>
      <c r="AF36" s="18"/>
      <c r="AG36" s="20"/>
      <c r="AH36" s="18"/>
      <c r="AI36" s="20"/>
      <c r="AJ36" s="18"/>
      <c r="AK36" s="20"/>
      <c r="AL36" s="18"/>
      <c r="AM36" s="20"/>
      <c r="AN36" s="18"/>
      <c r="AO36" s="20"/>
      <c r="AP36" s="18"/>
      <c r="AQ36" s="20"/>
      <c r="AR36" s="18"/>
      <c r="AS36" s="20"/>
      <c r="AT36" s="18"/>
      <c r="AU36" s="20"/>
      <c r="AV36" s="18"/>
      <c r="AW36" s="20"/>
      <c r="AX36" s="18"/>
      <c r="AY36" s="20"/>
      <c r="AZ36" s="18"/>
      <c r="BA36" s="20"/>
      <c r="BB36" s="18"/>
      <c r="BC36" s="20"/>
      <c r="BD36" s="18"/>
      <c r="BE36" s="20"/>
      <c r="BF36" s="18"/>
      <c r="BG36" s="20"/>
      <c r="BH36" s="18"/>
    </row>
    <row r="37" spans="1:60" x14ac:dyDescent="0.2">
      <c r="A37" s="16">
        <v>1986</v>
      </c>
      <c r="B37" s="16">
        <v>2</v>
      </c>
      <c r="C37" s="20"/>
      <c r="D37" s="18"/>
      <c r="E37" s="20"/>
      <c r="F37" s="18"/>
      <c r="G37" s="20"/>
      <c r="H37" s="18"/>
      <c r="I37" s="20"/>
      <c r="J37" s="18"/>
      <c r="K37" s="20"/>
      <c r="L37" s="18"/>
      <c r="M37" s="20"/>
      <c r="N37" s="18"/>
      <c r="O37" s="20"/>
      <c r="P37" s="18"/>
      <c r="Q37" s="20"/>
      <c r="R37" s="18"/>
      <c r="S37" s="20"/>
      <c r="T37" s="18"/>
      <c r="U37" s="20"/>
      <c r="V37" s="18"/>
      <c r="W37" s="20"/>
      <c r="X37" s="18"/>
      <c r="Y37" s="20"/>
      <c r="Z37" s="18"/>
      <c r="AA37" s="20"/>
      <c r="AB37" s="18"/>
      <c r="AC37" s="20"/>
      <c r="AD37" s="18"/>
      <c r="AE37" s="20"/>
      <c r="AF37" s="18"/>
      <c r="AG37" s="20"/>
      <c r="AH37" s="18"/>
      <c r="AI37" s="20"/>
      <c r="AJ37" s="18"/>
      <c r="AK37" s="20"/>
      <c r="AL37" s="18"/>
      <c r="AM37" s="20"/>
      <c r="AN37" s="18"/>
      <c r="AO37" s="20"/>
      <c r="AP37" s="18"/>
      <c r="AQ37" s="20"/>
      <c r="AR37" s="18"/>
      <c r="AS37" s="20"/>
      <c r="AT37" s="18"/>
      <c r="AU37" s="20"/>
      <c r="AV37" s="18"/>
      <c r="AW37" s="20"/>
      <c r="AX37" s="18"/>
      <c r="AY37" s="20"/>
      <c r="AZ37" s="18"/>
      <c r="BA37" s="20"/>
      <c r="BB37" s="18"/>
      <c r="BC37" s="20"/>
      <c r="BD37" s="18"/>
      <c r="BE37" s="20"/>
      <c r="BF37" s="18"/>
      <c r="BG37" s="20"/>
      <c r="BH37" s="18"/>
    </row>
    <row r="38" spans="1:60" x14ac:dyDescent="0.2">
      <c r="A38" s="16">
        <v>1986</v>
      </c>
      <c r="B38" s="16">
        <v>3</v>
      </c>
      <c r="C38" s="20"/>
      <c r="D38" s="18"/>
      <c r="E38" s="20"/>
      <c r="F38" s="18"/>
      <c r="G38" s="20"/>
      <c r="H38" s="18"/>
      <c r="I38" s="20"/>
      <c r="J38" s="18"/>
      <c r="K38" s="20"/>
      <c r="L38" s="18"/>
      <c r="M38" s="20"/>
      <c r="N38" s="18"/>
      <c r="O38" s="20"/>
      <c r="P38" s="18"/>
      <c r="Q38" s="20"/>
      <c r="R38" s="18"/>
      <c r="S38" s="20"/>
      <c r="T38" s="18"/>
      <c r="U38" s="20"/>
      <c r="V38" s="18"/>
      <c r="W38" s="20"/>
      <c r="X38" s="18"/>
      <c r="Y38" s="20"/>
      <c r="Z38" s="18"/>
      <c r="AA38" s="20"/>
      <c r="AB38" s="18"/>
      <c r="AC38" s="20"/>
      <c r="AD38" s="18"/>
      <c r="AE38" s="20"/>
      <c r="AF38" s="18"/>
      <c r="AG38" s="20"/>
      <c r="AH38" s="18"/>
      <c r="AI38" s="20"/>
      <c r="AJ38" s="18"/>
      <c r="AK38" s="20"/>
      <c r="AL38" s="18"/>
      <c r="AM38" s="20"/>
      <c r="AN38" s="18"/>
      <c r="AO38" s="20"/>
      <c r="AP38" s="18"/>
      <c r="AQ38" s="20"/>
      <c r="AR38" s="18"/>
      <c r="AS38" s="20"/>
      <c r="AT38" s="18"/>
      <c r="AU38" s="20"/>
      <c r="AV38" s="18"/>
      <c r="AW38" s="20"/>
      <c r="AX38" s="18"/>
      <c r="AY38" s="20"/>
      <c r="AZ38" s="18"/>
      <c r="BA38" s="20"/>
      <c r="BB38" s="18"/>
      <c r="BC38" s="20"/>
      <c r="BD38" s="18"/>
      <c r="BE38" s="20"/>
      <c r="BF38" s="18"/>
      <c r="BG38" s="20"/>
      <c r="BH38" s="18"/>
    </row>
    <row r="39" spans="1:60" x14ac:dyDescent="0.2">
      <c r="A39" s="16">
        <v>1986</v>
      </c>
      <c r="B39" s="16">
        <v>4</v>
      </c>
      <c r="C39" s="20"/>
      <c r="D39" s="18"/>
      <c r="E39" s="20"/>
      <c r="F39" s="18"/>
      <c r="G39" s="20"/>
      <c r="H39" s="18"/>
      <c r="I39" s="20"/>
      <c r="J39" s="18"/>
      <c r="K39" s="20"/>
      <c r="L39" s="18"/>
      <c r="M39" s="20"/>
      <c r="N39" s="18"/>
      <c r="O39" s="20"/>
      <c r="P39" s="18"/>
      <c r="Q39" s="20"/>
      <c r="R39" s="18"/>
      <c r="S39" s="20"/>
      <c r="T39" s="18"/>
      <c r="U39" s="20"/>
      <c r="V39" s="18"/>
      <c r="W39" s="20"/>
      <c r="X39" s="18"/>
      <c r="Y39" s="20"/>
      <c r="Z39" s="18"/>
      <c r="AA39" s="20"/>
      <c r="AB39" s="18"/>
      <c r="AC39" s="20"/>
      <c r="AD39" s="18"/>
      <c r="AE39" s="20"/>
      <c r="AF39" s="18"/>
      <c r="AG39" s="20"/>
      <c r="AH39" s="18"/>
      <c r="AI39" s="20"/>
      <c r="AJ39" s="18"/>
      <c r="AK39" s="20"/>
      <c r="AL39" s="18"/>
      <c r="AM39" s="20"/>
      <c r="AN39" s="18"/>
      <c r="AO39" s="20"/>
      <c r="AP39" s="18"/>
      <c r="AQ39" s="20"/>
      <c r="AR39" s="18"/>
      <c r="AS39" s="20"/>
      <c r="AT39" s="18"/>
      <c r="AU39" s="20"/>
      <c r="AV39" s="18"/>
      <c r="AW39" s="20"/>
      <c r="AX39" s="18"/>
      <c r="AY39" s="20"/>
      <c r="AZ39" s="18"/>
      <c r="BA39" s="20"/>
      <c r="BB39" s="18"/>
      <c r="BC39" s="20"/>
      <c r="BD39" s="18"/>
      <c r="BE39" s="20"/>
      <c r="BF39" s="18"/>
      <c r="BG39" s="20"/>
      <c r="BH39" s="18"/>
    </row>
    <row r="40" spans="1:60" x14ac:dyDescent="0.2">
      <c r="A40" s="16">
        <v>1987</v>
      </c>
      <c r="B40" s="16">
        <v>1</v>
      </c>
      <c r="C40" s="20"/>
      <c r="D40" s="18"/>
      <c r="E40" s="20"/>
      <c r="F40" s="18"/>
      <c r="G40" s="20"/>
      <c r="H40" s="18"/>
      <c r="I40" s="20"/>
      <c r="J40" s="18"/>
      <c r="K40" s="20"/>
      <c r="L40" s="18"/>
      <c r="M40" s="20"/>
      <c r="N40" s="18"/>
      <c r="O40" s="20"/>
      <c r="P40" s="18"/>
      <c r="Q40" s="20"/>
      <c r="R40" s="18"/>
      <c r="S40" s="20"/>
      <c r="T40" s="18"/>
      <c r="U40" s="20"/>
      <c r="V40" s="18"/>
      <c r="W40" s="20"/>
      <c r="X40" s="18"/>
      <c r="Y40" s="20"/>
      <c r="Z40" s="18"/>
      <c r="AA40" s="20"/>
      <c r="AB40" s="18"/>
      <c r="AC40" s="20"/>
      <c r="AD40" s="18"/>
      <c r="AE40" s="20"/>
      <c r="AF40" s="18"/>
      <c r="AG40" s="20"/>
      <c r="AH40" s="18"/>
      <c r="AI40" s="20"/>
      <c r="AJ40" s="18"/>
      <c r="AK40" s="20"/>
      <c r="AL40" s="18"/>
      <c r="AM40" s="20"/>
      <c r="AN40" s="18"/>
      <c r="AO40" s="20"/>
      <c r="AP40" s="18"/>
      <c r="AQ40" s="20"/>
      <c r="AR40" s="18"/>
      <c r="AS40" s="20"/>
      <c r="AT40" s="18"/>
      <c r="AU40" s="20"/>
      <c r="AV40" s="18"/>
      <c r="AW40" s="20"/>
      <c r="AX40" s="18"/>
      <c r="AY40" s="20"/>
      <c r="AZ40" s="18"/>
      <c r="BA40" s="20"/>
      <c r="BB40" s="18"/>
      <c r="BC40" s="20"/>
      <c r="BD40" s="18"/>
      <c r="BE40" s="20"/>
      <c r="BF40" s="18"/>
      <c r="BG40" s="20"/>
      <c r="BH40" s="18"/>
    </row>
    <row r="41" spans="1:60" x14ac:dyDescent="0.2">
      <c r="A41" s="16">
        <v>1987</v>
      </c>
      <c r="B41" s="16">
        <v>2</v>
      </c>
      <c r="C41" s="20"/>
      <c r="D41" s="18"/>
      <c r="E41" s="20"/>
      <c r="F41" s="18"/>
      <c r="G41" s="20"/>
      <c r="H41" s="18"/>
      <c r="I41" s="20"/>
      <c r="J41" s="18"/>
      <c r="K41" s="20"/>
      <c r="L41" s="18"/>
      <c r="M41" s="20"/>
      <c r="N41" s="18"/>
      <c r="O41" s="20"/>
      <c r="P41" s="18"/>
      <c r="Q41" s="20"/>
      <c r="R41" s="18"/>
      <c r="S41" s="20"/>
      <c r="T41" s="18"/>
      <c r="U41" s="20"/>
      <c r="V41" s="18"/>
      <c r="W41" s="20"/>
      <c r="X41" s="18"/>
      <c r="Y41" s="20"/>
      <c r="Z41" s="18"/>
      <c r="AA41" s="20"/>
      <c r="AB41" s="18"/>
      <c r="AC41" s="20"/>
      <c r="AD41" s="18"/>
      <c r="AE41" s="20"/>
      <c r="AF41" s="18"/>
      <c r="AG41" s="20"/>
      <c r="AH41" s="18"/>
      <c r="AI41" s="20"/>
      <c r="AJ41" s="18"/>
      <c r="AK41" s="20"/>
      <c r="AL41" s="18"/>
      <c r="AM41" s="20"/>
      <c r="AN41" s="18"/>
      <c r="AO41" s="20"/>
      <c r="AP41" s="18"/>
      <c r="AQ41" s="20"/>
      <c r="AR41" s="18"/>
      <c r="AS41" s="20"/>
      <c r="AT41" s="18"/>
      <c r="AU41" s="20"/>
      <c r="AV41" s="18"/>
      <c r="AW41" s="20"/>
      <c r="AX41" s="18"/>
      <c r="AY41" s="20"/>
      <c r="AZ41" s="18"/>
      <c r="BA41" s="20"/>
      <c r="BB41" s="18"/>
      <c r="BC41" s="20"/>
      <c r="BD41" s="18"/>
      <c r="BE41" s="20"/>
      <c r="BF41" s="18"/>
      <c r="BG41" s="20"/>
      <c r="BH41" s="18"/>
    </row>
    <row r="42" spans="1:60" x14ac:dyDescent="0.2">
      <c r="A42" s="16">
        <v>1987</v>
      </c>
      <c r="B42" s="16">
        <v>3</v>
      </c>
      <c r="C42" s="20"/>
      <c r="D42" s="18"/>
      <c r="E42" s="20"/>
      <c r="F42" s="18"/>
      <c r="G42" s="20"/>
      <c r="H42" s="18"/>
      <c r="I42" s="20"/>
      <c r="J42" s="18"/>
      <c r="K42" s="20"/>
      <c r="L42" s="18"/>
      <c r="M42" s="20"/>
      <c r="N42" s="18"/>
      <c r="O42" s="20"/>
      <c r="P42" s="18"/>
      <c r="Q42" s="20"/>
      <c r="R42" s="18"/>
      <c r="S42" s="20"/>
      <c r="T42" s="18"/>
      <c r="U42" s="20"/>
      <c r="V42" s="18"/>
      <c r="W42" s="20"/>
      <c r="X42" s="18"/>
      <c r="Y42" s="20"/>
      <c r="Z42" s="18"/>
      <c r="AA42" s="20"/>
      <c r="AB42" s="18"/>
      <c r="AC42" s="20"/>
      <c r="AD42" s="18"/>
      <c r="AE42" s="20"/>
      <c r="AF42" s="18"/>
      <c r="AG42" s="20"/>
      <c r="AH42" s="18"/>
      <c r="AI42" s="20"/>
      <c r="AJ42" s="18"/>
      <c r="AK42" s="20"/>
      <c r="AL42" s="18"/>
      <c r="AM42" s="20"/>
      <c r="AN42" s="18"/>
      <c r="AO42" s="20"/>
      <c r="AP42" s="18"/>
      <c r="AQ42" s="20"/>
      <c r="AR42" s="18"/>
      <c r="AS42" s="20"/>
      <c r="AT42" s="18"/>
      <c r="AU42" s="20"/>
      <c r="AV42" s="18"/>
      <c r="AW42" s="20"/>
      <c r="AX42" s="18"/>
      <c r="AY42" s="20"/>
      <c r="AZ42" s="18"/>
      <c r="BA42" s="20"/>
      <c r="BB42" s="18"/>
      <c r="BC42" s="20"/>
      <c r="BD42" s="18"/>
      <c r="BE42" s="20"/>
      <c r="BF42" s="18"/>
      <c r="BG42" s="20"/>
      <c r="BH42" s="18"/>
    </row>
    <row r="43" spans="1:60" x14ac:dyDescent="0.2">
      <c r="A43" s="16">
        <v>1987</v>
      </c>
      <c r="B43" s="16">
        <v>4</v>
      </c>
      <c r="C43" s="20"/>
      <c r="D43" s="18"/>
      <c r="E43" s="20"/>
      <c r="F43" s="18"/>
      <c r="G43" s="20"/>
      <c r="H43" s="18"/>
      <c r="I43" s="20"/>
      <c r="J43" s="18"/>
      <c r="K43" s="20"/>
      <c r="L43" s="18"/>
      <c r="M43" s="20"/>
      <c r="N43" s="18"/>
      <c r="O43" s="20"/>
      <c r="P43" s="18"/>
      <c r="Q43" s="20"/>
      <c r="R43" s="18"/>
      <c r="S43" s="20"/>
      <c r="T43" s="18"/>
      <c r="U43" s="20"/>
      <c r="V43" s="18"/>
      <c r="W43" s="20"/>
      <c r="X43" s="18"/>
      <c r="Y43" s="20"/>
      <c r="Z43" s="18"/>
      <c r="AA43" s="20"/>
      <c r="AB43" s="18"/>
      <c r="AC43" s="20"/>
      <c r="AD43" s="18"/>
      <c r="AE43" s="20"/>
      <c r="AF43" s="18"/>
      <c r="AG43" s="20"/>
      <c r="AH43" s="18"/>
      <c r="AI43" s="20"/>
      <c r="AJ43" s="18"/>
      <c r="AK43" s="20"/>
      <c r="AL43" s="18"/>
      <c r="AM43" s="20"/>
      <c r="AN43" s="18"/>
      <c r="AO43" s="20"/>
      <c r="AP43" s="18"/>
      <c r="AQ43" s="20"/>
      <c r="AR43" s="18"/>
      <c r="AS43" s="20"/>
      <c r="AT43" s="18"/>
      <c r="AU43" s="20"/>
      <c r="AV43" s="18"/>
      <c r="AW43" s="20"/>
      <c r="AX43" s="18"/>
      <c r="AY43" s="20"/>
      <c r="AZ43" s="18"/>
      <c r="BA43" s="20"/>
      <c r="BB43" s="18"/>
      <c r="BC43" s="20"/>
      <c r="BD43" s="18"/>
      <c r="BE43" s="20"/>
      <c r="BF43" s="18"/>
      <c r="BG43" s="20"/>
      <c r="BH43" s="18"/>
    </row>
    <row r="44" spans="1:60" x14ac:dyDescent="0.2">
      <c r="A44" s="16">
        <v>1988</v>
      </c>
      <c r="B44" s="16">
        <v>1</v>
      </c>
      <c r="C44" s="20"/>
      <c r="D44" s="18"/>
      <c r="E44" s="20"/>
      <c r="F44" s="18"/>
      <c r="G44" s="20"/>
      <c r="H44" s="18"/>
      <c r="I44" s="20"/>
      <c r="J44" s="18"/>
      <c r="K44" s="20"/>
      <c r="L44" s="18"/>
      <c r="M44" s="20"/>
      <c r="N44" s="18"/>
      <c r="O44" s="20"/>
      <c r="P44" s="18"/>
      <c r="Q44" s="20"/>
      <c r="R44" s="18"/>
      <c r="S44" s="20"/>
      <c r="T44" s="18"/>
      <c r="U44" s="20"/>
      <c r="V44" s="18"/>
      <c r="W44" s="20"/>
      <c r="X44" s="18"/>
      <c r="Y44" s="20"/>
      <c r="Z44" s="18"/>
      <c r="AA44" s="20"/>
      <c r="AB44" s="18"/>
      <c r="AC44" s="20"/>
      <c r="AD44" s="18"/>
      <c r="AE44" s="20"/>
      <c r="AF44" s="18"/>
      <c r="AG44" s="20"/>
      <c r="AH44" s="18"/>
      <c r="AI44" s="20"/>
      <c r="AJ44" s="18"/>
      <c r="AK44" s="20"/>
      <c r="AL44" s="18"/>
      <c r="AM44" s="20"/>
      <c r="AN44" s="18"/>
      <c r="AO44" s="20"/>
      <c r="AP44" s="18"/>
      <c r="AQ44" s="20"/>
      <c r="AR44" s="18"/>
      <c r="AS44" s="20"/>
      <c r="AT44" s="18"/>
      <c r="AU44" s="20"/>
      <c r="AV44" s="18"/>
      <c r="AW44" s="20"/>
      <c r="AX44" s="18"/>
      <c r="AY44" s="20"/>
      <c r="AZ44" s="18"/>
      <c r="BA44" s="20"/>
      <c r="BB44" s="18"/>
      <c r="BC44" s="20"/>
      <c r="BD44" s="18"/>
      <c r="BE44" s="20"/>
      <c r="BF44" s="18"/>
      <c r="BG44" s="20"/>
      <c r="BH44" s="18"/>
    </row>
    <row r="45" spans="1:60" x14ac:dyDescent="0.2">
      <c r="A45" s="16">
        <v>1988</v>
      </c>
      <c r="B45" s="16">
        <v>2</v>
      </c>
      <c r="C45" s="20"/>
      <c r="D45" s="18"/>
      <c r="E45" s="20"/>
      <c r="F45" s="18"/>
      <c r="G45" s="20"/>
      <c r="H45" s="18"/>
      <c r="I45" s="20"/>
      <c r="J45" s="18"/>
      <c r="K45" s="20"/>
      <c r="L45" s="18"/>
      <c r="M45" s="20"/>
      <c r="N45" s="18"/>
      <c r="O45" s="20"/>
      <c r="P45" s="18"/>
      <c r="Q45" s="20"/>
      <c r="R45" s="18"/>
      <c r="S45" s="20"/>
      <c r="T45" s="18"/>
      <c r="U45" s="20"/>
      <c r="V45" s="18"/>
      <c r="W45" s="20"/>
      <c r="X45" s="18"/>
      <c r="Y45" s="20"/>
      <c r="Z45" s="18"/>
      <c r="AA45" s="20"/>
      <c r="AB45" s="18"/>
      <c r="AC45" s="20"/>
      <c r="AD45" s="18"/>
      <c r="AE45" s="20"/>
      <c r="AF45" s="18"/>
      <c r="AG45" s="20"/>
      <c r="AH45" s="18"/>
      <c r="AI45" s="20"/>
      <c r="AJ45" s="18"/>
      <c r="AK45" s="20"/>
      <c r="AL45" s="18"/>
      <c r="AM45" s="20"/>
      <c r="AN45" s="18"/>
      <c r="AO45" s="20"/>
      <c r="AP45" s="18"/>
      <c r="AQ45" s="20"/>
      <c r="AR45" s="18"/>
      <c r="AS45" s="20"/>
      <c r="AT45" s="18"/>
      <c r="AU45" s="20"/>
      <c r="AV45" s="18"/>
      <c r="AW45" s="20"/>
      <c r="AX45" s="18"/>
      <c r="AY45" s="20"/>
      <c r="AZ45" s="18"/>
      <c r="BA45" s="20"/>
      <c r="BB45" s="18"/>
      <c r="BC45" s="20"/>
      <c r="BD45" s="18"/>
      <c r="BE45" s="20"/>
      <c r="BF45" s="18"/>
      <c r="BG45" s="20"/>
      <c r="BH45" s="18"/>
    </row>
    <row r="46" spans="1:60" x14ac:dyDescent="0.2">
      <c r="A46" s="16">
        <v>1988</v>
      </c>
      <c r="B46" s="16">
        <v>3</v>
      </c>
      <c r="C46" s="20"/>
      <c r="D46" s="18"/>
      <c r="E46" s="20"/>
      <c r="F46" s="18"/>
      <c r="G46" s="20"/>
      <c r="H46" s="18"/>
      <c r="I46" s="20"/>
      <c r="J46" s="18"/>
      <c r="K46" s="20"/>
      <c r="L46" s="18"/>
      <c r="M46" s="20"/>
      <c r="N46" s="18"/>
      <c r="O46" s="20"/>
      <c r="P46" s="18"/>
      <c r="Q46" s="20"/>
      <c r="R46" s="18"/>
      <c r="S46" s="20"/>
      <c r="T46" s="18"/>
      <c r="U46" s="20"/>
      <c r="V46" s="18"/>
      <c r="W46" s="20"/>
      <c r="X46" s="18"/>
      <c r="Y46" s="20"/>
      <c r="Z46" s="18"/>
      <c r="AA46" s="20"/>
      <c r="AB46" s="18"/>
      <c r="AC46" s="20"/>
      <c r="AD46" s="18"/>
      <c r="AE46" s="20"/>
      <c r="AF46" s="18"/>
      <c r="AG46" s="20"/>
      <c r="AH46" s="18"/>
      <c r="AI46" s="20"/>
      <c r="AJ46" s="18"/>
      <c r="AK46" s="20"/>
      <c r="AL46" s="18"/>
      <c r="AM46" s="20"/>
      <c r="AN46" s="18"/>
      <c r="AO46" s="20"/>
      <c r="AP46" s="18"/>
      <c r="AQ46" s="20"/>
      <c r="AR46" s="18"/>
      <c r="AS46" s="20"/>
      <c r="AT46" s="18"/>
      <c r="AU46" s="20"/>
      <c r="AV46" s="18"/>
      <c r="AW46" s="20"/>
      <c r="AX46" s="18"/>
      <c r="AY46" s="20"/>
      <c r="AZ46" s="18"/>
      <c r="BA46" s="20"/>
      <c r="BB46" s="18"/>
      <c r="BC46" s="20"/>
      <c r="BD46" s="18"/>
      <c r="BE46" s="20"/>
      <c r="BF46" s="18"/>
      <c r="BG46" s="20"/>
      <c r="BH46" s="18"/>
    </row>
    <row r="47" spans="1:60" x14ac:dyDescent="0.2">
      <c r="A47" s="16">
        <v>1988</v>
      </c>
      <c r="B47" s="16">
        <v>4</v>
      </c>
      <c r="C47" s="20"/>
      <c r="D47" s="18"/>
      <c r="E47" s="20"/>
      <c r="F47" s="18"/>
      <c r="G47" s="20"/>
      <c r="H47" s="18"/>
      <c r="I47" s="20"/>
      <c r="J47" s="18"/>
      <c r="K47" s="20"/>
      <c r="L47" s="18"/>
      <c r="M47" s="20"/>
      <c r="N47" s="18"/>
      <c r="O47" s="20"/>
      <c r="P47" s="18"/>
      <c r="Q47" s="20"/>
      <c r="R47" s="18"/>
      <c r="S47" s="20"/>
      <c r="T47" s="18"/>
      <c r="U47" s="20"/>
      <c r="V47" s="18"/>
      <c r="W47" s="20"/>
      <c r="X47" s="18"/>
      <c r="Y47" s="20"/>
      <c r="Z47" s="18"/>
      <c r="AA47" s="20"/>
      <c r="AB47" s="18"/>
      <c r="AC47" s="20"/>
      <c r="AD47" s="18"/>
      <c r="AE47" s="20"/>
      <c r="AF47" s="18"/>
      <c r="AG47" s="20"/>
      <c r="AH47" s="18"/>
      <c r="AI47" s="20"/>
      <c r="AJ47" s="18"/>
      <c r="AK47" s="20"/>
      <c r="AL47" s="18"/>
      <c r="AM47" s="20"/>
      <c r="AN47" s="18"/>
      <c r="AO47" s="20"/>
      <c r="AP47" s="18"/>
      <c r="AQ47" s="20"/>
      <c r="AR47" s="18"/>
      <c r="AS47" s="20"/>
      <c r="AT47" s="18"/>
      <c r="AU47" s="20"/>
      <c r="AV47" s="18"/>
      <c r="AW47" s="20"/>
      <c r="AX47" s="18"/>
      <c r="AY47" s="20"/>
      <c r="AZ47" s="18"/>
      <c r="BA47" s="20"/>
      <c r="BB47" s="18"/>
      <c r="BC47" s="20"/>
      <c r="BD47" s="18"/>
      <c r="BE47" s="20"/>
      <c r="BF47" s="18"/>
      <c r="BG47" s="20"/>
      <c r="BH47" s="18"/>
    </row>
    <row r="48" spans="1:60" x14ac:dyDescent="0.2">
      <c r="A48" s="16">
        <v>1989</v>
      </c>
      <c r="B48" s="16">
        <v>1</v>
      </c>
      <c r="C48" s="20"/>
      <c r="D48" s="18"/>
      <c r="E48" s="20"/>
      <c r="F48" s="18"/>
      <c r="G48" s="20"/>
      <c r="H48" s="18"/>
      <c r="I48" s="20"/>
      <c r="J48" s="18"/>
      <c r="K48" s="20"/>
      <c r="L48" s="18"/>
      <c r="M48" s="20"/>
      <c r="N48" s="18"/>
      <c r="O48" s="20"/>
      <c r="P48" s="18"/>
      <c r="Q48" s="20"/>
      <c r="R48" s="18"/>
      <c r="S48" s="20"/>
      <c r="T48" s="18"/>
      <c r="U48" s="20"/>
      <c r="V48" s="18"/>
      <c r="W48" s="20"/>
      <c r="X48" s="18"/>
      <c r="Y48" s="20"/>
      <c r="Z48" s="18"/>
      <c r="AA48" s="20"/>
      <c r="AB48" s="18"/>
      <c r="AC48" s="20"/>
      <c r="AD48" s="18"/>
      <c r="AE48" s="20"/>
      <c r="AF48" s="18"/>
      <c r="AG48" s="20"/>
      <c r="AH48" s="18"/>
      <c r="AI48" s="20"/>
      <c r="AJ48" s="18"/>
      <c r="AK48" s="20"/>
      <c r="AL48" s="18"/>
      <c r="AM48" s="20"/>
      <c r="AN48" s="18"/>
      <c r="AO48" s="20"/>
      <c r="AP48" s="18"/>
      <c r="AQ48" s="20"/>
      <c r="AR48" s="18"/>
      <c r="AS48" s="20"/>
      <c r="AT48" s="18"/>
      <c r="AU48" s="20"/>
      <c r="AV48" s="18"/>
      <c r="AW48" s="20"/>
      <c r="AX48" s="18"/>
      <c r="AY48" s="20"/>
      <c r="AZ48" s="18"/>
      <c r="BA48" s="20"/>
      <c r="BB48" s="18"/>
      <c r="BC48" s="20"/>
      <c r="BD48" s="18"/>
      <c r="BE48" s="20"/>
      <c r="BF48" s="18"/>
      <c r="BG48" s="20"/>
      <c r="BH48" s="18"/>
    </row>
    <row r="49" spans="1:60" x14ac:dyDescent="0.2">
      <c r="A49" s="16">
        <v>1989</v>
      </c>
      <c r="B49" s="16">
        <v>2</v>
      </c>
      <c r="C49" s="20"/>
      <c r="D49" s="18"/>
      <c r="E49" s="20"/>
      <c r="F49" s="18"/>
      <c r="G49" s="20"/>
      <c r="H49" s="18"/>
      <c r="I49" s="20"/>
      <c r="J49" s="18"/>
      <c r="K49" s="20"/>
      <c r="L49" s="18"/>
      <c r="M49" s="20"/>
      <c r="N49" s="18"/>
      <c r="O49" s="20"/>
      <c r="P49" s="18"/>
      <c r="Q49" s="20"/>
      <c r="R49" s="18"/>
      <c r="S49" s="20"/>
      <c r="T49" s="18"/>
      <c r="U49" s="20"/>
      <c r="V49" s="18"/>
      <c r="W49" s="20"/>
      <c r="X49" s="18"/>
      <c r="Y49" s="20"/>
      <c r="Z49" s="18"/>
      <c r="AA49" s="20"/>
      <c r="AB49" s="18"/>
      <c r="AC49" s="20"/>
      <c r="AD49" s="18"/>
      <c r="AE49" s="20"/>
      <c r="AF49" s="18"/>
      <c r="AG49" s="20"/>
      <c r="AH49" s="18"/>
      <c r="AI49" s="20"/>
      <c r="AJ49" s="18"/>
      <c r="AK49" s="20"/>
      <c r="AL49" s="18"/>
      <c r="AM49" s="20"/>
      <c r="AN49" s="18"/>
      <c r="AO49" s="20"/>
      <c r="AP49" s="18"/>
      <c r="AQ49" s="20"/>
      <c r="AR49" s="18"/>
      <c r="AS49" s="20"/>
      <c r="AT49" s="18"/>
      <c r="AU49" s="20"/>
      <c r="AV49" s="18"/>
      <c r="AW49" s="20"/>
      <c r="AX49" s="18"/>
      <c r="AY49" s="20"/>
      <c r="AZ49" s="18"/>
      <c r="BA49" s="20"/>
      <c r="BB49" s="18"/>
      <c r="BC49" s="20"/>
      <c r="BD49" s="18"/>
      <c r="BE49" s="20"/>
      <c r="BF49" s="18"/>
      <c r="BG49" s="20"/>
      <c r="BH49" s="18"/>
    </row>
    <row r="50" spans="1:60" x14ac:dyDescent="0.2">
      <c r="A50" s="16">
        <v>1989</v>
      </c>
      <c r="B50" s="16">
        <v>3</v>
      </c>
      <c r="C50" s="20"/>
      <c r="D50" s="18"/>
      <c r="E50" s="20"/>
      <c r="F50" s="18"/>
      <c r="G50" s="20"/>
      <c r="H50" s="18"/>
      <c r="I50" s="20"/>
      <c r="J50" s="18"/>
      <c r="K50" s="20"/>
      <c r="L50" s="18"/>
      <c r="M50" s="20"/>
      <c r="N50" s="18"/>
      <c r="O50" s="20"/>
      <c r="P50" s="18"/>
      <c r="Q50" s="20"/>
      <c r="R50" s="18"/>
      <c r="S50" s="20"/>
      <c r="T50" s="18"/>
      <c r="U50" s="20"/>
      <c r="V50" s="18"/>
      <c r="W50" s="20"/>
      <c r="X50" s="18"/>
      <c r="Y50" s="20"/>
      <c r="Z50" s="18"/>
      <c r="AA50" s="20"/>
      <c r="AB50" s="18"/>
      <c r="AC50" s="20"/>
      <c r="AD50" s="18"/>
      <c r="AE50" s="20"/>
      <c r="AF50" s="18"/>
      <c r="AG50" s="20"/>
      <c r="AH50" s="18"/>
      <c r="AI50" s="20"/>
      <c r="AJ50" s="18"/>
      <c r="AK50" s="20"/>
      <c r="AL50" s="18"/>
      <c r="AM50" s="20"/>
      <c r="AN50" s="18"/>
      <c r="AO50" s="20"/>
      <c r="AP50" s="18"/>
      <c r="AQ50" s="20"/>
      <c r="AR50" s="18"/>
      <c r="AS50" s="20"/>
      <c r="AT50" s="18"/>
      <c r="AU50" s="20"/>
      <c r="AV50" s="18"/>
      <c r="AW50" s="20"/>
      <c r="AX50" s="18"/>
      <c r="AY50" s="20"/>
      <c r="AZ50" s="18"/>
      <c r="BA50" s="20"/>
      <c r="BB50" s="18"/>
      <c r="BC50" s="20"/>
      <c r="BD50" s="18"/>
      <c r="BE50" s="20"/>
      <c r="BF50" s="18"/>
      <c r="BG50" s="20"/>
      <c r="BH50" s="18"/>
    </row>
    <row r="51" spans="1:60" x14ac:dyDescent="0.2">
      <c r="A51" s="16">
        <v>1989</v>
      </c>
      <c r="B51" s="16">
        <v>4</v>
      </c>
      <c r="C51" s="20"/>
      <c r="D51" s="18"/>
      <c r="E51" s="20"/>
      <c r="F51" s="18"/>
      <c r="G51" s="20"/>
      <c r="H51" s="18"/>
      <c r="I51" s="20"/>
      <c r="J51" s="18"/>
      <c r="K51" s="20"/>
      <c r="L51" s="18"/>
      <c r="M51" s="20"/>
      <c r="N51" s="18"/>
      <c r="O51" s="20"/>
      <c r="P51" s="18"/>
      <c r="Q51" s="20"/>
      <c r="R51" s="18"/>
      <c r="S51" s="20"/>
      <c r="T51" s="18"/>
      <c r="U51" s="20"/>
      <c r="V51" s="18"/>
      <c r="W51" s="20"/>
      <c r="X51" s="18"/>
      <c r="Y51" s="20"/>
      <c r="Z51" s="18"/>
      <c r="AA51" s="20"/>
      <c r="AB51" s="18"/>
      <c r="AC51" s="20"/>
      <c r="AD51" s="18"/>
      <c r="AE51" s="20"/>
      <c r="AF51" s="18"/>
      <c r="AG51" s="20"/>
      <c r="AH51" s="18"/>
      <c r="AI51" s="20"/>
      <c r="AJ51" s="18"/>
      <c r="AK51" s="20"/>
      <c r="AL51" s="18"/>
      <c r="AM51" s="20"/>
      <c r="AN51" s="18"/>
      <c r="AO51" s="20"/>
      <c r="AP51" s="18"/>
      <c r="AQ51" s="20"/>
      <c r="AR51" s="18"/>
      <c r="AS51" s="20"/>
      <c r="AT51" s="18"/>
      <c r="AU51" s="20"/>
      <c r="AV51" s="18"/>
      <c r="AW51" s="20"/>
      <c r="AX51" s="18"/>
      <c r="AY51" s="20"/>
      <c r="AZ51" s="18"/>
      <c r="BA51" s="20"/>
      <c r="BB51" s="18"/>
      <c r="BC51" s="20"/>
      <c r="BD51" s="18"/>
      <c r="BE51" s="20"/>
      <c r="BF51" s="18"/>
      <c r="BG51" s="20"/>
      <c r="BH51" s="18"/>
    </row>
    <row r="52" spans="1:60" x14ac:dyDescent="0.2">
      <c r="A52" s="16">
        <v>1990</v>
      </c>
      <c r="B52" s="16">
        <v>1</v>
      </c>
      <c r="C52" s="20"/>
      <c r="D52" s="18"/>
      <c r="E52" s="20">
        <v>5.8112487006017802E-2</v>
      </c>
      <c r="F52" s="18"/>
      <c r="G52" s="20">
        <v>-3.8197203277903899E-4</v>
      </c>
      <c r="H52" s="18"/>
      <c r="I52" s="20">
        <v>-7.49003312266953E-5</v>
      </c>
      <c r="J52" s="18"/>
      <c r="K52" s="20">
        <v>1.8735181806542999E-2</v>
      </c>
      <c r="L52" s="18"/>
      <c r="M52" s="20">
        <v>2.8074610639307399E-3</v>
      </c>
      <c r="N52" s="18"/>
      <c r="O52" s="20">
        <v>1.5892241614517799E-2</v>
      </c>
      <c r="P52" s="18"/>
      <c r="Q52" s="20">
        <v>1.22684977332444E-3</v>
      </c>
      <c r="R52" s="18"/>
      <c r="S52" s="20">
        <v>5.6172842864703296E-4</v>
      </c>
      <c r="T52" s="18"/>
      <c r="U52" s="20">
        <v>3.1985877228504801E-3</v>
      </c>
      <c r="V52" s="18"/>
      <c r="W52" s="20">
        <v>1.6975293999941701E-2</v>
      </c>
      <c r="X52" s="18"/>
      <c r="Y52" s="20">
        <v>2.0399337362580201E-3</v>
      </c>
      <c r="Z52" s="18"/>
      <c r="AA52" s="20">
        <v>-1.8258437709270301E-3</v>
      </c>
      <c r="AB52" s="18"/>
      <c r="AC52" s="20">
        <v>1.0927338463749699E-3</v>
      </c>
      <c r="AD52" s="18"/>
      <c r="AE52" s="20">
        <v>3.4806199362799497E-4</v>
      </c>
      <c r="AF52" s="18"/>
      <c r="AG52" s="20">
        <v>4.3491333463005297E-3</v>
      </c>
      <c r="AH52" s="18"/>
      <c r="AI52" s="20">
        <v>1.9998504342317001E-3</v>
      </c>
      <c r="AJ52" s="18"/>
      <c r="AK52" s="20">
        <v>2.29547711636664E-3</v>
      </c>
      <c r="AL52" s="18"/>
      <c r="AM52" s="20">
        <v>4.2474846243902497E-3</v>
      </c>
      <c r="AN52" s="18"/>
      <c r="AO52" s="20">
        <v>3.8398609510010302E-3</v>
      </c>
      <c r="AP52" s="18"/>
      <c r="AQ52" s="20">
        <v>3.6676924797743602E-3</v>
      </c>
      <c r="AR52" s="18"/>
      <c r="AS52" s="20">
        <v>1.1729476015031599E-3</v>
      </c>
      <c r="AT52" s="18"/>
      <c r="AU52" s="20">
        <v>1.37619649487827E-5</v>
      </c>
      <c r="AV52" s="18"/>
      <c r="AW52" s="20">
        <v>8.5005853546579095E-4</v>
      </c>
      <c r="AX52" s="18"/>
      <c r="AY52" s="20">
        <v>2.4481982229410598E-4</v>
      </c>
      <c r="AZ52" s="18"/>
      <c r="BA52" s="20">
        <v>1.5514396572533699E-3</v>
      </c>
      <c r="BB52" s="18"/>
      <c r="BC52" s="20">
        <v>2.7727739286937201E-3</v>
      </c>
      <c r="BD52" s="18"/>
      <c r="BE52" s="20">
        <v>-1.2626985414479399E-3</v>
      </c>
      <c r="BF52" s="18"/>
      <c r="BG52" s="20"/>
      <c r="BH52" s="18"/>
    </row>
    <row r="53" spans="1:60" x14ac:dyDescent="0.2">
      <c r="A53" s="16">
        <v>1990</v>
      </c>
      <c r="B53" s="16">
        <v>2</v>
      </c>
      <c r="C53" s="20"/>
      <c r="D53" s="18"/>
      <c r="E53" s="20">
        <v>3.8028724074098998E-2</v>
      </c>
      <c r="F53" s="18"/>
      <c r="G53" s="20">
        <v>-1.0740413308364201E-3</v>
      </c>
      <c r="H53" s="18"/>
      <c r="I53" s="20">
        <v>-1.07224595012689E-4</v>
      </c>
      <c r="J53" s="18"/>
      <c r="K53" s="20">
        <v>8.3343012123569607E-3</v>
      </c>
      <c r="L53" s="18"/>
      <c r="M53" s="20">
        <v>2.0769901004543002E-3</v>
      </c>
      <c r="N53" s="18"/>
      <c r="O53" s="20">
        <v>6.2627944276994396E-3</v>
      </c>
      <c r="P53" s="18"/>
      <c r="Q53" s="20">
        <v>9.5507785602761395E-4</v>
      </c>
      <c r="R53" s="18"/>
      <c r="S53" s="20">
        <v>6.1102018156867696E-4</v>
      </c>
      <c r="T53" s="18"/>
      <c r="U53" s="20">
        <v>1.9515460579646101E-3</v>
      </c>
      <c r="V53" s="18"/>
      <c r="W53" s="20">
        <v>1.41928706046238E-2</v>
      </c>
      <c r="X53" s="18"/>
      <c r="Y53" s="20">
        <v>2.4960693832477101E-3</v>
      </c>
      <c r="Z53" s="18"/>
      <c r="AA53" s="20">
        <v>-3.6070451341657598E-3</v>
      </c>
      <c r="AB53" s="18"/>
      <c r="AC53" s="20">
        <v>2.2398560076764698E-3</v>
      </c>
      <c r="AD53" s="18"/>
      <c r="AE53" s="20">
        <v>4.71373664801823E-4</v>
      </c>
      <c r="AF53" s="18"/>
      <c r="AG53" s="20">
        <v>1.8654876278981699E-4</v>
      </c>
      <c r="AH53" s="18"/>
      <c r="AI53" s="20">
        <v>-2.24031467167864E-3</v>
      </c>
      <c r="AJ53" s="18"/>
      <c r="AK53" s="20">
        <v>2.5035793632170898E-3</v>
      </c>
      <c r="AL53" s="18"/>
      <c r="AM53" s="20">
        <v>4.2724434183728397E-3</v>
      </c>
      <c r="AN53" s="18"/>
      <c r="AO53" s="20">
        <v>4.205681528079E-3</v>
      </c>
      <c r="AP53" s="18"/>
      <c r="AQ53" s="20">
        <v>4.1288914974591199E-3</v>
      </c>
      <c r="AR53" s="18"/>
      <c r="AS53" s="20">
        <v>8.0637683135367897E-4</v>
      </c>
      <c r="AT53" s="18"/>
      <c r="AU53" s="20">
        <v>-1.47502191416044E-4</v>
      </c>
      <c r="AV53" s="18"/>
      <c r="AW53" s="20">
        <v>5.5894175916801402E-4</v>
      </c>
      <c r="AX53" s="18"/>
      <c r="AY53" s="20">
        <v>2.6490657328326702E-4</v>
      </c>
      <c r="AZ53" s="18"/>
      <c r="BA53" s="20">
        <v>1.4357690242695199E-3</v>
      </c>
      <c r="BB53" s="18"/>
      <c r="BC53" s="20">
        <v>1.8555282472744101E-3</v>
      </c>
      <c r="BD53" s="18"/>
      <c r="BE53" s="20">
        <v>-3.9838023697205601E-4</v>
      </c>
      <c r="BF53" s="18"/>
      <c r="BG53" s="20"/>
      <c r="BH53" s="18"/>
    </row>
    <row r="54" spans="1:60" x14ac:dyDescent="0.2">
      <c r="A54" s="16">
        <v>1990</v>
      </c>
      <c r="B54" s="16">
        <v>3</v>
      </c>
      <c r="C54" s="20"/>
      <c r="D54" s="18"/>
      <c r="E54" s="20">
        <v>3.1009202089593801E-2</v>
      </c>
      <c r="F54" s="18"/>
      <c r="G54" s="20">
        <v>-1.4537601497052099E-3</v>
      </c>
      <c r="H54" s="18"/>
      <c r="I54" s="20">
        <v>-7.2667093350067003E-5</v>
      </c>
      <c r="J54" s="18"/>
      <c r="K54" s="20">
        <v>1.0186907570689199E-2</v>
      </c>
      <c r="L54" s="18"/>
      <c r="M54" s="20">
        <v>1.6938318681183301E-3</v>
      </c>
      <c r="N54" s="18"/>
      <c r="O54" s="20">
        <v>8.4683001666419205E-3</v>
      </c>
      <c r="P54" s="18"/>
      <c r="Q54" s="20">
        <v>1.4695633989409E-3</v>
      </c>
      <c r="R54" s="18"/>
      <c r="S54" s="20">
        <v>6.8423637517846703E-4</v>
      </c>
      <c r="T54" s="18"/>
      <c r="U54" s="20">
        <v>2.1085822195007799E-3</v>
      </c>
      <c r="V54" s="18"/>
      <c r="W54" s="20">
        <v>6.9398885359933399E-3</v>
      </c>
      <c r="X54" s="18"/>
      <c r="Y54" s="20">
        <v>2.7540321168550801E-4</v>
      </c>
      <c r="Z54" s="18"/>
      <c r="AA54" s="20">
        <v>-3.5174059127669201E-3</v>
      </c>
      <c r="AB54" s="18"/>
      <c r="AC54" s="20">
        <v>1.91923332137611E-3</v>
      </c>
      <c r="AD54" s="18"/>
      <c r="AE54" s="20">
        <v>7.1477475969883796E-4</v>
      </c>
      <c r="AF54" s="18"/>
      <c r="AG54" s="20">
        <v>-7.05183783049898E-4</v>
      </c>
      <c r="AH54" s="18"/>
      <c r="AI54" s="20">
        <v>-2.8549576608088299E-3</v>
      </c>
      <c r="AJ54" s="18"/>
      <c r="AK54" s="20">
        <v>2.5573931618765801E-3</v>
      </c>
      <c r="AL54" s="18"/>
      <c r="AM54" s="20">
        <v>4.0627938116125596E-3</v>
      </c>
      <c r="AN54" s="18"/>
      <c r="AO54" s="20">
        <v>3.8456051263092098E-3</v>
      </c>
      <c r="AP54" s="18"/>
      <c r="AQ54" s="20">
        <v>3.9374166329778802E-3</v>
      </c>
      <c r="AR54" s="18"/>
      <c r="AS54" s="20">
        <v>4.37016368202383E-4</v>
      </c>
      <c r="AT54" s="18"/>
      <c r="AU54" s="20">
        <v>-7.2949228082191896E-5</v>
      </c>
      <c r="AV54" s="18"/>
      <c r="AW54" s="20">
        <v>2.7366997826275399E-4</v>
      </c>
      <c r="AX54" s="18"/>
      <c r="AY54" s="20">
        <v>2.5001015994305701E-4</v>
      </c>
      <c r="AZ54" s="18"/>
      <c r="BA54" s="20">
        <v>1.31142163424986E-3</v>
      </c>
      <c r="BB54" s="18"/>
      <c r="BC54" s="20">
        <v>1.47653657130795E-3</v>
      </c>
      <c r="BD54" s="18"/>
      <c r="BE54" s="20">
        <v>-1.9105034662231501E-4</v>
      </c>
      <c r="BF54" s="18"/>
      <c r="BG54" s="20"/>
      <c r="BH54" s="18"/>
    </row>
    <row r="55" spans="1:60" x14ac:dyDescent="0.2">
      <c r="A55" s="16">
        <v>1990</v>
      </c>
      <c r="B55" s="16">
        <v>4</v>
      </c>
      <c r="C55" s="20"/>
      <c r="D55" s="18"/>
      <c r="E55" s="20">
        <v>1.6508117083388001E-2</v>
      </c>
      <c r="F55" s="18"/>
      <c r="G55" s="20">
        <v>-1.2258184028651499E-3</v>
      </c>
      <c r="H55" s="18"/>
      <c r="I55" s="20">
        <v>-4.0730511676970703E-5</v>
      </c>
      <c r="J55" s="18"/>
      <c r="K55" s="20">
        <v>5.7429077115087896E-3</v>
      </c>
      <c r="L55" s="18"/>
      <c r="M55" s="20">
        <v>1.36884836863523E-3</v>
      </c>
      <c r="N55" s="18"/>
      <c r="O55" s="20">
        <v>4.4225998755469797E-3</v>
      </c>
      <c r="P55" s="18"/>
      <c r="Q55" s="20">
        <v>1.52851676617215E-3</v>
      </c>
      <c r="R55" s="18"/>
      <c r="S55" s="20">
        <v>7.59018602521684E-4</v>
      </c>
      <c r="T55" s="18"/>
      <c r="U55" s="20">
        <v>1.63274997379317E-3</v>
      </c>
      <c r="V55" s="18"/>
      <c r="W55" s="20">
        <v>1.85230803295846E-5</v>
      </c>
      <c r="X55" s="18"/>
      <c r="Y55" s="20">
        <v>-1.7985077855395401E-4</v>
      </c>
      <c r="Z55" s="18"/>
      <c r="AA55" s="20">
        <v>-1.72981124355187E-3</v>
      </c>
      <c r="AB55" s="18"/>
      <c r="AC55" s="20">
        <v>1.4684084895263899E-3</v>
      </c>
      <c r="AD55" s="18"/>
      <c r="AE55" s="20">
        <v>8.72856644490778E-4</v>
      </c>
      <c r="AF55" s="18"/>
      <c r="AG55" s="20">
        <v>-1.57035301956201E-3</v>
      </c>
      <c r="AH55" s="18"/>
      <c r="AI55" s="20">
        <v>-3.40670012845638E-3</v>
      </c>
      <c r="AJ55" s="18"/>
      <c r="AK55" s="20">
        <v>2.2548322901400001E-3</v>
      </c>
      <c r="AL55" s="18"/>
      <c r="AM55" s="20">
        <v>2.64727517760134E-3</v>
      </c>
      <c r="AN55" s="18"/>
      <c r="AO55" s="20">
        <v>3.3185185108077098E-3</v>
      </c>
      <c r="AP55" s="18"/>
      <c r="AQ55" s="20">
        <v>2.6795672364516901E-3</v>
      </c>
      <c r="AR55" s="18"/>
      <c r="AS55" s="20">
        <v>3.7976115852575101E-4</v>
      </c>
      <c r="AT55" s="18"/>
      <c r="AU55" s="20">
        <v>1.12177153355192E-4</v>
      </c>
      <c r="AV55" s="18"/>
      <c r="AW55" s="20">
        <v>-4.4908214225731498E-4</v>
      </c>
      <c r="AX55" s="18"/>
      <c r="AY55" s="20">
        <v>1.80236951153875E-4</v>
      </c>
      <c r="AZ55" s="18"/>
      <c r="BA55" s="20">
        <v>6.3346143387814E-4</v>
      </c>
      <c r="BB55" s="18"/>
      <c r="BC55" s="20">
        <v>6.4783164450341502E-4</v>
      </c>
      <c r="BD55" s="18"/>
      <c r="BE55" s="20">
        <v>3.7293561292186697E-5</v>
      </c>
      <c r="BF55" s="18"/>
      <c r="BG55" s="20"/>
      <c r="BH55" s="18"/>
    </row>
    <row r="56" spans="1:60" x14ac:dyDescent="0.2">
      <c r="A56" s="16">
        <v>1991</v>
      </c>
      <c r="B56" s="16">
        <v>1</v>
      </c>
      <c r="C56" s="20"/>
      <c r="D56" s="18"/>
      <c r="E56" s="20">
        <v>-1.18168229087121E-3</v>
      </c>
      <c r="F56" s="18"/>
      <c r="G56" s="20">
        <v>-6.2781388554418503E-4</v>
      </c>
      <c r="H56" s="18"/>
      <c r="I56" s="20">
        <v>-8.2845326757279902E-6</v>
      </c>
      <c r="J56" s="18"/>
      <c r="K56" s="20">
        <v>1.0847148764042301E-3</v>
      </c>
      <c r="L56" s="18"/>
      <c r="M56" s="20">
        <v>1.1237262784672499E-3</v>
      </c>
      <c r="N56" s="18"/>
      <c r="O56" s="20">
        <v>-2.2216920953186002E-5</v>
      </c>
      <c r="P56" s="18"/>
      <c r="Q56" s="20">
        <v>1.1878223275794499E-3</v>
      </c>
      <c r="R56" s="18"/>
      <c r="S56" s="20">
        <v>9.0615097516914096E-4</v>
      </c>
      <c r="T56" s="18"/>
      <c r="U56" s="20">
        <v>-1.45503666438499E-3</v>
      </c>
      <c r="V56" s="18"/>
      <c r="W56" s="20">
        <v>-1.13583616590376E-2</v>
      </c>
      <c r="X56" s="18"/>
      <c r="Y56" s="20">
        <v>-1.9810795137199201E-3</v>
      </c>
      <c r="Z56" s="18"/>
      <c r="AA56" s="20">
        <v>2.3092010184424801E-3</v>
      </c>
      <c r="AB56" s="18"/>
      <c r="AC56" s="20">
        <v>1.2043838632966499E-3</v>
      </c>
      <c r="AD56" s="18"/>
      <c r="AE56" s="20">
        <v>1.05967157768303E-3</v>
      </c>
      <c r="AF56" s="18"/>
      <c r="AG56" s="20">
        <v>8.8472655795468003E-4</v>
      </c>
      <c r="AH56" s="18"/>
      <c r="AI56" s="20">
        <v>-6.9695614740608396E-4</v>
      </c>
      <c r="AJ56" s="18"/>
      <c r="AK56" s="20">
        <v>1.7980061855066101E-3</v>
      </c>
      <c r="AL56" s="18"/>
      <c r="AM56" s="20">
        <v>1.54474333575009E-3</v>
      </c>
      <c r="AN56" s="18"/>
      <c r="AO56" s="20">
        <v>2.0416808798623398E-3</v>
      </c>
      <c r="AP56" s="18"/>
      <c r="AQ56" s="20">
        <v>6.7015026686531598E-4</v>
      </c>
      <c r="AR56" s="18"/>
      <c r="AS56" s="20">
        <v>4.5864008809075497E-4</v>
      </c>
      <c r="AT56" s="18"/>
      <c r="AU56" s="20">
        <v>3.83682584058807E-4</v>
      </c>
      <c r="AV56" s="18"/>
      <c r="AW56" s="20">
        <v>-1.50150806921181E-3</v>
      </c>
      <c r="AX56" s="18"/>
      <c r="AY56" s="20">
        <v>7.4736178403835403E-5</v>
      </c>
      <c r="AZ56" s="18"/>
      <c r="BA56" s="20">
        <v>-9.31747985728524E-4</v>
      </c>
      <c r="BB56" s="18"/>
      <c r="BC56" s="20">
        <v>-2.9938690019401298E-4</v>
      </c>
      <c r="BD56" s="18"/>
      <c r="BE56" s="20">
        <v>-5.9490843442943503E-4</v>
      </c>
      <c r="BF56" s="18"/>
      <c r="BG56" s="20"/>
      <c r="BH56" s="18"/>
    </row>
    <row r="57" spans="1:60" x14ac:dyDescent="0.2">
      <c r="A57" s="16">
        <v>1991</v>
      </c>
      <c r="B57" s="16">
        <v>2</v>
      </c>
      <c r="C57" s="20"/>
      <c r="D57" s="18"/>
      <c r="E57" s="20">
        <v>-1.02951232336321E-2</v>
      </c>
      <c r="F57" s="18"/>
      <c r="G57" s="20">
        <v>-2.41449606019533E-4</v>
      </c>
      <c r="H57" s="18"/>
      <c r="I57" s="20">
        <v>2.5076697404571201E-5</v>
      </c>
      <c r="J57" s="18"/>
      <c r="K57" s="20">
        <v>2.6176765925295001E-3</v>
      </c>
      <c r="L57" s="18"/>
      <c r="M57" s="20">
        <v>1.47397287022816E-3</v>
      </c>
      <c r="N57" s="18"/>
      <c r="O57" s="20">
        <v>1.13523956372927E-3</v>
      </c>
      <c r="P57" s="18"/>
      <c r="Q57" s="20">
        <v>-2.5893351874471698E-4</v>
      </c>
      <c r="R57" s="18"/>
      <c r="S57" s="20">
        <v>9.8475491789082694E-4</v>
      </c>
      <c r="T57" s="18"/>
      <c r="U57" s="20">
        <v>-2.1374599620945802E-3</v>
      </c>
      <c r="V57" s="18"/>
      <c r="W57" s="20">
        <v>-1.8809599477251301E-2</v>
      </c>
      <c r="X57" s="18"/>
      <c r="Y57" s="20">
        <v>-4.1830339417846902E-3</v>
      </c>
      <c r="Z57" s="18"/>
      <c r="AA57" s="20">
        <v>4.4918664833829098E-3</v>
      </c>
      <c r="AB57" s="18"/>
      <c r="AC57" s="20">
        <v>-2.2399034750342002E-5</v>
      </c>
      <c r="AD57" s="18"/>
      <c r="AE57" s="20">
        <v>1.09351627603077E-3</v>
      </c>
      <c r="AF57" s="18"/>
      <c r="AG57" s="20">
        <v>3.1955391430928699E-3</v>
      </c>
      <c r="AH57" s="18"/>
      <c r="AI57" s="20">
        <v>1.4436524292080299E-3</v>
      </c>
      <c r="AJ57" s="18"/>
      <c r="AK57" s="20">
        <v>1.6382710670697299E-3</v>
      </c>
      <c r="AL57" s="18"/>
      <c r="AM57" s="20">
        <v>-1.8865154510058299E-4</v>
      </c>
      <c r="AN57" s="18"/>
      <c r="AO57" s="20">
        <v>1.0149192756261E-3</v>
      </c>
      <c r="AP57" s="18"/>
      <c r="AQ57" s="20">
        <v>-6.7872720691811096E-4</v>
      </c>
      <c r="AR57" s="18"/>
      <c r="AS57" s="20">
        <v>3.0445033716144601E-4</v>
      </c>
      <c r="AT57" s="18"/>
      <c r="AU57" s="20">
        <v>3.3361696735423199E-4</v>
      </c>
      <c r="AV57" s="18"/>
      <c r="AW57" s="20">
        <v>-1.9622779998538101E-3</v>
      </c>
      <c r="AX57" s="18"/>
      <c r="AY57" s="20">
        <v>1.64170420036221E-6</v>
      </c>
      <c r="AZ57" s="18"/>
      <c r="BA57" s="20">
        <v>-2.66222628720977E-3</v>
      </c>
      <c r="BB57" s="18"/>
      <c r="BC57" s="20">
        <v>-8.9807666436518595E-4</v>
      </c>
      <c r="BD57" s="18"/>
      <c r="BE57" s="20">
        <v>-1.78348431368474E-3</v>
      </c>
      <c r="BF57" s="18"/>
      <c r="BG57" s="20"/>
      <c r="BH57" s="18"/>
    </row>
    <row r="58" spans="1:60" x14ac:dyDescent="0.2">
      <c r="A58" s="16">
        <v>1991</v>
      </c>
      <c r="B58" s="16">
        <v>3</v>
      </c>
      <c r="C58" s="20"/>
      <c r="D58" s="18"/>
      <c r="E58" s="20">
        <v>-9.9547809400049592E-3</v>
      </c>
      <c r="F58" s="18"/>
      <c r="G58" s="20">
        <v>8.9369615007241806E-5</v>
      </c>
      <c r="H58" s="18"/>
      <c r="I58" s="20">
        <v>-7.7014131037407696E-6</v>
      </c>
      <c r="J58" s="18"/>
      <c r="K58" s="20">
        <v>1.7952620277912701E-3</v>
      </c>
      <c r="L58" s="18"/>
      <c r="M58" s="20">
        <v>2.0442637647246601E-3</v>
      </c>
      <c r="N58" s="18"/>
      <c r="O58" s="20">
        <v>-2.5283978384255497E-4</v>
      </c>
      <c r="P58" s="18"/>
      <c r="Q58" s="20">
        <v>4.8758496225601201E-4</v>
      </c>
      <c r="R58" s="18"/>
      <c r="S58" s="20">
        <v>1.05603977023612E-3</v>
      </c>
      <c r="T58" s="18"/>
      <c r="U58" s="20">
        <v>-3.4856649694189499E-3</v>
      </c>
      <c r="V58" s="18"/>
      <c r="W58" s="20">
        <v>-1.6137044111853901E-2</v>
      </c>
      <c r="X58" s="18"/>
      <c r="Y58" s="20">
        <v>-3.2656744223375101E-3</v>
      </c>
      <c r="Z58" s="18"/>
      <c r="AA58" s="20">
        <v>5.4086678289321597E-3</v>
      </c>
      <c r="AB58" s="18"/>
      <c r="AC58" s="20">
        <v>-8.25682421488239E-5</v>
      </c>
      <c r="AD58" s="18"/>
      <c r="AE58" s="20">
        <v>8.8146002984659496E-4</v>
      </c>
      <c r="AF58" s="18"/>
      <c r="AG58" s="20">
        <v>3.1660991350311398E-3</v>
      </c>
      <c r="AH58" s="18"/>
      <c r="AI58" s="20">
        <v>1.0783835998839E-3</v>
      </c>
      <c r="AJ58" s="18"/>
      <c r="AK58" s="20">
        <v>1.86959391444341E-3</v>
      </c>
      <c r="AL58" s="18"/>
      <c r="AM58" s="20">
        <v>-9.4181582346327905E-4</v>
      </c>
      <c r="AN58" s="18"/>
      <c r="AO58" s="20">
        <v>5.1863897655937295E-4</v>
      </c>
      <c r="AP58" s="18"/>
      <c r="AQ58" s="20">
        <v>-1.42728806085017E-3</v>
      </c>
      <c r="AR58" s="18"/>
      <c r="AS58" s="20">
        <v>3.8663414686133203E-4</v>
      </c>
      <c r="AT58" s="18"/>
      <c r="AU58" s="20">
        <v>2.3007659750731799E-4</v>
      </c>
      <c r="AV58" s="18"/>
      <c r="AW58" s="20">
        <v>-2.1670262606825201E-3</v>
      </c>
      <c r="AX58" s="18"/>
      <c r="AY58" s="20">
        <v>-3.94017751910034E-5</v>
      </c>
      <c r="AZ58" s="18"/>
      <c r="BA58" s="20">
        <v>-3.4010825185378799E-3</v>
      </c>
      <c r="BB58" s="18"/>
      <c r="BC58" s="20">
        <v>-1.1997456763402799E-3</v>
      </c>
      <c r="BD58" s="18"/>
      <c r="BE58" s="20">
        <v>-2.12276958836789E-3</v>
      </c>
      <c r="BF58" s="18"/>
      <c r="BG58" s="20"/>
      <c r="BH58" s="18"/>
    </row>
    <row r="59" spans="1:60" x14ac:dyDescent="0.2">
      <c r="A59" s="16">
        <v>1991</v>
      </c>
      <c r="B59" s="16">
        <v>4</v>
      </c>
      <c r="C59" s="20"/>
      <c r="D59" s="18"/>
      <c r="E59" s="20">
        <v>-5.3150672357435902E-3</v>
      </c>
      <c r="F59" s="18"/>
      <c r="G59" s="20">
        <v>2.9126280984943402E-4</v>
      </c>
      <c r="H59" s="18"/>
      <c r="I59" s="20">
        <v>-8.2402624883288494E-5</v>
      </c>
      <c r="J59" s="18"/>
      <c r="K59" s="20">
        <v>-4.9834970084077098E-4</v>
      </c>
      <c r="L59" s="18"/>
      <c r="M59" s="20">
        <v>2.2445812702653199E-3</v>
      </c>
      <c r="N59" s="18"/>
      <c r="O59" s="20">
        <v>-2.7419248287577202E-3</v>
      </c>
      <c r="P59" s="18"/>
      <c r="Q59" s="20">
        <v>6.4101721723230801E-4</v>
      </c>
      <c r="R59" s="18"/>
      <c r="S59" s="20">
        <v>1.04458221152836E-3</v>
      </c>
      <c r="T59" s="18"/>
      <c r="U59" s="20">
        <v>-2.2799636407569899E-3</v>
      </c>
      <c r="V59" s="18"/>
      <c r="W59" s="20">
        <v>-1.03885712996022E-2</v>
      </c>
      <c r="X59" s="18"/>
      <c r="Y59" s="20">
        <v>-1.4850669887051199E-3</v>
      </c>
      <c r="Z59" s="18"/>
      <c r="AA59" s="20">
        <v>4.74727237382668E-3</v>
      </c>
      <c r="AB59" s="18"/>
      <c r="AC59" s="20">
        <v>-2.0244865560341399E-4</v>
      </c>
      <c r="AD59" s="18"/>
      <c r="AE59" s="20">
        <v>3.6512800944091402E-4</v>
      </c>
      <c r="AF59" s="18"/>
      <c r="AG59" s="20">
        <v>4.9850166433323797E-3</v>
      </c>
      <c r="AH59" s="18"/>
      <c r="AI59" s="20">
        <v>2.2757913786097999E-3</v>
      </c>
      <c r="AJ59" s="18"/>
      <c r="AK59" s="20">
        <v>2.3629496895778701E-3</v>
      </c>
      <c r="AL59" s="18"/>
      <c r="AM59" s="20">
        <v>-8.26155022333112E-4</v>
      </c>
      <c r="AN59" s="18"/>
      <c r="AO59" s="20">
        <v>2.2032588813543599E-4</v>
      </c>
      <c r="AP59" s="18"/>
      <c r="AQ59" s="20">
        <v>-1.5014169460091399E-3</v>
      </c>
      <c r="AR59" s="18"/>
      <c r="AS59" s="20">
        <v>4.2899090896160702E-4</v>
      </c>
      <c r="AT59" s="18"/>
      <c r="AU59" s="20">
        <v>2.9719835705828501E-5</v>
      </c>
      <c r="AV59" s="18"/>
      <c r="AW59" s="20">
        <v>-1.9788764450487202E-3</v>
      </c>
      <c r="AX59" s="18"/>
      <c r="AY59" s="20">
        <v>-4.6764786318888597E-5</v>
      </c>
      <c r="AZ59" s="18"/>
      <c r="BA59" s="20">
        <v>-2.6756689870200299E-3</v>
      </c>
      <c r="BB59" s="18"/>
      <c r="BC59" s="20">
        <v>-1.1777960003447E-3</v>
      </c>
      <c r="BD59" s="18"/>
      <c r="BE59" s="20">
        <v>-1.70339218280889E-3</v>
      </c>
      <c r="BF59" s="18"/>
      <c r="BG59" s="20"/>
      <c r="BH59" s="18"/>
    </row>
    <row r="60" spans="1:60" x14ac:dyDescent="0.2">
      <c r="A60" s="16">
        <v>1992</v>
      </c>
      <c r="B60" s="16">
        <v>1</v>
      </c>
      <c r="C60" s="20"/>
      <c r="D60" s="18"/>
      <c r="E60" s="20">
        <v>2.6611580875172498E-3</v>
      </c>
      <c r="F60" s="18"/>
      <c r="G60" s="20">
        <v>7.7179268720453198E-4</v>
      </c>
      <c r="H60" s="18"/>
      <c r="I60" s="20">
        <v>-1.65451031571352E-4</v>
      </c>
      <c r="J60" s="18"/>
      <c r="K60" s="20">
        <v>3.62857338093452E-3</v>
      </c>
      <c r="L60" s="18"/>
      <c r="M60" s="20">
        <v>2.9619269263404398E-3</v>
      </c>
      <c r="N60" s="18"/>
      <c r="O60" s="20">
        <v>7.0525242509889095E-4</v>
      </c>
      <c r="P60" s="18"/>
      <c r="Q60" s="20">
        <v>1.2041282140840399E-4</v>
      </c>
      <c r="R60" s="18"/>
      <c r="S60" s="20">
        <v>1.0254024383082999E-3</v>
      </c>
      <c r="T60" s="18"/>
      <c r="U60" s="20">
        <v>-3.3428345596824599E-3</v>
      </c>
      <c r="V60" s="18"/>
      <c r="W60" s="20">
        <v>-3.1296563166737599E-3</v>
      </c>
      <c r="X60" s="18"/>
      <c r="Y60" s="20">
        <v>-1.08437716168521E-3</v>
      </c>
      <c r="Z60" s="18"/>
      <c r="AA60" s="20">
        <v>2.48411046396193E-3</v>
      </c>
      <c r="AB60" s="18"/>
      <c r="AC60" s="20">
        <v>-4.6736023023567601E-4</v>
      </c>
      <c r="AD60" s="18"/>
      <c r="AE60" s="20">
        <v>-1.04096647689116E-4</v>
      </c>
      <c r="AF60" s="18"/>
      <c r="AG60" s="20">
        <v>4.2095599249049598E-3</v>
      </c>
      <c r="AH60" s="18"/>
      <c r="AI60" s="20">
        <v>7.58192362551508E-4</v>
      </c>
      <c r="AJ60" s="18"/>
      <c r="AK60" s="20">
        <v>3.30917963856794E-3</v>
      </c>
      <c r="AL60" s="18"/>
      <c r="AM60" s="20">
        <v>-5.5067386980874999E-4</v>
      </c>
      <c r="AN60" s="18"/>
      <c r="AO60" s="20">
        <v>4.17231260801839E-4</v>
      </c>
      <c r="AP60" s="18"/>
      <c r="AQ60" s="20">
        <v>-9.67294196067709E-4</v>
      </c>
      <c r="AR60" s="18"/>
      <c r="AS60" s="20">
        <v>3.9044085647908902E-4</v>
      </c>
      <c r="AT60" s="18"/>
      <c r="AU60" s="20">
        <v>-3.1195582580317301E-4</v>
      </c>
      <c r="AV60" s="18"/>
      <c r="AW60" s="20">
        <v>-1.4576065260382099E-3</v>
      </c>
      <c r="AX60" s="18"/>
      <c r="AY60" s="20">
        <v>-2.92565425309988E-5</v>
      </c>
      <c r="AZ60" s="18"/>
      <c r="BA60" s="20">
        <v>-1.90943465668499E-3</v>
      </c>
      <c r="BB60" s="18"/>
      <c r="BC60" s="20">
        <v>-1.2435080090345699E-3</v>
      </c>
      <c r="BD60" s="18"/>
      <c r="BE60" s="20">
        <v>-5.7307158708660695E-4</v>
      </c>
      <c r="BF60" s="18"/>
      <c r="BG60" s="20"/>
      <c r="BH60" s="18"/>
    </row>
    <row r="61" spans="1:60" x14ac:dyDescent="0.2">
      <c r="A61" s="16">
        <v>1992</v>
      </c>
      <c r="B61" s="16">
        <v>2</v>
      </c>
      <c r="C61" s="20"/>
      <c r="D61" s="18"/>
      <c r="E61" s="20">
        <v>5.3178112470790703E-3</v>
      </c>
      <c r="F61" s="18"/>
      <c r="G61" s="20">
        <v>7.7853347436980904E-4</v>
      </c>
      <c r="H61" s="18"/>
      <c r="I61" s="20">
        <v>-2.6336437770130999E-4</v>
      </c>
      <c r="J61" s="18"/>
      <c r="K61" s="20">
        <v>1.46611074032824E-3</v>
      </c>
      <c r="L61" s="18"/>
      <c r="M61" s="20">
        <v>2.3937929558734299E-3</v>
      </c>
      <c r="N61" s="18"/>
      <c r="O61" s="20">
        <v>-9.4714669976225297E-4</v>
      </c>
      <c r="P61" s="18"/>
      <c r="Q61" s="20">
        <v>1.0863946409981099E-3</v>
      </c>
      <c r="R61" s="18"/>
      <c r="S61" s="20">
        <v>9.0272085709002697E-4</v>
      </c>
      <c r="T61" s="18"/>
      <c r="U61" s="20">
        <v>-2.87950452517485E-3</v>
      </c>
      <c r="V61" s="18"/>
      <c r="W61" s="20">
        <v>2.4909965277814302E-3</v>
      </c>
      <c r="X61" s="18"/>
      <c r="Y61" s="20">
        <v>7.0982011259344802E-4</v>
      </c>
      <c r="Z61" s="18"/>
      <c r="AA61" s="20">
        <v>1.17174211126703E-3</v>
      </c>
      <c r="AB61" s="18"/>
      <c r="AC61" s="20">
        <v>-4.9429751978053295E-4</v>
      </c>
      <c r="AD61" s="18"/>
      <c r="AE61" s="20">
        <v>-8.2494330970601796E-4</v>
      </c>
      <c r="AF61" s="18"/>
      <c r="AG61" s="20">
        <v>1.59763526164823E-3</v>
      </c>
      <c r="AH61" s="18"/>
      <c r="AI61" s="20">
        <v>-2.0048903660285001E-3</v>
      </c>
      <c r="AJ61" s="18"/>
      <c r="AK61" s="20">
        <v>3.6500074445093302E-3</v>
      </c>
      <c r="AL61" s="18"/>
      <c r="AM61" s="20">
        <v>4.8957036983393804E-4</v>
      </c>
      <c r="AN61" s="18"/>
      <c r="AO61" s="20">
        <v>4.4588212388040901E-4</v>
      </c>
      <c r="AP61" s="18"/>
      <c r="AQ61" s="20">
        <v>-3.54295526800941E-4</v>
      </c>
      <c r="AR61" s="18"/>
      <c r="AS61" s="20">
        <v>8.5383992632082203E-4</v>
      </c>
      <c r="AT61" s="18"/>
      <c r="AU61" s="20">
        <v>-2.6512167117461399E-4</v>
      </c>
      <c r="AV61" s="18"/>
      <c r="AW61" s="20">
        <v>-7.7178883107162301E-4</v>
      </c>
      <c r="AX61" s="18"/>
      <c r="AY61" s="20">
        <v>-1.8316567928394998E-5</v>
      </c>
      <c r="AZ61" s="18"/>
      <c r="BA61" s="20">
        <v>-8.9258059370337305E-4</v>
      </c>
      <c r="BB61" s="18"/>
      <c r="BC61" s="20">
        <v>-1.1267032597577001E-3</v>
      </c>
      <c r="BD61" s="18"/>
      <c r="BE61" s="20">
        <v>2.2319695311472801E-4</v>
      </c>
      <c r="BF61" s="18"/>
      <c r="BG61" s="20"/>
      <c r="BH61" s="18"/>
    </row>
    <row r="62" spans="1:60" x14ac:dyDescent="0.2">
      <c r="A62" s="16">
        <v>1992</v>
      </c>
      <c r="B62" s="16">
        <v>3</v>
      </c>
      <c r="C62" s="20"/>
      <c r="D62" s="18"/>
      <c r="E62" s="20">
        <v>7.8996371389018403E-4</v>
      </c>
      <c r="F62" s="18"/>
      <c r="G62" s="20">
        <v>5.2609646521842995E-4</v>
      </c>
      <c r="H62" s="18"/>
      <c r="I62" s="20">
        <v>-2.6271482509056699E-4</v>
      </c>
      <c r="J62" s="18"/>
      <c r="K62" s="20">
        <v>6.3648019954249096E-4</v>
      </c>
      <c r="L62" s="18"/>
      <c r="M62" s="20">
        <v>1.60059589546401E-3</v>
      </c>
      <c r="N62" s="18"/>
      <c r="O62" s="20">
        <v>-9.6901979026019203E-4</v>
      </c>
      <c r="P62" s="18"/>
      <c r="Q62" s="20">
        <v>1.24058046218841E-3</v>
      </c>
      <c r="R62" s="18"/>
      <c r="S62" s="20">
        <v>7.4523285140232003E-4</v>
      </c>
      <c r="T62" s="18"/>
      <c r="U62" s="20">
        <v>-3.6323457307193899E-3</v>
      </c>
      <c r="V62" s="18"/>
      <c r="W62" s="20">
        <v>4.0331074747673099E-3</v>
      </c>
      <c r="X62" s="18"/>
      <c r="Y62" s="20">
        <v>6.2737189807263703E-4</v>
      </c>
      <c r="Z62" s="18"/>
      <c r="AA62" s="20">
        <v>1.0767078121188901E-4</v>
      </c>
      <c r="AB62" s="18"/>
      <c r="AC62" s="20">
        <v>-1.1251445139518199E-3</v>
      </c>
      <c r="AD62" s="18"/>
      <c r="AE62" s="20">
        <v>-1.79996163082574E-3</v>
      </c>
      <c r="AF62" s="18"/>
      <c r="AG62" s="20">
        <v>2.8817640658080801E-3</v>
      </c>
      <c r="AH62" s="18"/>
      <c r="AI62" s="20">
        <v>-5.0769018588112504E-4</v>
      </c>
      <c r="AJ62" s="18"/>
      <c r="AK62" s="20">
        <v>3.6016992045361999E-3</v>
      </c>
      <c r="AL62" s="18"/>
      <c r="AM62" s="20">
        <v>-6.8330524359355596E-4</v>
      </c>
      <c r="AN62" s="18"/>
      <c r="AO62" s="20">
        <v>-1.57787369977229E-4</v>
      </c>
      <c r="AP62" s="18"/>
      <c r="AQ62" s="20">
        <v>2.8475911077169698E-4</v>
      </c>
      <c r="AR62" s="18"/>
      <c r="AS62" s="20">
        <v>-4.4269725850310101E-4</v>
      </c>
      <c r="AT62" s="18"/>
      <c r="AU62" s="20">
        <v>-6.9437055937164398E-4</v>
      </c>
      <c r="AV62" s="18"/>
      <c r="AW62" s="20">
        <v>-9.8654293505919997E-4</v>
      </c>
      <c r="AX62" s="18"/>
      <c r="AY62" s="20">
        <v>-1.0279893606396E-5</v>
      </c>
      <c r="AZ62" s="18"/>
      <c r="BA62" s="20">
        <v>-4.9302616091349805E-4</v>
      </c>
      <c r="BB62" s="18"/>
      <c r="BC62" s="20">
        <v>-1.2133512706616399E-3</v>
      </c>
      <c r="BD62" s="18"/>
      <c r="BE62" s="20">
        <v>7.52315217459325E-4</v>
      </c>
      <c r="BF62" s="18"/>
      <c r="BG62" s="20"/>
      <c r="BH62" s="18"/>
    </row>
    <row r="63" spans="1:60" x14ac:dyDescent="0.2">
      <c r="A63" s="16">
        <v>1992</v>
      </c>
      <c r="B63" s="16">
        <v>4</v>
      </c>
      <c r="C63" s="20"/>
      <c r="D63" s="18"/>
      <c r="E63" s="20">
        <v>-6.9391417126427003E-3</v>
      </c>
      <c r="F63" s="18"/>
      <c r="G63" s="20">
        <v>2.04697268694708E-4</v>
      </c>
      <c r="H63" s="18"/>
      <c r="I63" s="20">
        <v>-2.1962265180789999E-4</v>
      </c>
      <c r="J63" s="18"/>
      <c r="K63" s="20">
        <v>-4.9673731924049598E-3</v>
      </c>
      <c r="L63" s="18"/>
      <c r="M63" s="20">
        <v>1.11726930807898E-3</v>
      </c>
      <c r="N63" s="18"/>
      <c r="O63" s="20">
        <v>-6.0864901890397196E-3</v>
      </c>
      <c r="P63" s="18"/>
      <c r="Q63" s="20">
        <v>3.4350558699022E-6</v>
      </c>
      <c r="R63" s="18"/>
      <c r="S63" s="20">
        <v>4.7471347604391699E-4</v>
      </c>
      <c r="T63" s="18"/>
      <c r="U63" s="20">
        <v>7.5360969403294497E-4</v>
      </c>
      <c r="V63" s="18"/>
      <c r="W63" s="20">
        <v>-1.7089874100976201E-3</v>
      </c>
      <c r="X63" s="18"/>
      <c r="Y63" s="20">
        <v>-5.0778451721484599E-4</v>
      </c>
      <c r="Z63" s="18"/>
      <c r="AA63" s="20">
        <v>-4.6430921473660202E-4</v>
      </c>
      <c r="AB63" s="18"/>
      <c r="AC63" s="20">
        <v>-9.0660035889756198E-4</v>
      </c>
      <c r="AD63" s="18"/>
      <c r="AE63" s="20">
        <v>-2.38160597052876E-3</v>
      </c>
      <c r="AF63" s="18"/>
      <c r="AG63" s="20">
        <v>6.0666818862509797E-3</v>
      </c>
      <c r="AH63" s="18"/>
      <c r="AI63" s="20">
        <v>3.3801915566149701E-3</v>
      </c>
      <c r="AJ63" s="18"/>
      <c r="AK63" s="20">
        <v>3.0098126334645301E-3</v>
      </c>
      <c r="AL63" s="18"/>
      <c r="AM63" s="20">
        <v>-1.9346132964263301E-3</v>
      </c>
      <c r="AN63" s="18"/>
      <c r="AO63" s="20">
        <v>-8.1568218854976703E-4</v>
      </c>
      <c r="AP63" s="18"/>
      <c r="AQ63" s="20">
        <v>9.7718306781095494E-4</v>
      </c>
      <c r="AR63" s="18"/>
      <c r="AS63" s="20">
        <v>-4.56343883432695E-4</v>
      </c>
      <c r="AT63" s="18"/>
      <c r="AU63" s="20">
        <v>-5.8207141724134302E-4</v>
      </c>
      <c r="AV63" s="18"/>
      <c r="AW63" s="20">
        <v>-9.1861612460522005E-4</v>
      </c>
      <c r="AX63" s="18"/>
      <c r="AY63" s="20">
        <v>-4.99240019396608E-6</v>
      </c>
      <c r="AZ63" s="18"/>
      <c r="BA63" s="20">
        <v>-2.7437366787106098E-4</v>
      </c>
      <c r="BB63" s="18"/>
      <c r="BC63" s="20">
        <v>-1.09931270135089E-3</v>
      </c>
      <c r="BD63" s="18"/>
      <c r="BE63" s="20">
        <v>8.5611261867528702E-4</v>
      </c>
      <c r="BF63" s="18"/>
      <c r="BG63" s="20"/>
      <c r="BH63" s="18"/>
    </row>
    <row r="64" spans="1:60" x14ac:dyDescent="0.2">
      <c r="A64" s="16">
        <v>1993</v>
      </c>
      <c r="B64" s="16">
        <v>1</v>
      </c>
      <c r="C64" s="20"/>
      <c r="D64" s="18"/>
      <c r="E64" s="20">
        <v>-1.8858942567023401E-2</v>
      </c>
      <c r="F64" s="18"/>
      <c r="G64" s="20">
        <v>-4.0300419948677702E-4</v>
      </c>
      <c r="H64" s="18"/>
      <c r="I64" s="20">
        <v>-6.5024138360301101E-5</v>
      </c>
      <c r="J64" s="18"/>
      <c r="K64" s="20">
        <v>-6.3890111509542196E-3</v>
      </c>
      <c r="L64" s="18"/>
      <c r="M64" s="20">
        <v>6.9323876960113303E-4</v>
      </c>
      <c r="N64" s="18"/>
      <c r="O64" s="20">
        <v>-7.0767607706824203E-3</v>
      </c>
      <c r="P64" s="18"/>
      <c r="Q64" s="20">
        <v>2.6584692878368302E-4</v>
      </c>
      <c r="R64" s="18"/>
      <c r="S64" s="20">
        <v>2.0346262714037699E-4</v>
      </c>
      <c r="T64" s="18"/>
      <c r="U64" s="20">
        <v>-2.6517890563603902E-3</v>
      </c>
      <c r="V64" s="18"/>
      <c r="W64" s="20">
        <v>-6.6014747437040796E-3</v>
      </c>
      <c r="X64" s="18"/>
      <c r="Y64" s="20">
        <v>-1.43318335191633E-3</v>
      </c>
      <c r="Z64" s="18"/>
      <c r="AA64" s="20">
        <v>-8.4769339822454801E-4</v>
      </c>
      <c r="AB64" s="18"/>
      <c r="AC64" s="20">
        <v>-6.7427920742034605E-4</v>
      </c>
      <c r="AD64" s="18"/>
      <c r="AE64" s="20">
        <v>-2.9016754084648599E-3</v>
      </c>
      <c r="AF64" s="18"/>
      <c r="AG64" s="20">
        <v>4.7094747719247099E-3</v>
      </c>
      <c r="AH64" s="18"/>
      <c r="AI64" s="20">
        <v>2.4901382716227402E-3</v>
      </c>
      <c r="AJ64" s="18"/>
      <c r="AK64" s="20">
        <v>2.1503484420607299E-3</v>
      </c>
      <c r="AL64" s="18"/>
      <c r="AM64" s="20">
        <v>-2.8062257664526998E-3</v>
      </c>
      <c r="AN64" s="18"/>
      <c r="AO64" s="20">
        <v>-8.1103791601233805E-4</v>
      </c>
      <c r="AP64" s="18"/>
      <c r="AQ64" s="20">
        <v>1.73876151352808E-3</v>
      </c>
      <c r="AR64" s="18"/>
      <c r="AS64" s="20">
        <v>-4.5745030610325801E-4</v>
      </c>
      <c r="AT64" s="18"/>
      <c r="AU64" s="20">
        <v>-5.2795726119824501E-4</v>
      </c>
      <c r="AV64" s="18"/>
      <c r="AW64" s="20">
        <v>-8.2765607631751195E-4</v>
      </c>
      <c r="AX64" s="18"/>
      <c r="AY64" s="20">
        <v>2.6897209223899699E-6</v>
      </c>
      <c r="AZ64" s="18"/>
      <c r="BA64" s="20">
        <v>-2.8291740494394398E-4</v>
      </c>
      <c r="BB64" s="18"/>
      <c r="BC64" s="20">
        <v>-1.2011205098054799E-3</v>
      </c>
      <c r="BD64" s="18"/>
      <c r="BE64" s="20">
        <v>8.9882399651745296E-4</v>
      </c>
      <c r="BF64" s="18"/>
      <c r="BG64" s="20"/>
      <c r="BH64" s="18"/>
    </row>
    <row r="65" spans="1:60" x14ac:dyDescent="0.2">
      <c r="A65" s="16">
        <v>1993</v>
      </c>
      <c r="B65" s="16">
        <v>2</v>
      </c>
      <c r="C65" s="20"/>
      <c r="D65" s="18"/>
      <c r="E65" s="20">
        <v>-9.1618690174626906E-3</v>
      </c>
      <c r="F65" s="18"/>
      <c r="G65" s="20">
        <v>-6.5928836250211704E-4</v>
      </c>
      <c r="H65" s="18"/>
      <c r="I65" s="20">
        <v>-1.07146237696259E-5</v>
      </c>
      <c r="J65" s="18"/>
      <c r="K65" s="20">
        <v>-2.8290007991056999E-3</v>
      </c>
      <c r="L65" s="18"/>
      <c r="M65" s="20">
        <v>1.61679311681971E-3</v>
      </c>
      <c r="N65" s="18"/>
      <c r="O65" s="20">
        <v>-4.4519048133968902E-3</v>
      </c>
      <c r="P65" s="18"/>
      <c r="Q65" s="20">
        <v>-1.21853993223506E-4</v>
      </c>
      <c r="R65" s="18"/>
      <c r="S65" s="20">
        <v>-1.5633538423599801E-5</v>
      </c>
      <c r="T65" s="18"/>
      <c r="U65" s="20">
        <v>-2.19196830683996E-3</v>
      </c>
      <c r="V65" s="18"/>
      <c r="W65" s="20">
        <v>-6.7876376305435601E-3</v>
      </c>
      <c r="X65" s="18"/>
      <c r="Y65" s="20">
        <v>-1.45571287164755E-3</v>
      </c>
      <c r="Z65" s="18"/>
      <c r="AA65" s="20">
        <v>-1.2517699483602001E-3</v>
      </c>
      <c r="AB65" s="18"/>
      <c r="AC65" s="20">
        <v>-6.8909116927206096E-4</v>
      </c>
      <c r="AD65" s="18"/>
      <c r="AE65" s="20">
        <v>-2.3029906378872799E-3</v>
      </c>
      <c r="AF65" s="18"/>
      <c r="AG65" s="20">
        <v>6.9119144255537701E-3</v>
      </c>
      <c r="AH65" s="18"/>
      <c r="AI65" s="20">
        <v>5.59366402915274E-3</v>
      </c>
      <c r="AJ65" s="18"/>
      <c r="AK65" s="20">
        <v>1.4430382816893899E-3</v>
      </c>
      <c r="AL65" s="18"/>
      <c r="AM65" s="20">
        <v>5.5911056931921095E-4</v>
      </c>
      <c r="AN65" s="18"/>
      <c r="AO65" s="20">
        <v>-8.3845741356033902E-5</v>
      </c>
      <c r="AP65" s="18"/>
      <c r="AQ65" s="20">
        <v>1.56485860511036E-3</v>
      </c>
      <c r="AR65" s="18"/>
      <c r="AS65" s="20">
        <v>-3.1879693600562998E-4</v>
      </c>
      <c r="AT65" s="18"/>
      <c r="AU65" s="20">
        <v>-3.92023535007754E-4</v>
      </c>
      <c r="AV65" s="18"/>
      <c r="AW65" s="20">
        <v>-6.4843702927318801E-4</v>
      </c>
      <c r="AX65" s="18"/>
      <c r="AY65" s="20">
        <v>2.10466635425744E-5</v>
      </c>
      <c r="AZ65" s="18"/>
      <c r="BA65" s="20">
        <v>4.5693642977458801E-4</v>
      </c>
      <c r="BB65" s="18"/>
      <c r="BC65" s="20">
        <v>-3.8324175648414202E-4</v>
      </c>
      <c r="BD65" s="18"/>
      <c r="BE65" s="20">
        <v>8.5714528048342297E-4</v>
      </c>
      <c r="BF65" s="18"/>
      <c r="BG65" s="20"/>
      <c r="BH65" s="18"/>
    </row>
    <row r="66" spans="1:60" x14ac:dyDescent="0.2">
      <c r="A66" s="16">
        <v>1993</v>
      </c>
      <c r="B66" s="16">
        <v>3</v>
      </c>
      <c r="C66" s="20"/>
      <c r="D66" s="18"/>
      <c r="E66" s="20">
        <v>4.8508191315768103E-3</v>
      </c>
      <c r="F66" s="18"/>
      <c r="G66" s="20">
        <v>-8.48302033751579E-4</v>
      </c>
      <c r="H66" s="18"/>
      <c r="I66" s="20">
        <v>8.1112960978179504E-6</v>
      </c>
      <c r="J66" s="18"/>
      <c r="K66" s="20">
        <v>1.49586284844395E-3</v>
      </c>
      <c r="L66" s="18"/>
      <c r="M66" s="20">
        <v>2.40184039294448E-3</v>
      </c>
      <c r="N66" s="18"/>
      <c r="O66" s="20">
        <v>-9.1318131979355502E-4</v>
      </c>
      <c r="P66" s="18"/>
      <c r="Q66" s="20">
        <v>1.25004737733093E-3</v>
      </c>
      <c r="R66" s="18"/>
      <c r="S66" s="20">
        <v>2.7986786291773498E-4</v>
      </c>
      <c r="T66" s="18"/>
      <c r="U66" s="20">
        <v>-2.3037498592418399E-3</v>
      </c>
      <c r="V66" s="18"/>
      <c r="W66" s="20">
        <v>-3.4927742137467301E-3</v>
      </c>
      <c r="X66" s="18"/>
      <c r="Y66" s="20">
        <v>-4.1860474076249197E-4</v>
      </c>
      <c r="Z66" s="18"/>
      <c r="AA66" s="20">
        <v>-1.30861335217219E-3</v>
      </c>
      <c r="AB66" s="18"/>
      <c r="AC66" s="20">
        <v>-1.00103250087828E-3</v>
      </c>
      <c r="AD66" s="18"/>
      <c r="AE66" s="20">
        <v>-2.0595882768520602E-3</v>
      </c>
      <c r="AF66" s="18"/>
      <c r="AG66" s="20">
        <v>7.8418032902336302E-3</v>
      </c>
      <c r="AH66" s="18"/>
      <c r="AI66" s="20">
        <v>6.7667234188216099E-3</v>
      </c>
      <c r="AJ66" s="18"/>
      <c r="AK66" s="20">
        <v>9.3843261933152801E-4</v>
      </c>
      <c r="AL66" s="18"/>
      <c r="AM66" s="20">
        <v>2.99434825945567E-3</v>
      </c>
      <c r="AN66" s="18"/>
      <c r="AO66" s="20">
        <v>6.2434348094132005E-4</v>
      </c>
      <c r="AP66" s="18"/>
      <c r="AQ66" s="20">
        <v>5.9084399536492999E-4</v>
      </c>
      <c r="AR66" s="18"/>
      <c r="AS66" s="20">
        <v>1.3201419855584E-3</v>
      </c>
      <c r="AT66" s="18"/>
      <c r="AU66" s="20">
        <v>-1.36259240887572E-4</v>
      </c>
      <c r="AV66" s="18"/>
      <c r="AW66" s="20">
        <v>-4.5960935312115199E-4</v>
      </c>
      <c r="AX66" s="18"/>
      <c r="AY66" s="20">
        <v>4.6521569935727001E-5</v>
      </c>
      <c r="AZ66" s="18"/>
      <c r="BA66" s="20">
        <v>1.2461486969845099E-3</v>
      </c>
      <c r="BB66" s="18"/>
      <c r="BC66" s="20">
        <v>4.8525660611113398E-4</v>
      </c>
      <c r="BD66" s="18"/>
      <c r="BE66" s="20">
        <v>7.9697445069197895E-4</v>
      </c>
      <c r="BF66" s="18"/>
      <c r="BG66" s="20"/>
      <c r="BH66" s="18"/>
    </row>
    <row r="67" spans="1:60" x14ac:dyDescent="0.2">
      <c r="A67" s="16">
        <v>1993</v>
      </c>
      <c r="B67" s="16">
        <v>4</v>
      </c>
      <c r="C67" s="20"/>
      <c r="D67" s="18"/>
      <c r="E67" s="20">
        <v>1.43441838286278E-2</v>
      </c>
      <c r="F67" s="18"/>
      <c r="G67" s="20">
        <v>-1.0065891481067699E-3</v>
      </c>
      <c r="H67" s="18"/>
      <c r="I67" s="20">
        <v>-2.86148243622725E-5</v>
      </c>
      <c r="J67" s="18"/>
      <c r="K67" s="20">
        <v>7.3030548771225402E-3</v>
      </c>
      <c r="L67" s="18"/>
      <c r="M67" s="20">
        <v>3.2301615565432699E-3</v>
      </c>
      <c r="N67" s="18"/>
      <c r="O67" s="20">
        <v>4.0792262148133598E-3</v>
      </c>
      <c r="P67" s="18"/>
      <c r="Q67" s="20">
        <v>3.1090323059376401E-3</v>
      </c>
      <c r="R67" s="18"/>
      <c r="S67" s="20">
        <v>1.28554773080193E-4</v>
      </c>
      <c r="T67" s="18"/>
      <c r="U67" s="20">
        <v>-2.7538142758374797E-4</v>
      </c>
      <c r="V67" s="18"/>
      <c r="W67" s="20">
        <v>-5.50300635263059E-3</v>
      </c>
      <c r="X67" s="18"/>
      <c r="Y67" s="20">
        <v>-1.72478185425337E-3</v>
      </c>
      <c r="Z67" s="18"/>
      <c r="AA67" s="20">
        <v>-1.0506565993829301E-3</v>
      </c>
      <c r="AB67" s="18"/>
      <c r="AC67" s="20">
        <v>-1.03700282971534E-3</v>
      </c>
      <c r="AD67" s="18"/>
      <c r="AE67" s="20">
        <v>-1.44595251840255E-3</v>
      </c>
      <c r="AF67" s="18"/>
      <c r="AG67" s="20">
        <v>7.6204667345962096E-3</v>
      </c>
      <c r="AH67" s="18"/>
      <c r="AI67" s="20">
        <v>6.6262027952094802E-3</v>
      </c>
      <c r="AJ67" s="18"/>
      <c r="AK67" s="20">
        <v>5.2787609612600498E-4</v>
      </c>
      <c r="AL67" s="18"/>
      <c r="AM67" s="20">
        <v>5.4808657972345003E-3</v>
      </c>
      <c r="AN67" s="18"/>
      <c r="AO67" s="20">
        <v>1.84994850966236E-3</v>
      </c>
      <c r="AP67" s="18"/>
      <c r="AQ67" s="20">
        <v>-1.3171378928159699E-3</v>
      </c>
      <c r="AR67" s="18"/>
      <c r="AS67" s="20">
        <v>1.31328028055254E-3</v>
      </c>
      <c r="AT67" s="18"/>
      <c r="AU67" s="20">
        <v>5.4648601946667502E-5</v>
      </c>
      <c r="AV67" s="18"/>
      <c r="AW67" s="20">
        <v>-5.88316915582584E-4</v>
      </c>
      <c r="AX67" s="18"/>
      <c r="AY67" s="20">
        <v>7.6016900199733697E-5</v>
      </c>
      <c r="AZ67" s="18"/>
      <c r="BA67" s="20">
        <v>1.9292348332894599E-3</v>
      </c>
      <c r="BB67" s="18"/>
      <c r="BC67" s="20">
        <v>1.14040238933355E-3</v>
      </c>
      <c r="BD67" s="18"/>
      <c r="BE67" s="20">
        <v>8.8971373189932704E-4</v>
      </c>
      <c r="BF67" s="18"/>
      <c r="BG67" s="20"/>
      <c r="BH67" s="18"/>
    </row>
    <row r="68" spans="1:60" x14ac:dyDescent="0.2">
      <c r="A68" s="16">
        <v>1994</v>
      </c>
      <c r="B68" s="16">
        <v>1</v>
      </c>
      <c r="C68" s="20"/>
      <c r="D68" s="18"/>
      <c r="E68" s="20">
        <v>2.3996115350299298E-2</v>
      </c>
      <c r="F68" s="18"/>
      <c r="G68" s="20">
        <v>-1.24091443035347E-3</v>
      </c>
      <c r="H68" s="18"/>
      <c r="I68" s="20">
        <v>-8.8777323923664497E-5</v>
      </c>
      <c r="J68" s="18"/>
      <c r="K68" s="20">
        <v>8.9510623429545199E-3</v>
      </c>
      <c r="L68" s="18"/>
      <c r="M68" s="20">
        <v>4.6971488381360102E-3</v>
      </c>
      <c r="N68" s="18"/>
      <c r="O68" s="20">
        <v>4.3129025132034298E-3</v>
      </c>
      <c r="P68" s="18"/>
      <c r="Q68" s="20">
        <v>2.4748570074721301E-3</v>
      </c>
      <c r="R68" s="18"/>
      <c r="S68" s="20">
        <v>4.5771299824025497E-5</v>
      </c>
      <c r="T68" s="18"/>
      <c r="U68" s="20">
        <v>1.2676403140729901E-3</v>
      </c>
      <c r="V68" s="18"/>
      <c r="W68" s="20">
        <v>1.1913725033351301E-3</v>
      </c>
      <c r="X68" s="18"/>
      <c r="Y68" s="20">
        <v>5.0827323642796396E-4</v>
      </c>
      <c r="Z68" s="18"/>
      <c r="AA68" s="20">
        <v>-1.21020076866257E-3</v>
      </c>
      <c r="AB68" s="18"/>
      <c r="AC68" s="20">
        <v>-9.8208403113138397E-4</v>
      </c>
      <c r="AD68" s="18"/>
      <c r="AE68" s="20">
        <v>-1.2054923148632399E-3</v>
      </c>
      <c r="AF68" s="18"/>
      <c r="AG68" s="20">
        <v>8.9249432228349895E-3</v>
      </c>
      <c r="AH68" s="18"/>
      <c r="AI68" s="20">
        <v>7.6551316537750999E-3</v>
      </c>
      <c r="AJ68" s="18"/>
      <c r="AK68" s="20">
        <v>2.42075084780033E-4</v>
      </c>
      <c r="AL68" s="18"/>
      <c r="AM68" s="20">
        <v>7.4181009912527296E-3</v>
      </c>
      <c r="AN68" s="18"/>
      <c r="AO68" s="20">
        <v>2.3686171829237599E-3</v>
      </c>
      <c r="AP68" s="18"/>
      <c r="AQ68" s="20">
        <v>-4.2304013479218397E-3</v>
      </c>
      <c r="AR68" s="18"/>
      <c r="AS68" s="20">
        <v>1.62362299541376E-3</v>
      </c>
      <c r="AT68" s="18"/>
      <c r="AU68" s="20">
        <v>-1.8139937398957599E-4</v>
      </c>
      <c r="AV68" s="18"/>
      <c r="AW68" s="20">
        <v>-1.4597166138642301E-3</v>
      </c>
      <c r="AX68" s="18"/>
      <c r="AY68" s="20">
        <v>1.1593281368601301E-4</v>
      </c>
      <c r="AZ68" s="18"/>
      <c r="BA68" s="20">
        <v>3.2188944349781099E-3</v>
      </c>
      <c r="BB68" s="18"/>
      <c r="BC68" s="20">
        <v>2.0648824837708802E-3</v>
      </c>
      <c r="BD68" s="18"/>
      <c r="BE68" s="20">
        <v>9.1349780867066796E-4</v>
      </c>
      <c r="BF68" s="18"/>
      <c r="BG68" s="20"/>
      <c r="BH68" s="18"/>
    </row>
    <row r="69" spans="1:60" x14ac:dyDescent="0.2">
      <c r="A69" s="16">
        <v>1994</v>
      </c>
      <c r="B69" s="16">
        <v>2</v>
      </c>
      <c r="C69" s="20"/>
      <c r="D69" s="18"/>
      <c r="E69" s="20">
        <v>2.1457506023688602E-3</v>
      </c>
      <c r="F69" s="18"/>
      <c r="G69" s="20">
        <v>-1.1619173323699601E-3</v>
      </c>
      <c r="H69" s="18"/>
      <c r="I69" s="20">
        <v>-1.25705378212298E-4</v>
      </c>
      <c r="J69" s="18"/>
      <c r="K69" s="20">
        <v>5.9221279318691497E-3</v>
      </c>
      <c r="L69" s="18"/>
      <c r="M69" s="20">
        <v>3.7980280084139E-3</v>
      </c>
      <c r="N69" s="18"/>
      <c r="O69" s="20">
        <v>2.1552712120727802E-3</v>
      </c>
      <c r="P69" s="18"/>
      <c r="Q69" s="20">
        <v>4.49346060235926E-3</v>
      </c>
      <c r="R69" s="18"/>
      <c r="S69" s="20">
        <v>1.8164261037975101E-4</v>
      </c>
      <c r="T69" s="18"/>
      <c r="U69" s="20">
        <v>3.9290352123289799E-4</v>
      </c>
      <c r="V69" s="18"/>
      <c r="W69" s="20">
        <v>-5.3452274730566799E-3</v>
      </c>
      <c r="X69" s="18"/>
      <c r="Y69" s="20">
        <v>-1.9603884070520002E-3</v>
      </c>
      <c r="Z69" s="18"/>
      <c r="AA69" s="20">
        <v>-1.05672681838198E-3</v>
      </c>
      <c r="AB69" s="18"/>
      <c r="AC69" s="20">
        <v>-1.4813066993894599E-3</v>
      </c>
      <c r="AD69" s="18"/>
      <c r="AE69" s="20">
        <v>-1.3748402829767399E-3</v>
      </c>
      <c r="AF69" s="18"/>
      <c r="AG69" s="20">
        <v>2.18610138244306E-3</v>
      </c>
      <c r="AH69" s="18"/>
      <c r="AI69" s="20">
        <v>1.3763188427572399E-3</v>
      </c>
      <c r="AJ69" s="18"/>
      <c r="AK69" s="20">
        <v>3.2597157399028498E-4</v>
      </c>
      <c r="AL69" s="18"/>
      <c r="AM69" s="20">
        <v>4.96328176560002E-3</v>
      </c>
      <c r="AN69" s="18"/>
      <c r="AO69" s="20">
        <v>1.07874003816675E-3</v>
      </c>
      <c r="AP69" s="18"/>
      <c r="AQ69" s="20">
        <v>-5.3721911772470904E-3</v>
      </c>
      <c r="AR69" s="18"/>
      <c r="AS69" s="20">
        <v>1.18371471163023E-3</v>
      </c>
      <c r="AT69" s="18"/>
      <c r="AU69" s="20">
        <v>-2.5531616934052203E-4</v>
      </c>
      <c r="AV69" s="18"/>
      <c r="AW69" s="20">
        <v>-1.9018917483420801E-3</v>
      </c>
      <c r="AX69" s="18"/>
      <c r="AY69" s="20">
        <v>1.3029602454622401E-4</v>
      </c>
      <c r="AZ69" s="18"/>
      <c r="BA69" s="20">
        <v>2.17799838495079E-3</v>
      </c>
      <c r="BB69" s="18"/>
      <c r="BC69" s="20">
        <v>1.3269418829584901E-3</v>
      </c>
      <c r="BD69" s="18"/>
      <c r="BE69" s="20">
        <v>8.60503273140057E-4</v>
      </c>
      <c r="BF69" s="18"/>
      <c r="BG69" s="20"/>
      <c r="BH69" s="18"/>
    </row>
    <row r="70" spans="1:60" x14ac:dyDescent="0.2">
      <c r="A70" s="16">
        <v>1994</v>
      </c>
      <c r="B70" s="16">
        <v>3</v>
      </c>
      <c r="C70" s="20"/>
      <c r="D70" s="18"/>
      <c r="E70" s="20">
        <v>7.7492581315477902E-3</v>
      </c>
      <c r="F70" s="18"/>
      <c r="G70" s="20">
        <v>-9.3414753447377196E-4</v>
      </c>
      <c r="H70" s="18"/>
      <c r="I70" s="20">
        <v>-9.9222262940980193E-5</v>
      </c>
      <c r="J70" s="18"/>
      <c r="K70" s="20">
        <v>6.6286519964880303E-3</v>
      </c>
      <c r="L70" s="18"/>
      <c r="M70" s="20">
        <v>3.5421411599076799E-3</v>
      </c>
      <c r="N70" s="18"/>
      <c r="O70" s="20">
        <v>3.06958446506916E-3</v>
      </c>
      <c r="P70" s="18"/>
      <c r="Q70" s="20">
        <v>4.2589393417833202E-3</v>
      </c>
      <c r="R70" s="18"/>
      <c r="S70" s="20">
        <v>-4.6472238063461003E-4</v>
      </c>
      <c r="T70" s="18"/>
      <c r="U70" s="20">
        <v>1.1287854573401299E-3</v>
      </c>
      <c r="V70" s="18"/>
      <c r="W70" s="20">
        <v>-1.32233128219371E-3</v>
      </c>
      <c r="X70" s="18"/>
      <c r="Y70" s="20">
        <v>-1.3295905815229601E-3</v>
      </c>
      <c r="Z70" s="18"/>
      <c r="AA70" s="20">
        <v>-6.0379446241904701E-4</v>
      </c>
      <c r="AB70" s="18"/>
      <c r="AC70" s="20">
        <v>-1.4155258445436899E-3</v>
      </c>
      <c r="AD70" s="18"/>
      <c r="AE70" s="20">
        <v>-7.1712758308499502E-4</v>
      </c>
      <c r="AF70" s="18"/>
      <c r="AG70" s="20">
        <v>-5.8987683731433205E-4</v>
      </c>
      <c r="AH70" s="18"/>
      <c r="AI70" s="20">
        <v>-1.8038075167126999E-3</v>
      </c>
      <c r="AJ70" s="18"/>
      <c r="AK70" s="20">
        <v>7.94470204760985E-4</v>
      </c>
      <c r="AL70" s="18"/>
      <c r="AM70" s="20">
        <v>4.7336044042336697E-3</v>
      </c>
      <c r="AN70" s="18"/>
      <c r="AO70" s="20">
        <v>1.78145021799887E-3</v>
      </c>
      <c r="AP70" s="18"/>
      <c r="AQ70" s="20">
        <v>-5.2183855446860904E-3</v>
      </c>
      <c r="AR70" s="18"/>
      <c r="AS70" s="20">
        <v>2.4004693664903699E-3</v>
      </c>
      <c r="AT70" s="18"/>
      <c r="AU70" s="20">
        <v>-7.5742397870920395E-5</v>
      </c>
      <c r="AV70" s="18"/>
      <c r="AW70" s="20">
        <v>-1.9561241149342601E-3</v>
      </c>
      <c r="AX70" s="18"/>
      <c r="AY70" s="20">
        <v>1.2715643439930799E-4</v>
      </c>
      <c r="AZ70" s="18"/>
      <c r="BA70" s="20">
        <v>2.2465127337705899E-3</v>
      </c>
      <c r="BB70" s="18"/>
      <c r="BC70" s="20">
        <v>1.4454038033351901E-3</v>
      </c>
      <c r="BD70" s="18"/>
      <c r="BE70" s="20">
        <v>8.1455179482607003E-4</v>
      </c>
      <c r="BF70" s="18"/>
      <c r="BG70" s="20"/>
      <c r="BH70" s="18"/>
    </row>
    <row r="71" spans="1:60" x14ac:dyDescent="0.2">
      <c r="A71" s="16">
        <v>1994</v>
      </c>
      <c r="B71" s="16">
        <v>4</v>
      </c>
      <c r="C71" s="20"/>
      <c r="D71" s="18"/>
      <c r="E71" s="20">
        <v>8.30331720724173E-3</v>
      </c>
      <c r="F71" s="18"/>
      <c r="G71" s="20">
        <v>-4.9016776755328396E-4</v>
      </c>
      <c r="H71" s="18"/>
      <c r="I71" s="20">
        <v>3.4014196749469103E-5</v>
      </c>
      <c r="J71" s="18"/>
      <c r="K71" s="20">
        <v>6.4129520017478098E-3</v>
      </c>
      <c r="L71" s="18"/>
      <c r="M71" s="20">
        <v>3.6135132081307501E-3</v>
      </c>
      <c r="N71" s="18"/>
      <c r="O71" s="20">
        <v>2.74190855730101E-3</v>
      </c>
      <c r="P71" s="18"/>
      <c r="Q71" s="20">
        <v>2.1536358925300001E-3</v>
      </c>
      <c r="R71" s="18"/>
      <c r="S71" s="20">
        <v>-8.4642060234113697E-5</v>
      </c>
      <c r="T71" s="18"/>
      <c r="U71" s="20">
        <v>8.1142850920399201E-4</v>
      </c>
      <c r="V71" s="18"/>
      <c r="W71" s="20">
        <v>2.69512336248453E-3</v>
      </c>
      <c r="X71" s="18"/>
      <c r="Y71" s="20">
        <v>-6.1924412201950097E-4</v>
      </c>
      <c r="Z71" s="18"/>
      <c r="AA71" s="20">
        <v>-1.08314782281634E-4</v>
      </c>
      <c r="AB71" s="18"/>
      <c r="AC71" s="20">
        <v>-1.1155366210808999E-3</v>
      </c>
      <c r="AD71" s="18"/>
      <c r="AE71" s="20">
        <v>-8.5626932186710997E-5</v>
      </c>
      <c r="AF71" s="18"/>
      <c r="AG71" s="20">
        <v>-3.8595325300522301E-3</v>
      </c>
      <c r="AH71" s="18"/>
      <c r="AI71" s="20">
        <v>-5.8247759980643299E-3</v>
      </c>
      <c r="AJ71" s="18"/>
      <c r="AK71" s="20">
        <v>1.5680426275912901E-3</v>
      </c>
      <c r="AL71" s="18"/>
      <c r="AM71" s="20">
        <v>3.1057972283897498E-3</v>
      </c>
      <c r="AN71" s="18"/>
      <c r="AO71" s="20">
        <v>9.6539387288367598E-4</v>
      </c>
      <c r="AP71" s="18"/>
      <c r="AQ71" s="20">
        <v>-3.5112973174279698E-3</v>
      </c>
      <c r="AR71" s="18"/>
      <c r="AS71" s="20">
        <v>2.64015785224499E-3</v>
      </c>
      <c r="AT71" s="18"/>
      <c r="AU71" s="20">
        <v>-1.6711270973745001E-4</v>
      </c>
      <c r="AV71" s="18"/>
      <c r="AW71" s="20">
        <v>-1.53004261774576E-3</v>
      </c>
      <c r="AX71" s="18"/>
      <c r="AY71" s="20">
        <v>1.01568668026352E-4</v>
      </c>
      <c r="AZ71" s="18"/>
      <c r="BA71" s="20">
        <v>1.48474900790622E-3</v>
      </c>
      <c r="BB71" s="18"/>
      <c r="BC71" s="20">
        <v>1.1063733518090399E-3</v>
      </c>
      <c r="BD71" s="18"/>
      <c r="BE71" s="20">
        <v>4.8141678569252599E-4</v>
      </c>
      <c r="BF71" s="18"/>
      <c r="BG71" s="20"/>
      <c r="BH71" s="18"/>
    </row>
    <row r="72" spans="1:60" x14ac:dyDescent="0.2">
      <c r="A72" s="16">
        <v>1995</v>
      </c>
      <c r="B72" s="16">
        <v>1</v>
      </c>
      <c r="C72" s="20"/>
      <c r="D72" s="18"/>
      <c r="E72" s="20">
        <v>-2.6189032292353201E-3</v>
      </c>
      <c r="F72" s="18"/>
      <c r="G72" s="20">
        <v>2.5355565762506203E-4</v>
      </c>
      <c r="H72" s="18"/>
      <c r="I72" s="20">
        <v>1.5796976643177299E-4</v>
      </c>
      <c r="J72" s="18"/>
      <c r="K72" s="20">
        <v>-1.2620060400108601E-3</v>
      </c>
      <c r="L72" s="18"/>
      <c r="M72" s="20">
        <v>1.6043073148495901E-3</v>
      </c>
      <c r="N72" s="18"/>
      <c r="O72" s="20">
        <v>-2.8000093346167601E-3</v>
      </c>
      <c r="P72" s="18"/>
      <c r="Q72" s="20">
        <v>3.6355531478221201E-3</v>
      </c>
      <c r="R72" s="18"/>
      <c r="S72" s="20">
        <v>4.9739248490872302E-4</v>
      </c>
      <c r="T72" s="18"/>
      <c r="U72" s="20">
        <v>-5.4298800659583002E-3</v>
      </c>
      <c r="V72" s="18"/>
      <c r="W72" s="20">
        <v>3.0029302630511299E-3</v>
      </c>
      <c r="X72" s="18"/>
      <c r="Y72" s="20">
        <v>-4.0129367236856501E-4</v>
      </c>
      <c r="Z72" s="18"/>
      <c r="AA72" s="20">
        <v>3.47668487910448E-5</v>
      </c>
      <c r="AB72" s="18"/>
      <c r="AC72" s="20">
        <v>-1.3729724127116399E-3</v>
      </c>
      <c r="AD72" s="18"/>
      <c r="AE72" s="20">
        <v>2.0120940125964099E-3</v>
      </c>
      <c r="AF72" s="18"/>
      <c r="AG72" s="20">
        <v>-7.2968926605189496E-3</v>
      </c>
      <c r="AH72" s="18"/>
      <c r="AI72" s="20">
        <v>-9.6544710413022407E-3</v>
      </c>
      <c r="AJ72" s="18"/>
      <c r="AK72" s="20">
        <v>2.9731483456293E-3</v>
      </c>
      <c r="AL72" s="18"/>
      <c r="AM72" s="20">
        <v>-5.3026239381839699E-5</v>
      </c>
      <c r="AN72" s="18"/>
      <c r="AO72" s="20">
        <v>-2.1988756873725799E-4</v>
      </c>
      <c r="AP72" s="18"/>
      <c r="AQ72" s="20">
        <v>5.7904155326755804E-4</v>
      </c>
      <c r="AR72" s="18"/>
      <c r="AS72" s="20">
        <v>2.9748589601307101E-3</v>
      </c>
      <c r="AT72" s="18"/>
      <c r="AU72" s="20">
        <v>6.4398412574430202E-4</v>
      </c>
      <c r="AV72" s="18"/>
      <c r="AW72" s="20">
        <v>-4.7769550225000302E-4</v>
      </c>
      <c r="AX72" s="18"/>
      <c r="AY72" s="20">
        <v>3.6818497226694597E-5</v>
      </c>
      <c r="AZ72" s="18"/>
      <c r="BA72" s="20">
        <v>5.7332937572193699E-4</v>
      </c>
      <c r="BB72" s="18"/>
      <c r="BC72" s="20">
        <v>7.8784603768368699E-5</v>
      </c>
      <c r="BD72" s="18"/>
      <c r="BE72" s="20">
        <v>4.6829423480488399E-4</v>
      </c>
      <c r="BF72" s="18"/>
      <c r="BG72" s="20"/>
      <c r="BH72" s="18"/>
    </row>
    <row r="73" spans="1:60" x14ac:dyDescent="0.2">
      <c r="A73" s="16">
        <v>1995</v>
      </c>
      <c r="B73" s="16">
        <v>2</v>
      </c>
      <c r="C73" s="20"/>
      <c r="D73" s="18"/>
      <c r="E73" s="20">
        <v>1.14269511465324E-2</v>
      </c>
      <c r="F73" s="18"/>
      <c r="G73" s="20">
        <v>3.7141123736569799E-4</v>
      </c>
      <c r="H73" s="18"/>
      <c r="I73" s="20">
        <v>3.41402960761615E-4</v>
      </c>
      <c r="J73" s="18"/>
      <c r="K73" s="20">
        <v>6.9072050984015504E-4</v>
      </c>
      <c r="L73" s="18"/>
      <c r="M73" s="20">
        <v>2.86688767103824E-3</v>
      </c>
      <c r="N73" s="18"/>
      <c r="O73" s="20">
        <v>-2.14033811912916E-3</v>
      </c>
      <c r="P73" s="18"/>
      <c r="Q73" s="20">
        <v>1.8325121064441401E-3</v>
      </c>
      <c r="R73" s="18"/>
      <c r="S73" s="20">
        <v>7.1470546186103102E-4</v>
      </c>
      <c r="T73" s="18"/>
      <c r="U73" s="20">
        <v>-1.9771286596665101E-3</v>
      </c>
      <c r="V73" s="18"/>
      <c r="W73" s="20">
        <v>8.2699430647626693E-3</v>
      </c>
      <c r="X73" s="18"/>
      <c r="Y73" s="20">
        <v>1.2204846496256801E-3</v>
      </c>
      <c r="Z73" s="18"/>
      <c r="AA73" s="20">
        <v>-8.63035739254299E-4</v>
      </c>
      <c r="AB73" s="18"/>
      <c r="AC73" s="20">
        <v>-7.9426872613316097E-4</v>
      </c>
      <c r="AD73" s="18"/>
      <c r="AE73" s="20">
        <v>-1.1304032035861201E-3</v>
      </c>
      <c r="AF73" s="18"/>
      <c r="AG73" s="20">
        <v>-5.7138510007053605E-4</v>
      </c>
      <c r="AH73" s="18"/>
      <c r="AI73" s="20">
        <v>-3.4340488327978102E-3</v>
      </c>
      <c r="AJ73" s="18"/>
      <c r="AK73" s="20">
        <v>3.1446130037302701E-3</v>
      </c>
      <c r="AL73" s="18"/>
      <c r="AM73" s="20">
        <v>-3.4276250046560498E-4</v>
      </c>
      <c r="AN73" s="18"/>
      <c r="AO73" s="20">
        <v>2.8456226238867599E-5</v>
      </c>
      <c r="AP73" s="18"/>
      <c r="AQ73" s="20">
        <v>1.93954718252658E-3</v>
      </c>
      <c r="AR73" s="18"/>
      <c r="AS73" s="20">
        <v>2.5006245992095998E-3</v>
      </c>
      <c r="AT73" s="18"/>
      <c r="AU73" s="20">
        <v>7.5853503935165904E-4</v>
      </c>
      <c r="AV73" s="18"/>
      <c r="AW73" s="20">
        <v>-3.4611632087786702E-4</v>
      </c>
      <c r="AX73" s="18"/>
      <c r="AY73" s="20">
        <v>2.12175854198675E-5</v>
      </c>
      <c r="AZ73" s="18"/>
      <c r="BA73" s="20">
        <v>6.0210976824294602E-4</v>
      </c>
      <c r="BB73" s="18"/>
      <c r="BC73" s="20">
        <v>4.1987913611465298E-4</v>
      </c>
      <c r="BD73" s="18"/>
      <c r="BE73" s="20">
        <v>1.8123599743564601E-4</v>
      </c>
      <c r="BF73" s="18"/>
      <c r="BG73" s="20"/>
      <c r="BH73" s="18"/>
    </row>
    <row r="74" spans="1:60" x14ac:dyDescent="0.2">
      <c r="A74" s="16">
        <v>1995</v>
      </c>
      <c r="B74" s="16">
        <v>3</v>
      </c>
      <c r="C74" s="20"/>
      <c r="D74" s="18"/>
      <c r="E74" s="20">
        <v>6.03155376827134E-3</v>
      </c>
      <c r="F74" s="18"/>
      <c r="G74" s="20">
        <v>4.6192490829704002E-4</v>
      </c>
      <c r="H74" s="18"/>
      <c r="I74" s="20">
        <v>2.57441013015824E-4</v>
      </c>
      <c r="J74" s="18"/>
      <c r="K74" s="20">
        <v>-1.5456151928179001E-3</v>
      </c>
      <c r="L74" s="18"/>
      <c r="M74" s="20">
        <v>3.1694080435438498E-3</v>
      </c>
      <c r="N74" s="18"/>
      <c r="O74" s="20">
        <v>-4.7228763060085102E-3</v>
      </c>
      <c r="P74" s="18"/>
      <c r="Q74" s="20">
        <v>6.7250209860017501E-5</v>
      </c>
      <c r="R74" s="18"/>
      <c r="S74" s="20">
        <v>9.7328475297493104E-4</v>
      </c>
      <c r="T74" s="18"/>
      <c r="U74" s="20">
        <v>-5.4869841938228598E-4</v>
      </c>
      <c r="V74" s="18"/>
      <c r="W74" s="20">
        <v>3.2879870685030401E-3</v>
      </c>
      <c r="X74" s="18"/>
      <c r="Y74" s="20">
        <v>5.91448580556324E-4</v>
      </c>
      <c r="Z74" s="18"/>
      <c r="AA74" s="20">
        <v>-1.7989733663419901E-3</v>
      </c>
      <c r="AB74" s="18"/>
      <c r="AC74" s="20">
        <v>-1.55269844633719E-3</v>
      </c>
      <c r="AD74" s="18"/>
      <c r="AE74" s="20">
        <v>1.3831166045614801E-4</v>
      </c>
      <c r="AF74" s="18"/>
      <c r="AG74" s="20">
        <v>2.1341689193668302E-3</v>
      </c>
      <c r="AH74" s="18"/>
      <c r="AI74" s="20">
        <v>-5.4582725097487297E-4</v>
      </c>
      <c r="AJ74" s="18"/>
      <c r="AK74" s="20">
        <v>2.8397854902284499E-3</v>
      </c>
      <c r="AL74" s="18"/>
      <c r="AM74" s="20">
        <v>2.8152166998761001E-4</v>
      </c>
      <c r="AN74" s="18"/>
      <c r="AO74" s="20">
        <v>-8.5110974171263398E-4</v>
      </c>
      <c r="AP74" s="18"/>
      <c r="AQ74" s="20">
        <v>2.19257417245038E-3</v>
      </c>
      <c r="AR74" s="18"/>
      <c r="AS74" s="20">
        <v>1.7660532130703E-3</v>
      </c>
      <c r="AT74" s="18"/>
      <c r="AU74" s="20">
        <v>6.4230796024758896E-4</v>
      </c>
      <c r="AV74" s="18"/>
      <c r="AW74" s="20">
        <v>-1.1964499050371701E-4</v>
      </c>
      <c r="AX74" s="18"/>
      <c r="AY74" s="20">
        <v>1.3165494065451001E-6</v>
      </c>
      <c r="AZ74" s="18"/>
      <c r="BA74" s="20">
        <v>1.69108466023918E-4</v>
      </c>
      <c r="BB74" s="18"/>
      <c r="BC74" s="20">
        <v>2.2342093384761501E-4</v>
      </c>
      <c r="BD74" s="18"/>
      <c r="BE74" s="20">
        <v>-5.0785448572840299E-5</v>
      </c>
      <c r="BF74" s="18"/>
      <c r="BG74" s="20"/>
      <c r="BH74" s="18"/>
    </row>
    <row r="75" spans="1:60" x14ac:dyDescent="0.2">
      <c r="A75" s="16">
        <v>1995</v>
      </c>
      <c r="B75" s="16">
        <v>4</v>
      </c>
      <c r="C75" s="20"/>
      <c r="D75" s="18"/>
      <c r="E75" s="20">
        <v>2.9250258353347301E-3</v>
      </c>
      <c r="F75" s="18"/>
      <c r="G75" s="20">
        <v>4.0380571837967798E-4</v>
      </c>
      <c r="H75" s="18"/>
      <c r="I75" s="20">
        <v>9.2607783182487399E-5</v>
      </c>
      <c r="J75" s="18"/>
      <c r="K75" s="20">
        <v>-2.7613166559682001E-3</v>
      </c>
      <c r="L75" s="18"/>
      <c r="M75" s="20">
        <v>1.3970088135341701E-3</v>
      </c>
      <c r="N75" s="18"/>
      <c r="O75" s="20">
        <v>-4.2534156968800797E-3</v>
      </c>
      <c r="P75" s="18"/>
      <c r="Q75" s="20">
        <v>-1.5604272329407999E-4</v>
      </c>
      <c r="R75" s="18"/>
      <c r="S75" s="20">
        <v>6.9642331783205098E-4</v>
      </c>
      <c r="T75" s="18"/>
      <c r="U75" s="20">
        <v>-1.48066063626795E-3</v>
      </c>
      <c r="V75" s="18"/>
      <c r="W75" s="20">
        <v>-4.7567702688930801E-3</v>
      </c>
      <c r="X75" s="18"/>
      <c r="Y75" s="20">
        <v>-3.0867498291152302E-3</v>
      </c>
      <c r="Z75" s="18"/>
      <c r="AA75" s="20">
        <v>1.1918277083075701E-3</v>
      </c>
      <c r="AB75" s="18"/>
      <c r="AC75" s="20">
        <v>-7.3967294778117605E-4</v>
      </c>
      <c r="AD75" s="18"/>
      <c r="AE75" s="20">
        <v>4.2520246547598003E-3</v>
      </c>
      <c r="AF75" s="18"/>
      <c r="AG75" s="20">
        <v>2.37451991527711E-3</v>
      </c>
      <c r="AH75" s="18"/>
      <c r="AI75" s="20">
        <v>4.7649669764989502E-4</v>
      </c>
      <c r="AJ75" s="18"/>
      <c r="AK75" s="20">
        <v>2.0452842536651198E-3</v>
      </c>
      <c r="AL75" s="18"/>
      <c r="AM75" s="20">
        <v>8.8049699983602401E-4</v>
      </c>
      <c r="AN75" s="18"/>
      <c r="AO75" s="20">
        <v>-9.5406802681366097E-4</v>
      </c>
      <c r="AP75" s="18"/>
      <c r="AQ75" s="20">
        <v>1.4519355540426901E-3</v>
      </c>
      <c r="AR75" s="18"/>
      <c r="AS75" s="20">
        <v>1.58095675801477E-3</v>
      </c>
      <c r="AT75" s="18"/>
      <c r="AU75" s="20">
        <v>5.6489715707658001E-4</v>
      </c>
      <c r="AV75" s="18"/>
      <c r="AW75" s="20">
        <v>-9.8106244350538297E-5</v>
      </c>
      <c r="AX75" s="18"/>
      <c r="AY75" s="20">
        <v>-3.9548073629882602E-5</v>
      </c>
      <c r="AZ75" s="18"/>
      <c r="BA75" s="20">
        <v>2.34800044313128E-4</v>
      </c>
      <c r="BB75" s="18"/>
      <c r="BC75" s="20">
        <v>5.6766109945617703E-4</v>
      </c>
      <c r="BD75" s="18"/>
      <c r="BE75" s="20">
        <v>-3.8447916764051298E-4</v>
      </c>
      <c r="BF75" s="18"/>
      <c r="BG75" s="20"/>
      <c r="BH75" s="18"/>
    </row>
    <row r="76" spans="1:60" x14ac:dyDescent="0.2">
      <c r="A76" s="16">
        <v>1996</v>
      </c>
      <c r="B76" s="16">
        <v>1</v>
      </c>
      <c r="C76" s="20"/>
      <c r="D76" s="18"/>
      <c r="E76" s="20">
        <v>1.2153338655911399E-2</v>
      </c>
      <c r="F76" s="18"/>
      <c r="G76" s="20">
        <v>-4.2936563346894798E-5</v>
      </c>
      <c r="H76" s="18"/>
      <c r="I76" s="20">
        <v>-1.66001142140025E-4</v>
      </c>
      <c r="J76" s="18"/>
      <c r="K76" s="20">
        <v>2.3499024069902098E-3</v>
      </c>
      <c r="L76" s="18"/>
      <c r="M76" s="20">
        <v>2.14445715485009E-3</v>
      </c>
      <c r="N76" s="18"/>
      <c r="O76" s="20">
        <v>2.0620013989962801E-4</v>
      </c>
      <c r="P76" s="18"/>
      <c r="Q76" s="20">
        <v>-1.6363731503181501E-3</v>
      </c>
      <c r="R76" s="18"/>
      <c r="S76" s="20">
        <v>-9.8334350843192996E-5</v>
      </c>
      <c r="T76" s="18"/>
      <c r="U76" s="20">
        <v>-1.2700384931997901E-3</v>
      </c>
      <c r="V76" s="18"/>
      <c r="W76" s="20">
        <v>-5.8366933922036901E-4</v>
      </c>
      <c r="X76" s="18"/>
      <c r="Y76" s="20">
        <v>-4.1863225590544798E-4</v>
      </c>
      <c r="Z76" s="18"/>
      <c r="AA76" s="20">
        <v>1.54064711907357E-3</v>
      </c>
      <c r="AB76" s="18"/>
      <c r="AC76" s="20">
        <v>-1.4529406836637001E-3</v>
      </c>
      <c r="AD76" s="18"/>
      <c r="AE76" s="20">
        <v>9.53605939750147E-4</v>
      </c>
      <c r="AF76" s="18"/>
      <c r="AG76" s="20">
        <v>7.4983646346137101E-3</v>
      </c>
      <c r="AH76" s="18"/>
      <c r="AI76" s="20">
        <v>6.3033818507839696E-3</v>
      </c>
      <c r="AJ76" s="18"/>
      <c r="AK76" s="20">
        <v>6.4581273396522698E-4</v>
      </c>
      <c r="AL76" s="18"/>
      <c r="AM76" s="20">
        <v>3.8467722374160998E-3</v>
      </c>
      <c r="AN76" s="18"/>
      <c r="AO76" s="20">
        <v>-1.57731076075812E-4</v>
      </c>
      <c r="AP76" s="18"/>
      <c r="AQ76" s="20">
        <v>1.1230310479001E-4</v>
      </c>
      <c r="AR76" s="18"/>
      <c r="AS76" s="20">
        <v>1.13181905539398E-3</v>
      </c>
      <c r="AT76" s="18"/>
      <c r="AU76" s="20">
        <v>3.4369662128110501E-4</v>
      </c>
      <c r="AV76" s="18"/>
      <c r="AW76" s="20">
        <v>-4.9779232239950395E-4</v>
      </c>
      <c r="AX76" s="18"/>
      <c r="AY76" s="20">
        <v>-7.8411494186236196E-5</v>
      </c>
      <c r="AZ76" s="18"/>
      <c r="BA76" s="20">
        <v>8.1377515668366505E-4</v>
      </c>
      <c r="BB76" s="18"/>
      <c r="BC76" s="20">
        <v>1.46603722756866E-3</v>
      </c>
      <c r="BD76" s="18"/>
      <c r="BE76" s="20">
        <v>-7.0093673594156505E-4</v>
      </c>
      <c r="BF76" s="18"/>
      <c r="BG76" s="20"/>
      <c r="BH76" s="18"/>
    </row>
    <row r="77" spans="1:60" x14ac:dyDescent="0.2">
      <c r="A77" s="16">
        <v>1996</v>
      </c>
      <c r="B77" s="16">
        <v>2</v>
      </c>
      <c r="C77" s="20"/>
      <c r="D77" s="18"/>
      <c r="E77" s="20">
        <v>5.00332007571352E-3</v>
      </c>
      <c r="F77" s="18"/>
      <c r="G77" s="20">
        <v>9.3393443442052492E-6</v>
      </c>
      <c r="H77" s="18"/>
      <c r="I77" s="20">
        <v>-1.73123488696169E-4</v>
      </c>
      <c r="J77" s="18"/>
      <c r="K77" s="20">
        <v>1.4660797512933499E-3</v>
      </c>
      <c r="L77" s="18"/>
      <c r="M77" s="20">
        <v>8.4509938167216195E-4</v>
      </c>
      <c r="N77" s="18"/>
      <c r="O77" s="20">
        <v>6.4096451738910795E-4</v>
      </c>
      <c r="P77" s="18"/>
      <c r="Q77" s="20">
        <v>-1.9125845105576499E-3</v>
      </c>
      <c r="R77" s="18"/>
      <c r="S77" s="20">
        <v>-5.6043628690855799E-4</v>
      </c>
      <c r="T77" s="18"/>
      <c r="U77" s="20">
        <v>-2.25283164851064E-3</v>
      </c>
      <c r="V77" s="18"/>
      <c r="W77" s="20">
        <v>-4.2729827291334401E-3</v>
      </c>
      <c r="X77" s="18"/>
      <c r="Y77" s="20">
        <v>-1.69266820545692E-3</v>
      </c>
      <c r="Z77" s="18"/>
      <c r="AA77" s="20">
        <v>1.32017771583733E-3</v>
      </c>
      <c r="AB77" s="18"/>
      <c r="AC77" s="20">
        <v>-3.0835952067398398E-4</v>
      </c>
      <c r="AD77" s="18"/>
      <c r="AE77" s="20">
        <v>6.3963676616962499E-4</v>
      </c>
      <c r="AF77" s="18"/>
      <c r="AG77" s="20">
        <v>5.5175088255132896E-3</v>
      </c>
      <c r="AH77" s="18"/>
      <c r="AI77" s="20">
        <v>5.1345050436159096E-3</v>
      </c>
      <c r="AJ77" s="18"/>
      <c r="AK77" s="20">
        <v>1.6924035555244699E-4</v>
      </c>
      <c r="AL77" s="18"/>
      <c r="AM77" s="20">
        <v>3.81330081749227E-3</v>
      </c>
      <c r="AN77" s="18"/>
      <c r="AO77" s="20">
        <v>4.9331687560333699E-5</v>
      </c>
      <c r="AP77" s="18"/>
      <c r="AQ77" s="20">
        <v>1.7254397493495801E-4</v>
      </c>
      <c r="AR77" s="18"/>
      <c r="AS77" s="20">
        <v>1.20266244157109E-3</v>
      </c>
      <c r="AT77" s="18"/>
      <c r="AU77" s="20">
        <v>9.2220728000750305E-4</v>
      </c>
      <c r="AV77" s="18"/>
      <c r="AW77" s="20">
        <v>-4.9817868615548502E-4</v>
      </c>
      <c r="AX77" s="18"/>
      <c r="AY77" s="20">
        <v>-1.05045382040654E-4</v>
      </c>
      <c r="AZ77" s="18"/>
      <c r="BA77" s="20">
        <v>8.4665515001339795E-4</v>
      </c>
      <c r="BB77" s="18"/>
      <c r="BC77" s="20">
        <v>1.43092924623427E-3</v>
      </c>
      <c r="BD77" s="18"/>
      <c r="BE77" s="20">
        <v>-5.9289357834622003E-4</v>
      </c>
      <c r="BF77" s="18"/>
      <c r="BG77" s="20"/>
      <c r="BH77" s="18"/>
    </row>
    <row r="78" spans="1:60" x14ac:dyDescent="0.2">
      <c r="A78" s="16">
        <v>1996</v>
      </c>
      <c r="B78" s="16">
        <v>3</v>
      </c>
      <c r="C78" s="20"/>
      <c r="D78" s="18"/>
      <c r="E78" s="20">
        <v>-2.6922615751561099E-3</v>
      </c>
      <c r="F78" s="18"/>
      <c r="G78" s="20">
        <v>-2.4414534385443499E-5</v>
      </c>
      <c r="H78" s="18"/>
      <c r="I78" s="20">
        <v>-1.2481295255316999E-4</v>
      </c>
      <c r="J78" s="18"/>
      <c r="K78" s="20">
        <v>1.1972995684078E-3</v>
      </c>
      <c r="L78" s="18"/>
      <c r="M78" s="20">
        <v>-6.3366254141140898E-4</v>
      </c>
      <c r="N78" s="18"/>
      <c r="O78" s="20">
        <v>1.93017045582494E-3</v>
      </c>
      <c r="P78" s="18"/>
      <c r="Q78" s="20">
        <v>-2.9415460880853001E-3</v>
      </c>
      <c r="R78" s="18"/>
      <c r="S78" s="20">
        <v>-6.2165167179049105E-4</v>
      </c>
      <c r="T78" s="18"/>
      <c r="U78" s="20">
        <v>-5.2048448172604799E-3</v>
      </c>
      <c r="V78" s="18"/>
      <c r="W78" s="20">
        <v>-5.3669441915759602E-3</v>
      </c>
      <c r="X78" s="18"/>
      <c r="Y78" s="20">
        <v>-2.0695271760453101E-3</v>
      </c>
      <c r="Z78" s="18"/>
      <c r="AA78" s="20">
        <v>1.1815324949239099E-3</v>
      </c>
      <c r="AB78" s="18"/>
      <c r="AC78" s="20">
        <v>4.7250555242911202E-4</v>
      </c>
      <c r="AD78" s="18"/>
      <c r="AE78" s="20">
        <v>-2.6319534632047802E-4</v>
      </c>
      <c r="AF78" s="18"/>
      <c r="AG78" s="20">
        <v>4.5434747447685902E-3</v>
      </c>
      <c r="AH78" s="18"/>
      <c r="AI78" s="20">
        <v>4.2649136980989896E-3</v>
      </c>
      <c r="AJ78" s="18"/>
      <c r="AK78" s="20">
        <v>1.2468466141702701E-4</v>
      </c>
      <c r="AL78" s="18"/>
      <c r="AM78" s="20">
        <v>2.5969181015895E-3</v>
      </c>
      <c r="AN78" s="18"/>
      <c r="AO78" s="20">
        <v>-1.1071515579908599E-4</v>
      </c>
      <c r="AP78" s="18"/>
      <c r="AQ78" s="20">
        <v>1.1234108989625599E-4</v>
      </c>
      <c r="AR78" s="18"/>
      <c r="AS78" s="20">
        <v>6.5401494731251496E-4</v>
      </c>
      <c r="AT78" s="18"/>
      <c r="AU78" s="20">
        <v>1.82626527281144E-3</v>
      </c>
      <c r="AV78" s="18"/>
      <c r="AW78" s="20">
        <v>-5.1286504928147597E-4</v>
      </c>
      <c r="AX78" s="18"/>
      <c r="AY78" s="20">
        <v>-1.0832475194737299E-4</v>
      </c>
      <c r="AZ78" s="18"/>
      <c r="BA78" s="20">
        <v>1.1978832158490199E-3</v>
      </c>
      <c r="BB78" s="18"/>
      <c r="BC78" s="20">
        <v>1.43672277803996E-3</v>
      </c>
      <c r="BD78" s="18"/>
      <c r="BE78" s="20">
        <v>-3.0172092203977001E-4</v>
      </c>
      <c r="BF78" s="18"/>
      <c r="BG78" s="20"/>
      <c r="BH78" s="18"/>
    </row>
    <row r="79" spans="1:60" x14ac:dyDescent="0.2">
      <c r="A79" s="16">
        <v>1996</v>
      </c>
      <c r="B79" s="16">
        <v>4</v>
      </c>
      <c r="C79" s="20"/>
      <c r="D79" s="18"/>
      <c r="E79" s="20">
        <v>3.2153809240228902E-3</v>
      </c>
      <c r="F79" s="18"/>
      <c r="G79" s="20">
        <v>-5.9243559400527699E-5</v>
      </c>
      <c r="H79" s="18"/>
      <c r="I79" s="20">
        <v>-5.8714398973215597E-5</v>
      </c>
      <c r="J79" s="18"/>
      <c r="K79" s="20">
        <v>1.5870652328921801E-3</v>
      </c>
      <c r="L79" s="18"/>
      <c r="M79" s="20">
        <v>-5.2804239999046701E-4</v>
      </c>
      <c r="N79" s="18"/>
      <c r="O79" s="20">
        <v>2.0340804110615799E-3</v>
      </c>
      <c r="P79" s="18"/>
      <c r="Q79" s="20">
        <v>-1.2395516780329501E-3</v>
      </c>
      <c r="R79" s="18"/>
      <c r="S79" s="20">
        <v>-4.9083373070484004E-4</v>
      </c>
      <c r="T79" s="18"/>
      <c r="U79" s="20">
        <v>-6.28306006595421E-3</v>
      </c>
      <c r="V79" s="18"/>
      <c r="W79" s="20">
        <v>-3.2303836024069198E-4</v>
      </c>
      <c r="X79" s="18"/>
      <c r="Y79" s="20">
        <v>-2.6173833305222498E-4</v>
      </c>
      <c r="Z79" s="18"/>
      <c r="AA79" s="20">
        <v>-6.9881206187360503E-4</v>
      </c>
      <c r="AB79" s="18"/>
      <c r="AC79" s="20">
        <v>1.4832004078786901E-3</v>
      </c>
      <c r="AD79" s="18"/>
      <c r="AE79" s="20">
        <v>-7.14179533623361E-4</v>
      </c>
      <c r="AF79" s="18"/>
      <c r="AG79" s="20">
        <v>8.0640905713084202E-3</v>
      </c>
      <c r="AH79" s="18"/>
      <c r="AI79" s="20">
        <v>7.3482091657035998E-3</v>
      </c>
      <c r="AJ79" s="18"/>
      <c r="AK79" s="20">
        <v>4.7815430148417302E-4</v>
      </c>
      <c r="AL79" s="18"/>
      <c r="AM79" s="20">
        <v>2.0624830155903098E-3</v>
      </c>
      <c r="AN79" s="18"/>
      <c r="AO79" s="20">
        <v>-1.12831131900381E-4</v>
      </c>
      <c r="AP79" s="18"/>
      <c r="AQ79" s="20">
        <v>-2.87153601825438E-5</v>
      </c>
      <c r="AR79" s="18"/>
      <c r="AS79" s="20">
        <v>6.2942616082559903E-4</v>
      </c>
      <c r="AT79" s="18"/>
      <c r="AU79" s="20">
        <v>4.33966740291194E-4</v>
      </c>
      <c r="AV79" s="18"/>
      <c r="AW79" s="20">
        <v>-4.1488265402488198E-4</v>
      </c>
      <c r="AX79" s="18"/>
      <c r="AY79" s="20">
        <v>-9.5149112006895505E-5</v>
      </c>
      <c r="AZ79" s="18"/>
      <c r="BA79" s="20">
        <v>1.9166568966044199E-3</v>
      </c>
      <c r="BB79" s="18"/>
      <c r="BC79" s="20">
        <v>1.9019829678444001E-3</v>
      </c>
      <c r="BD79" s="18"/>
      <c r="BE79" s="20">
        <v>1.86765615572665E-4</v>
      </c>
      <c r="BF79" s="18"/>
      <c r="BG79" s="20"/>
      <c r="BH79" s="18"/>
    </row>
    <row r="80" spans="1:60" x14ac:dyDescent="0.2">
      <c r="A80" s="16">
        <v>1997</v>
      </c>
      <c r="B80" s="16">
        <v>1</v>
      </c>
      <c r="C80" s="20"/>
      <c r="D80" s="18"/>
      <c r="E80" s="20">
        <v>-4.7235488002103096E-3</v>
      </c>
      <c r="F80" s="18"/>
      <c r="G80" s="20">
        <v>1.6369695628521401E-4</v>
      </c>
      <c r="H80" s="18"/>
      <c r="I80" s="20">
        <v>1.4462178463733299E-4</v>
      </c>
      <c r="J80" s="18"/>
      <c r="K80" s="20">
        <v>-4.56341819640103E-4</v>
      </c>
      <c r="L80" s="18"/>
      <c r="M80" s="20">
        <v>-4.6217414669406102E-4</v>
      </c>
      <c r="N80" s="18"/>
      <c r="O80" s="20">
        <v>5.2813835395122801E-6</v>
      </c>
      <c r="P80" s="18"/>
      <c r="Q80" s="20">
        <v>-7.1992479030152001E-4</v>
      </c>
      <c r="R80" s="18"/>
      <c r="S80" s="20">
        <v>-1.5918514015383599E-4</v>
      </c>
      <c r="T80" s="18"/>
      <c r="U80" s="20">
        <v>-4.8800971964918904E-3</v>
      </c>
      <c r="V80" s="18"/>
      <c r="W80" s="20">
        <v>-5.2852855723779799E-3</v>
      </c>
      <c r="X80" s="18"/>
      <c r="Y80" s="20">
        <v>-6.9090848614765605E-4</v>
      </c>
      <c r="Z80" s="18"/>
      <c r="AA80" s="20">
        <v>-3.4270189891272601E-3</v>
      </c>
      <c r="AB80" s="18"/>
      <c r="AC80" s="20">
        <v>3.60044263510397E-3</v>
      </c>
      <c r="AD80" s="18"/>
      <c r="AE80" s="20">
        <v>-2.3776598545552298E-3</v>
      </c>
      <c r="AF80" s="18"/>
      <c r="AG80" s="20">
        <v>9.1418994048466807E-3</v>
      </c>
      <c r="AH80" s="18"/>
      <c r="AI80" s="20">
        <v>6.62515593511874E-3</v>
      </c>
      <c r="AJ80" s="18"/>
      <c r="AK80" s="20">
        <v>1.2609932781445299E-3</v>
      </c>
      <c r="AL80" s="18"/>
      <c r="AM80" s="20">
        <v>7.3170521490660404E-4</v>
      </c>
      <c r="AN80" s="18"/>
      <c r="AO80" s="20">
        <v>-3.1191369475254101E-4</v>
      </c>
      <c r="AP80" s="18"/>
      <c r="AQ80" s="20">
        <v>-2.7500966971306901E-4</v>
      </c>
      <c r="AR80" s="18"/>
      <c r="AS80" s="20">
        <v>3.5688396479272098E-4</v>
      </c>
      <c r="AT80" s="18"/>
      <c r="AU80" s="20">
        <v>-5.4800270060511203E-4</v>
      </c>
      <c r="AV80" s="18"/>
      <c r="AW80" s="20">
        <v>-4.04748318892728E-4</v>
      </c>
      <c r="AX80" s="18"/>
      <c r="AY80" s="20">
        <v>-4.2673833239644298E-5</v>
      </c>
      <c r="AZ80" s="18"/>
      <c r="BA80" s="20">
        <v>2.60872865198505E-3</v>
      </c>
      <c r="BB80" s="18"/>
      <c r="BC80" s="20">
        <v>1.80695195798522E-3</v>
      </c>
      <c r="BD80" s="18"/>
      <c r="BE80" s="20">
        <v>8.9512946266417698E-4</v>
      </c>
      <c r="BF80" s="18"/>
      <c r="BG80" s="20"/>
      <c r="BH80" s="18"/>
    </row>
    <row r="81" spans="1:60" x14ac:dyDescent="0.2">
      <c r="A81" s="16">
        <v>1997</v>
      </c>
      <c r="B81" s="16">
        <v>2</v>
      </c>
      <c r="C81" s="20"/>
      <c r="D81" s="18"/>
      <c r="E81" s="20">
        <v>1.45809917593965E-2</v>
      </c>
      <c r="F81" s="18"/>
      <c r="G81" s="20">
        <v>1.04555822699205E-4</v>
      </c>
      <c r="H81" s="18"/>
      <c r="I81" s="20">
        <v>2.4581637554215103E-4</v>
      </c>
      <c r="J81" s="18"/>
      <c r="K81" s="20">
        <v>5.7968665354163999E-3</v>
      </c>
      <c r="L81" s="18"/>
      <c r="M81" s="20">
        <v>1.2240866369985499E-3</v>
      </c>
      <c r="N81" s="18"/>
      <c r="O81" s="20">
        <v>4.5712023660570101E-3</v>
      </c>
      <c r="P81" s="18"/>
      <c r="Q81" s="20">
        <v>-4.2806241947415099E-4</v>
      </c>
      <c r="R81" s="18"/>
      <c r="S81" s="20">
        <v>2.1082304602261201E-6</v>
      </c>
      <c r="T81" s="18"/>
      <c r="U81" s="20">
        <v>-4.5256342673098103E-3</v>
      </c>
      <c r="V81" s="18"/>
      <c r="W81" s="20">
        <v>2.6073419758829001E-3</v>
      </c>
      <c r="X81" s="18"/>
      <c r="Y81" s="20">
        <v>1.0871885118610401E-3</v>
      </c>
      <c r="Z81" s="18"/>
      <c r="AA81" s="20">
        <v>-1.99390477608296E-3</v>
      </c>
      <c r="AB81" s="18"/>
      <c r="AC81" s="20">
        <v>4.0028325649553798E-3</v>
      </c>
      <c r="AD81" s="18"/>
      <c r="AE81" s="20">
        <v>-2.2756760074961698E-3</v>
      </c>
      <c r="AF81" s="18"/>
      <c r="AG81" s="20">
        <v>1.25596351757123E-2</v>
      </c>
      <c r="AH81" s="18"/>
      <c r="AI81" s="20">
        <v>8.9696745727864593E-3</v>
      </c>
      <c r="AJ81" s="18"/>
      <c r="AK81" s="20">
        <v>1.7564565377310799E-3</v>
      </c>
      <c r="AL81" s="18"/>
      <c r="AM81" s="20">
        <v>3.8318335437186702E-4</v>
      </c>
      <c r="AN81" s="18"/>
      <c r="AO81" s="20">
        <v>-2.3856221961484101E-4</v>
      </c>
      <c r="AP81" s="18"/>
      <c r="AQ81" s="20">
        <v>-4.1265230770148798E-5</v>
      </c>
      <c r="AR81" s="18"/>
      <c r="AS81" s="20">
        <v>4.50356315388484E-4</v>
      </c>
      <c r="AT81" s="18"/>
      <c r="AU81" s="20">
        <v>-1.26833418960782E-3</v>
      </c>
      <c r="AV81" s="18"/>
      <c r="AW81" s="20">
        <v>-5.6290991154079597E-4</v>
      </c>
      <c r="AX81" s="18"/>
      <c r="AY81" s="20">
        <v>-7.6455808101959795E-6</v>
      </c>
      <c r="AZ81" s="18"/>
      <c r="BA81" s="20">
        <v>4.3377033996127804E-3</v>
      </c>
      <c r="BB81" s="18"/>
      <c r="BC81" s="20">
        <v>3.0779307275841002E-3</v>
      </c>
      <c r="BD81" s="18"/>
      <c r="BE81" s="20">
        <v>9.4308979421815395E-4</v>
      </c>
      <c r="BF81" s="18"/>
      <c r="BG81" s="20"/>
      <c r="BH81" s="18"/>
    </row>
    <row r="82" spans="1:60" x14ac:dyDescent="0.2">
      <c r="A82" s="16">
        <v>1997</v>
      </c>
      <c r="B82" s="16">
        <v>3</v>
      </c>
      <c r="C82" s="20"/>
      <c r="D82" s="18"/>
      <c r="E82" s="20">
        <v>2.7265920362948299E-2</v>
      </c>
      <c r="F82" s="18"/>
      <c r="G82" s="20">
        <v>6.4759634423716694E-5</v>
      </c>
      <c r="H82" s="18"/>
      <c r="I82" s="20">
        <v>2.9630962999205399E-4</v>
      </c>
      <c r="J82" s="18"/>
      <c r="K82" s="20">
        <v>8.0247491135638192E-3</v>
      </c>
      <c r="L82" s="18"/>
      <c r="M82" s="20">
        <v>2.3644585969806601E-3</v>
      </c>
      <c r="N82" s="18"/>
      <c r="O82" s="20">
        <v>5.66395037713395E-3</v>
      </c>
      <c r="P82" s="18"/>
      <c r="Q82" s="20">
        <v>1.20974012134028E-3</v>
      </c>
      <c r="R82" s="18"/>
      <c r="S82" s="20">
        <v>2.7654040983410401E-5</v>
      </c>
      <c r="T82" s="18"/>
      <c r="U82" s="20">
        <v>-4.8572219518024599E-3</v>
      </c>
      <c r="V82" s="18"/>
      <c r="W82" s="20">
        <v>3.6867904863984E-3</v>
      </c>
      <c r="X82" s="18"/>
      <c r="Y82" s="20">
        <v>1.0022016614356999E-3</v>
      </c>
      <c r="Z82" s="18"/>
      <c r="AA82" s="20">
        <v>6.1245699302637905E-5</v>
      </c>
      <c r="AB82" s="18"/>
      <c r="AC82" s="20">
        <v>4.9674807821152396E-3</v>
      </c>
      <c r="AD82" s="18"/>
      <c r="AE82" s="20">
        <v>-3.16994545399997E-4</v>
      </c>
      <c r="AF82" s="18"/>
      <c r="AG82" s="20">
        <v>1.3763071658893501E-2</v>
      </c>
      <c r="AH82" s="18"/>
      <c r="AI82" s="20">
        <v>9.1342688676202804E-3</v>
      </c>
      <c r="AJ82" s="18"/>
      <c r="AK82" s="20">
        <v>2.0670305475776998E-3</v>
      </c>
      <c r="AL82" s="18"/>
      <c r="AM82" s="20">
        <v>1.04324576392365E-3</v>
      </c>
      <c r="AN82" s="18"/>
      <c r="AO82" s="20">
        <v>-1.7584685039232601E-5</v>
      </c>
      <c r="AP82" s="18"/>
      <c r="AQ82" s="20">
        <v>8.3200648289837704E-4</v>
      </c>
      <c r="AR82" s="18"/>
      <c r="AS82" s="20">
        <v>5.16606083334203E-4</v>
      </c>
      <c r="AT82" s="18"/>
      <c r="AU82" s="20">
        <v>-1.91572412768898E-3</v>
      </c>
      <c r="AV82" s="18"/>
      <c r="AW82" s="20">
        <v>-1.9365929762811101E-4</v>
      </c>
      <c r="AX82" s="18"/>
      <c r="AY82" s="20">
        <v>8.6395511685442205E-6</v>
      </c>
      <c r="AZ82" s="18"/>
      <c r="BA82" s="20">
        <v>3.8047233216771501E-3</v>
      </c>
      <c r="BB82" s="18"/>
      <c r="BC82" s="20">
        <v>3.4351045599030502E-3</v>
      </c>
      <c r="BD82" s="18"/>
      <c r="BE82" s="20">
        <v>3.7773836221522902E-4</v>
      </c>
      <c r="BF82" s="18"/>
      <c r="BG82" s="20"/>
      <c r="BH82" s="18"/>
    </row>
    <row r="83" spans="1:60" x14ac:dyDescent="0.2">
      <c r="A83" s="16">
        <v>1997</v>
      </c>
      <c r="B83" s="16">
        <v>4</v>
      </c>
      <c r="C83" s="20"/>
      <c r="D83" s="18"/>
      <c r="E83" s="20">
        <v>3.3311701531306998E-2</v>
      </c>
      <c r="F83" s="18"/>
      <c r="G83" s="20">
        <v>7.5689792192695896E-5</v>
      </c>
      <c r="H83" s="18"/>
      <c r="I83" s="20">
        <v>2.8535372317429499E-4</v>
      </c>
      <c r="J83" s="18"/>
      <c r="K83" s="20">
        <v>9.4621962721634801E-3</v>
      </c>
      <c r="L83" s="18"/>
      <c r="M83" s="20">
        <v>3.7836178394693898E-3</v>
      </c>
      <c r="N83" s="18"/>
      <c r="O83" s="20">
        <v>5.6827541873845904E-3</v>
      </c>
      <c r="P83" s="18"/>
      <c r="Q83" s="20">
        <v>-8.5601504504910096E-4</v>
      </c>
      <c r="R83" s="18"/>
      <c r="S83" s="20">
        <v>-1.4136044262455901E-4</v>
      </c>
      <c r="T83" s="18"/>
      <c r="U83" s="20">
        <v>-2.4174422857097498E-3</v>
      </c>
      <c r="V83" s="18"/>
      <c r="W83" s="20">
        <v>8.0420626162526591E-3</v>
      </c>
      <c r="X83" s="18"/>
      <c r="Y83" s="20">
        <v>1.82790700944141E-3</v>
      </c>
      <c r="Z83" s="18"/>
      <c r="AA83" s="20">
        <v>3.0513790089800401E-4</v>
      </c>
      <c r="AB83" s="18"/>
      <c r="AC83" s="20">
        <v>4.35332200544485E-3</v>
      </c>
      <c r="AD83" s="18"/>
      <c r="AE83" s="20">
        <v>2.25957620441423E-3</v>
      </c>
      <c r="AF83" s="18"/>
      <c r="AG83" s="20">
        <v>9.2293469568631697E-3</v>
      </c>
      <c r="AH83" s="18"/>
      <c r="AI83" s="20">
        <v>4.4030075352122404E-3</v>
      </c>
      <c r="AJ83" s="18"/>
      <c r="AK83" s="20">
        <v>2.0814094174582401E-3</v>
      </c>
      <c r="AL83" s="18"/>
      <c r="AM83" s="20">
        <v>1.77540919954782E-3</v>
      </c>
      <c r="AN83" s="18"/>
      <c r="AO83" s="20">
        <v>3.2571328829500301E-5</v>
      </c>
      <c r="AP83" s="18"/>
      <c r="AQ83" s="20">
        <v>1.3085883553342599E-3</v>
      </c>
      <c r="AR83" s="18"/>
      <c r="AS83" s="20">
        <v>4.3949539407205399E-4</v>
      </c>
      <c r="AT83" s="18"/>
      <c r="AU83" s="20">
        <v>-7.28295583237333E-4</v>
      </c>
      <c r="AV83" s="18"/>
      <c r="AW83" s="20">
        <v>-2.3981533391227201E-4</v>
      </c>
      <c r="AX83" s="18"/>
      <c r="AY83" s="20">
        <v>2.8687079515361701E-5</v>
      </c>
      <c r="AZ83" s="18"/>
      <c r="BA83" s="20">
        <v>2.38290868756438E-3</v>
      </c>
      <c r="BB83" s="18"/>
      <c r="BC83" s="20">
        <v>3.1593286686357499E-3</v>
      </c>
      <c r="BD83" s="18"/>
      <c r="BE83" s="20">
        <v>-7.7079845303485502E-4</v>
      </c>
      <c r="BF83" s="18"/>
      <c r="BG83" s="20"/>
      <c r="BH83" s="18"/>
    </row>
    <row r="84" spans="1:60" x14ac:dyDescent="0.2">
      <c r="A84" s="16">
        <v>1998</v>
      </c>
      <c r="B84" s="16">
        <v>1</v>
      </c>
      <c r="C84" s="20"/>
      <c r="D84" s="18"/>
      <c r="E84" s="20">
        <v>3.9149114788297398E-2</v>
      </c>
      <c r="F84" s="18"/>
      <c r="G84" s="20">
        <v>1.46946931494484E-5</v>
      </c>
      <c r="H84" s="18"/>
      <c r="I84" s="20">
        <v>2.1980145550867301E-4</v>
      </c>
      <c r="J84" s="18"/>
      <c r="K84" s="20">
        <v>9.3318922182883905E-3</v>
      </c>
      <c r="L84" s="18"/>
      <c r="M84" s="20">
        <v>5.3995324544093698E-3</v>
      </c>
      <c r="N84" s="18"/>
      <c r="O84" s="20">
        <v>4.0537050915041397E-3</v>
      </c>
      <c r="P84" s="18"/>
      <c r="Q84" s="20">
        <v>-1.0746049115711201E-3</v>
      </c>
      <c r="R84" s="18"/>
      <c r="S84" s="20">
        <v>-3.6923887583290401E-4</v>
      </c>
      <c r="T84" s="18"/>
      <c r="U84" s="20">
        <v>-1.0766919795876201E-3</v>
      </c>
      <c r="V84" s="18"/>
      <c r="W84" s="20">
        <v>4.9978851958939101E-3</v>
      </c>
      <c r="X84" s="18"/>
      <c r="Y84" s="20">
        <v>7.7965019974073199E-4</v>
      </c>
      <c r="Z84" s="18"/>
      <c r="AA84" s="20">
        <v>4.1436210195568996E-3</v>
      </c>
      <c r="AB84" s="18"/>
      <c r="AC84" s="20">
        <v>2.3936853463230501E-3</v>
      </c>
      <c r="AD84" s="18"/>
      <c r="AE84" s="20">
        <v>4.2152773930926798E-3</v>
      </c>
      <c r="AF84" s="18"/>
      <c r="AG84" s="20">
        <v>8.7839844831523392E-3</v>
      </c>
      <c r="AH84" s="18"/>
      <c r="AI84" s="20">
        <v>3.6958068201121599E-3</v>
      </c>
      <c r="AJ84" s="18"/>
      <c r="AK84" s="20">
        <v>2.0292138695068799E-3</v>
      </c>
      <c r="AL84" s="18"/>
      <c r="AM84" s="20">
        <v>3.5105613399023898E-3</v>
      </c>
      <c r="AN84" s="18"/>
      <c r="AO84" s="20">
        <v>-2.31890798625946E-4</v>
      </c>
      <c r="AP84" s="18"/>
      <c r="AQ84" s="20">
        <v>1.0416191365667899E-3</v>
      </c>
      <c r="AR84" s="18"/>
      <c r="AS84" s="20">
        <v>1.8667714167606301E-3</v>
      </c>
      <c r="AT84" s="18"/>
      <c r="AU84" s="20">
        <v>1.2626630571554399E-3</v>
      </c>
      <c r="AV84" s="18"/>
      <c r="AW84" s="20">
        <v>-1.09266748722339E-4</v>
      </c>
      <c r="AX84" s="18"/>
      <c r="AY84" s="20">
        <v>3.2685737378051898E-5</v>
      </c>
      <c r="AZ84" s="18"/>
      <c r="BA84" s="20">
        <v>6.5653313318676701E-4</v>
      </c>
      <c r="BB84" s="18"/>
      <c r="BC84" s="20">
        <v>3.3035045057369901E-3</v>
      </c>
      <c r="BD84" s="18"/>
      <c r="BE84" s="20">
        <v>-2.5706946632109199E-3</v>
      </c>
      <c r="BF84" s="18"/>
      <c r="BG84" s="20"/>
      <c r="BH84" s="18"/>
    </row>
    <row r="85" spans="1:60" x14ac:dyDescent="0.2">
      <c r="A85" s="16">
        <v>1998</v>
      </c>
      <c r="B85" s="16">
        <v>2</v>
      </c>
      <c r="C85" s="20"/>
      <c r="D85" s="18"/>
      <c r="E85" s="20">
        <v>3.6672989844762499E-2</v>
      </c>
      <c r="F85" s="18"/>
      <c r="G85" s="20">
        <v>1.11710410670914E-4</v>
      </c>
      <c r="H85" s="18"/>
      <c r="I85" s="20">
        <v>1.31432438615698E-4</v>
      </c>
      <c r="J85" s="18"/>
      <c r="K85" s="20">
        <v>5.9062444252534598E-3</v>
      </c>
      <c r="L85" s="18"/>
      <c r="M85" s="20">
        <v>4.2423319715730002E-3</v>
      </c>
      <c r="N85" s="18"/>
      <c r="O85" s="20">
        <v>1.6840094305357401E-3</v>
      </c>
      <c r="P85" s="18"/>
      <c r="Q85" s="20">
        <v>-7.6328072003897904E-4</v>
      </c>
      <c r="R85" s="18"/>
      <c r="S85" s="20">
        <v>-2.9990340295825001E-4</v>
      </c>
      <c r="T85" s="18"/>
      <c r="U85" s="20">
        <v>3.3509983215985002E-5</v>
      </c>
      <c r="V85" s="18"/>
      <c r="W85" s="20">
        <v>3.1275208617350799E-3</v>
      </c>
      <c r="X85" s="18"/>
      <c r="Y85" s="20">
        <v>9.4998943109907304E-4</v>
      </c>
      <c r="Z85" s="18"/>
      <c r="AA85" s="20">
        <v>3.3163913608838399E-3</v>
      </c>
      <c r="AB85" s="18"/>
      <c r="AC85" s="20">
        <v>1.5400494677664501E-3</v>
      </c>
      <c r="AD85" s="18"/>
      <c r="AE85" s="20">
        <v>5.5911122561589097E-3</v>
      </c>
      <c r="AF85" s="18"/>
      <c r="AG85" s="20">
        <v>7.7287804396309299E-3</v>
      </c>
      <c r="AH85" s="18"/>
      <c r="AI85" s="20">
        <v>3.0320796659172402E-3</v>
      </c>
      <c r="AJ85" s="18"/>
      <c r="AK85" s="20">
        <v>1.7600540685832999E-3</v>
      </c>
      <c r="AL85" s="18"/>
      <c r="AM85" s="20">
        <v>3.87827556956801E-3</v>
      </c>
      <c r="AN85" s="18"/>
      <c r="AO85" s="20">
        <v>-3.2607512335908802E-4</v>
      </c>
      <c r="AP85" s="18"/>
      <c r="AQ85" s="20">
        <v>8.5922843432320703E-4</v>
      </c>
      <c r="AR85" s="18"/>
      <c r="AS85" s="20">
        <v>2.8706756242651201E-3</v>
      </c>
      <c r="AT85" s="18"/>
      <c r="AU85" s="20">
        <v>2.9207955686123802E-3</v>
      </c>
      <c r="AV85" s="18"/>
      <c r="AW85" s="20">
        <v>8.1165547086924401E-5</v>
      </c>
      <c r="AX85" s="18"/>
      <c r="AY85" s="20">
        <v>2.6513319060714401E-5</v>
      </c>
      <c r="AZ85" s="18"/>
      <c r="BA85" s="20">
        <v>-2.9839577340846999E-4</v>
      </c>
      <c r="BB85" s="18"/>
      <c r="BC85" s="20">
        <v>2.7793358102646899E-3</v>
      </c>
      <c r="BD85" s="18"/>
      <c r="BE85" s="20">
        <v>-3.07428132441858E-3</v>
      </c>
      <c r="BF85" s="18"/>
      <c r="BG85" s="20"/>
      <c r="BH85" s="18"/>
    </row>
    <row r="86" spans="1:60" x14ac:dyDescent="0.2">
      <c r="A86" s="16">
        <v>1998</v>
      </c>
      <c r="B86" s="16">
        <v>3</v>
      </c>
      <c r="C86" s="20"/>
      <c r="D86" s="18"/>
      <c r="E86" s="20">
        <v>2.3418710300155E-2</v>
      </c>
      <c r="F86" s="18"/>
      <c r="G86" s="20">
        <v>2.1499598050041E-4</v>
      </c>
      <c r="H86" s="18"/>
      <c r="I86" s="20">
        <v>1.06399487727398E-4</v>
      </c>
      <c r="J86" s="18"/>
      <c r="K86" s="20">
        <v>3.4412938819407498E-3</v>
      </c>
      <c r="L86" s="18"/>
      <c r="M86" s="20">
        <v>2.8253813186567599E-3</v>
      </c>
      <c r="N86" s="18"/>
      <c r="O86" s="20">
        <v>6.0022588504932497E-4</v>
      </c>
      <c r="P86" s="18"/>
      <c r="Q86" s="20">
        <v>-1.3033425047356099E-3</v>
      </c>
      <c r="R86" s="18"/>
      <c r="S86" s="20">
        <v>-1.4404729145346099E-4</v>
      </c>
      <c r="T86" s="18"/>
      <c r="U86" s="20">
        <v>2.0773184191323298E-3</v>
      </c>
      <c r="V86" s="18"/>
      <c r="W86" s="20">
        <v>1.87059980789489E-3</v>
      </c>
      <c r="X86" s="18"/>
      <c r="Y86" s="20">
        <v>9.0777740250098699E-4</v>
      </c>
      <c r="Z86" s="18"/>
      <c r="AA86" s="20">
        <v>1.2124668210756601E-3</v>
      </c>
      <c r="AB86" s="18"/>
      <c r="AC86" s="20">
        <v>1.5363927600151999E-4</v>
      </c>
      <c r="AD86" s="18"/>
      <c r="AE86" s="20">
        <v>4.9129824466847003E-3</v>
      </c>
      <c r="AF86" s="18"/>
      <c r="AG86" s="20">
        <v>2.2308800338993501E-3</v>
      </c>
      <c r="AH86" s="18"/>
      <c r="AI86" s="20">
        <v>-1.4340899802646699E-3</v>
      </c>
      <c r="AJ86" s="18"/>
      <c r="AK86" s="20">
        <v>1.4323462988530501E-3</v>
      </c>
      <c r="AL86" s="18"/>
      <c r="AM86" s="20">
        <v>3.4263643860112298E-3</v>
      </c>
      <c r="AN86" s="18"/>
      <c r="AO86" s="20">
        <v>-2.0937030536334901E-4</v>
      </c>
      <c r="AP86" s="18"/>
      <c r="AQ86" s="20">
        <v>7.7548663622715899E-4</v>
      </c>
      <c r="AR86" s="18"/>
      <c r="AS86" s="20">
        <v>2.9380647607933101E-3</v>
      </c>
      <c r="AT86" s="18"/>
      <c r="AU86" s="20">
        <v>1.67560730184566E-3</v>
      </c>
      <c r="AV86" s="18"/>
      <c r="AW86" s="20">
        <v>-1.14054773994281E-4</v>
      </c>
      <c r="AX86" s="18"/>
      <c r="AY86" s="20">
        <v>2.9072905144494599E-5</v>
      </c>
      <c r="AZ86" s="18"/>
      <c r="BA86" s="20">
        <v>-3.6346590201971699E-4</v>
      </c>
      <c r="BB86" s="18"/>
      <c r="BC86" s="20">
        <v>2.1487051890581102E-3</v>
      </c>
      <c r="BD86" s="18"/>
      <c r="BE86" s="20">
        <v>-2.4464698185509498E-3</v>
      </c>
      <c r="BF86" s="18"/>
      <c r="BG86" s="20"/>
      <c r="BH86" s="18"/>
    </row>
    <row r="87" spans="1:60" x14ac:dyDescent="0.2">
      <c r="A87" s="16">
        <v>1998</v>
      </c>
      <c r="B87" s="16">
        <v>4</v>
      </c>
      <c r="C87" s="20"/>
      <c r="D87" s="18"/>
      <c r="E87" s="20">
        <v>1.20399672580624E-2</v>
      </c>
      <c r="F87" s="18"/>
      <c r="G87" s="20">
        <v>2.5216073776552502E-4</v>
      </c>
      <c r="H87" s="18"/>
      <c r="I87" s="20">
        <v>-2.37436965536396E-5</v>
      </c>
      <c r="J87" s="18"/>
      <c r="K87" s="20">
        <v>-1.0916150329515701E-3</v>
      </c>
      <c r="L87" s="18"/>
      <c r="M87" s="20">
        <v>3.6721220513424402E-4</v>
      </c>
      <c r="N87" s="18"/>
      <c r="O87" s="20">
        <v>-1.4914802008462701E-3</v>
      </c>
      <c r="P87" s="18"/>
      <c r="Q87" s="20">
        <v>9.1350959750850501E-5</v>
      </c>
      <c r="R87" s="18"/>
      <c r="S87" s="20">
        <v>1.87591132123747E-4</v>
      </c>
      <c r="T87" s="18"/>
      <c r="U87" s="20">
        <v>5.59788106839075E-4</v>
      </c>
      <c r="V87" s="18"/>
      <c r="W87" s="20">
        <v>4.5665939104317201E-4</v>
      </c>
      <c r="X87" s="18"/>
      <c r="Y87" s="20">
        <v>1.08924779583581E-3</v>
      </c>
      <c r="Z87" s="18"/>
      <c r="AA87" s="20">
        <v>-1.13335429602411E-3</v>
      </c>
      <c r="AB87" s="18"/>
      <c r="AC87" s="20">
        <v>-2.5939181694026097E-4</v>
      </c>
      <c r="AD87" s="18"/>
      <c r="AE87" s="20">
        <v>3.6003225061561101E-3</v>
      </c>
      <c r="AF87" s="18"/>
      <c r="AG87" s="20">
        <v>2.5738566465535301E-3</v>
      </c>
      <c r="AH87" s="18"/>
      <c r="AI87" s="20">
        <v>5.5083709758822405E-4</v>
      </c>
      <c r="AJ87" s="18"/>
      <c r="AK87" s="20">
        <v>9.7329050047817803E-4</v>
      </c>
      <c r="AL87" s="18"/>
      <c r="AM87" s="20">
        <v>3.4141673282191099E-3</v>
      </c>
      <c r="AN87" s="18"/>
      <c r="AO87" s="20">
        <v>-2.6841589430565902E-4</v>
      </c>
      <c r="AP87" s="18"/>
      <c r="AQ87" s="20">
        <v>5.7725851452438499E-4</v>
      </c>
      <c r="AR87" s="18"/>
      <c r="AS87" s="20">
        <v>2.8462355592192498E-3</v>
      </c>
      <c r="AT87" s="18"/>
      <c r="AU87" s="20">
        <v>6.9581866547899197E-4</v>
      </c>
      <c r="AV87" s="18"/>
      <c r="AW87" s="20">
        <v>-3.70608422518931E-4</v>
      </c>
      <c r="AX87" s="18"/>
      <c r="AY87" s="20">
        <v>3.7474333873443297E-5</v>
      </c>
      <c r="AZ87" s="18"/>
      <c r="BA87" s="20">
        <v>7.4347459260379605E-4</v>
      </c>
      <c r="BB87" s="18"/>
      <c r="BC87" s="20">
        <v>1.5010869408339099E-3</v>
      </c>
      <c r="BD87" s="18"/>
      <c r="BE87" s="20">
        <v>-7.7464593830705805E-4</v>
      </c>
      <c r="BF87" s="18"/>
      <c r="BG87" s="20"/>
      <c r="BH87" s="18"/>
    </row>
    <row r="88" spans="1:60" x14ac:dyDescent="0.2">
      <c r="A88" s="16">
        <v>1999</v>
      </c>
      <c r="B88" s="16">
        <v>1</v>
      </c>
      <c r="C88" s="20"/>
      <c r="D88" s="18"/>
      <c r="E88" s="20">
        <v>5.8552212806035498E-3</v>
      </c>
      <c r="F88" s="18"/>
      <c r="G88" s="20">
        <v>2.2049857519262399E-4</v>
      </c>
      <c r="H88" s="18"/>
      <c r="I88" s="20">
        <v>-7.2217790542792297E-5</v>
      </c>
      <c r="J88" s="18"/>
      <c r="K88" s="20">
        <v>4.8358182096539399E-4</v>
      </c>
      <c r="L88" s="18"/>
      <c r="M88" s="20">
        <v>-1.73824556798842E-3</v>
      </c>
      <c r="N88" s="18"/>
      <c r="O88" s="20">
        <v>2.2472225965818001E-3</v>
      </c>
      <c r="P88" s="18"/>
      <c r="Q88" s="20">
        <v>-2.9304445812784199E-4</v>
      </c>
      <c r="R88" s="18"/>
      <c r="S88" s="20">
        <v>2.6507874381141402E-4</v>
      </c>
      <c r="T88" s="18"/>
      <c r="U88" s="20">
        <v>-6.0451191651990203E-4</v>
      </c>
      <c r="V88" s="18"/>
      <c r="W88" s="20">
        <v>4.4011665059022599E-3</v>
      </c>
      <c r="X88" s="18"/>
      <c r="Y88" s="20">
        <v>1.62723184964963E-3</v>
      </c>
      <c r="Z88" s="18"/>
      <c r="AA88" s="20">
        <v>-5.8405950808048104E-3</v>
      </c>
      <c r="AB88" s="18"/>
      <c r="AC88" s="20">
        <v>-2.86979877150182E-4</v>
      </c>
      <c r="AD88" s="18"/>
      <c r="AE88" s="20">
        <v>2.03024337398065E-3</v>
      </c>
      <c r="AF88" s="18"/>
      <c r="AG88" s="20">
        <v>1.4151347143498501E-3</v>
      </c>
      <c r="AH88" s="18"/>
      <c r="AI88" s="20">
        <v>6.1586876747624401E-4</v>
      </c>
      <c r="AJ88" s="18"/>
      <c r="AK88" s="20">
        <v>4.6130972526839501E-4</v>
      </c>
      <c r="AL88" s="18"/>
      <c r="AM88" s="20">
        <v>3.1118012907113898E-3</v>
      </c>
      <c r="AN88" s="18"/>
      <c r="AO88" s="20">
        <v>5.4806514492594697E-5</v>
      </c>
      <c r="AP88" s="18"/>
      <c r="AQ88" s="20">
        <v>7.8011018326021103E-4</v>
      </c>
      <c r="AR88" s="18"/>
      <c r="AS88" s="20">
        <v>1.57767922423242E-3</v>
      </c>
      <c r="AT88" s="18"/>
      <c r="AU88" s="20">
        <v>-7.9403840400499998E-4</v>
      </c>
      <c r="AV88" s="18"/>
      <c r="AW88" s="20">
        <v>-6.2047494973410395E-4</v>
      </c>
      <c r="AX88" s="18"/>
      <c r="AY88" s="20">
        <v>5.3948345549343201E-5</v>
      </c>
      <c r="AZ88" s="18"/>
      <c r="BA88" s="20">
        <v>3.7540823510896302E-3</v>
      </c>
      <c r="BB88" s="18"/>
      <c r="BC88" s="20">
        <v>1.58847437356704E-3</v>
      </c>
      <c r="BD88" s="18"/>
      <c r="BE88" s="20">
        <v>2.11173842234064E-3</v>
      </c>
      <c r="BF88" s="18"/>
      <c r="BG88" s="20"/>
      <c r="BH88" s="18"/>
    </row>
    <row r="89" spans="1:60" x14ac:dyDescent="0.2">
      <c r="A89" s="16">
        <v>1999</v>
      </c>
      <c r="B89" s="16">
        <v>2</v>
      </c>
      <c r="C89" s="20"/>
      <c r="D89" s="18"/>
      <c r="E89" s="20">
        <v>-2.48126311029901E-3</v>
      </c>
      <c r="F89" s="18"/>
      <c r="G89" s="20">
        <v>2.6190171970465599E-4</v>
      </c>
      <c r="H89" s="18"/>
      <c r="I89" s="20">
        <v>-4.29695800747194E-5</v>
      </c>
      <c r="J89" s="18"/>
      <c r="K89" s="20">
        <v>-1.24253423762679E-3</v>
      </c>
      <c r="L89" s="18"/>
      <c r="M89" s="20">
        <v>-2.11809154764894E-3</v>
      </c>
      <c r="N89" s="18"/>
      <c r="O89" s="20">
        <v>9.0093442109108002E-4</v>
      </c>
      <c r="P89" s="18"/>
      <c r="Q89" s="20">
        <v>1.0364946394170701E-3</v>
      </c>
      <c r="R89" s="18"/>
      <c r="S89" s="20">
        <v>1.6835279251300501E-4</v>
      </c>
      <c r="T89" s="18"/>
      <c r="U89" s="20">
        <v>-2.0073354982244299E-3</v>
      </c>
      <c r="V89" s="18"/>
      <c r="W89" s="20">
        <v>1.73812958763724E-3</v>
      </c>
      <c r="X89" s="18"/>
      <c r="Y89" s="20">
        <v>1.5297384341762701E-4</v>
      </c>
      <c r="Z89" s="18"/>
      <c r="AA89" s="20">
        <v>-6.7474541009914903E-3</v>
      </c>
      <c r="AB89" s="18"/>
      <c r="AC89" s="20">
        <v>-4.0458600441722003E-4</v>
      </c>
      <c r="AD89" s="18"/>
      <c r="AE89" s="20">
        <v>1.93025686127419E-3</v>
      </c>
      <c r="AF89" s="18"/>
      <c r="AG89" s="20">
        <v>1.0119872116963E-3</v>
      </c>
      <c r="AH89" s="18"/>
      <c r="AI89" s="20">
        <v>1.06741652339138E-3</v>
      </c>
      <c r="AJ89" s="18"/>
      <c r="AK89" s="20">
        <v>2.6486349310648501E-4</v>
      </c>
      <c r="AL89" s="18"/>
      <c r="AM89" s="20">
        <v>2.2332320260637999E-3</v>
      </c>
      <c r="AN89" s="18"/>
      <c r="AO89" s="20">
        <v>4.4244337639986499E-4</v>
      </c>
      <c r="AP89" s="18"/>
      <c r="AQ89" s="20">
        <v>7.6572208583792199E-4</v>
      </c>
      <c r="AR89" s="18"/>
      <c r="AS89" s="20">
        <v>1.09135291337897E-3</v>
      </c>
      <c r="AT89" s="18"/>
      <c r="AU89" s="20">
        <v>-2.30367271438383E-3</v>
      </c>
      <c r="AV89" s="18"/>
      <c r="AW89" s="20">
        <v>-5.2721093185225298E-4</v>
      </c>
      <c r="AX89" s="18"/>
      <c r="AY89" s="20">
        <v>5.6422389011312403E-5</v>
      </c>
      <c r="AZ89" s="18"/>
      <c r="BA89" s="20">
        <v>5.2685735660484498E-3</v>
      </c>
      <c r="BB89" s="18"/>
      <c r="BC89" s="20">
        <v>1.3771775346643599E-3</v>
      </c>
      <c r="BD89" s="18"/>
      <c r="BE89" s="20">
        <v>3.8330410634230001E-3</v>
      </c>
      <c r="BF89" s="18"/>
      <c r="BG89" s="20"/>
      <c r="BH89" s="18"/>
    </row>
    <row r="90" spans="1:60" x14ac:dyDescent="0.2">
      <c r="A90" s="16">
        <v>1999</v>
      </c>
      <c r="B90" s="16">
        <v>3</v>
      </c>
      <c r="C90" s="20"/>
      <c r="D90" s="18"/>
      <c r="E90" s="20">
        <v>4.6936232163402904E-3</v>
      </c>
      <c r="F90" s="18"/>
      <c r="G90" s="20">
        <v>3.5182091566282402E-4</v>
      </c>
      <c r="H90" s="18"/>
      <c r="I90" s="20">
        <v>-6.0162609301557197E-5</v>
      </c>
      <c r="J90" s="18"/>
      <c r="K90" s="20">
        <v>5.0193759066768104E-4</v>
      </c>
      <c r="L90" s="18"/>
      <c r="M90" s="20">
        <v>1.2376798530292E-3</v>
      </c>
      <c r="N90" s="18"/>
      <c r="O90" s="20">
        <v>-7.3687357406463305E-4</v>
      </c>
      <c r="P90" s="18"/>
      <c r="Q90" s="20">
        <v>1.0743271490422199E-3</v>
      </c>
      <c r="R90" s="18"/>
      <c r="S90" s="20">
        <v>-2.7946797538941999E-5</v>
      </c>
      <c r="T90" s="18"/>
      <c r="U90" s="20">
        <v>-3.6357172458997698E-3</v>
      </c>
      <c r="V90" s="18"/>
      <c r="W90" s="20">
        <v>5.5129300918075799E-3</v>
      </c>
      <c r="X90" s="18"/>
      <c r="Y90" s="20">
        <v>8.7480811552420102E-4</v>
      </c>
      <c r="Z90" s="18"/>
      <c r="AA90" s="20">
        <v>-5.2413284579551104E-3</v>
      </c>
      <c r="AB90" s="18"/>
      <c r="AC90" s="20">
        <v>-4.4005729217861203E-4</v>
      </c>
      <c r="AD90" s="18"/>
      <c r="AE90" s="20">
        <v>2.5441440765514001E-3</v>
      </c>
      <c r="AF90" s="18"/>
      <c r="AG90" s="20">
        <v>2.1583903748787999E-3</v>
      </c>
      <c r="AH90" s="18"/>
      <c r="AI90" s="20">
        <v>1.9936679787733798E-3</v>
      </c>
      <c r="AJ90" s="18"/>
      <c r="AK90" s="20">
        <v>4.2083759389862101E-4</v>
      </c>
      <c r="AL90" s="18"/>
      <c r="AM90" s="20">
        <v>2.2026600394891701E-3</v>
      </c>
      <c r="AN90" s="18"/>
      <c r="AO90" s="20">
        <v>4.5974665748268199E-4</v>
      </c>
      <c r="AP90" s="18"/>
      <c r="AQ90" s="20">
        <v>1.81512152272699E-4</v>
      </c>
      <c r="AR90" s="18"/>
      <c r="AS90" s="20">
        <v>9.0029371515591098E-4</v>
      </c>
      <c r="AT90" s="18"/>
      <c r="AU90" s="20">
        <v>-1.3430708121050399E-3</v>
      </c>
      <c r="AV90" s="18"/>
      <c r="AW90" s="20">
        <v>-5.7155236971763099E-4</v>
      </c>
      <c r="AX90" s="18"/>
      <c r="AY90" s="20">
        <v>5.6722069284884298E-5</v>
      </c>
      <c r="AZ90" s="18"/>
      <c r="BA90" s="20">
        <v>6.98706437006199E-3</v>
      </c>
      <c r="BB90" s="18"/>
      <c r="BC90" s="20">
        <v>1.9634790123836498E-3</v>
      </c>
      <c r="BD90" s="18"/>
      <c r="BE90" s="20">
        <v>4.5360061949887296E-3</v>
      </c>
      <c r="BF90" s="18"/>
      <c r="BG90" s="20"/>
      <c r="BH90" s="18"/>
    </row>
    <row r="91" spans="1:60" x14ac:dyDescent="0.2">
      <c r="A91" s="16">
        <v>1999</v>
      </c>
      <c r="B91" s="16">
        <v>4</v>
      </c>
      <c r="C91" s="20"/>
      <c r="D91" s="18"/>
      <c r="E91" s="20">
        <v>3.5453319723990899E-2</v>
      </c>
      <c r="F91" s="18"/>
      <c r="G91" s="20">
        <v>4.3134739598305901E-4</v>
      </c>
      <c r="H91" s="18"/>
      <c r="I91" s="20">
        <v>-2.1537282321843899E-5</v>
      </c>
      <c r="J91" s="18"/>
      <c r="K91" s="20">
        <v>9.4645665051384994E-3</v>
      </c>
      <c r="L91" s="18"/>
      <c r="M91" s="20">
        <v>5.2207165130647801E-3</v>
      </c>
      <c r="N91" s="18"/>
      <c r="O91" s="20">
        <v>4.1399533472775097E-3</v>
      </c>
      <c r="P91" s="18"/>
      <c r="Q91" s="20">
        <v>1.2838654641206999E-3</v>
      </c>
      <c r="R91" s="18"/>
      <c r="S91" s="20">
        <v>-2.4969466739057901E-4</v>
      </c>
      <c r="T91" s="18"/>
      <c r="U91" s="20">
        <v>3.03261320400507E-4</v>
      </c>
      <c r="V91" s="18"/>
      <c r="W91" s="20">
        <v>9.4406244553242504E-3</v>
      </c>
      <c r="X91" s="18"/>
      <c r="Y91" s="20">
        <v>5.0050277446437295E-4</v>
      </c>
      <c r="Z91" s="18"/>
      <c r="AA91" s="20">
        <v>-3.5266329201026998E-3</v>
      </c>
      <c r="AB91" s="18"/>
      <c r="AC91" s="20">
        <v>-5.0981862780984703E-5</v>
      </c>
      <c r="AD91" s="18"/>
      <c r="AE91" s="20">
        <v>3.6469088285886698E-3</v>
      </c>
      <c r="AF91" s="18"/>
      <c r="AG91" s="20">
        <v>1.27729374920501E-2</v>
      </c>
      <c r="AH91" s="18"/>
      <c r="AI91" s="20">
        <v>1.10861654813735E-2</v>
      </c>
      <c r="AJ91" s="18"/>
      <c r="AK91" s="20">
        <v>8.9253138263648002E-4</v>
      </c>
      <c r="AL91" s="18"/>
      <c r="AM91" s="20">
        <v>5.5441969036812205E-4</v>
      </c>
      <c r="AN91" s="18"/>
      <c r="AO91" s="20">
        <v>1.0216032752384499E-3</v>
      </c>
      <c r="AP91" s="18"/>
      <c r="AQ91" s="20">
        <v>1.4636568254547299E-4</v>
      </c>
      <c r="AR91" s="18"/>
      <c r="AS91" s="20">
        <v>9.2405594085305401E-4</v>
      </c>
      <c r="AT91" s="18"/>
      <c r="AU91" s="20">
        <v>-3.49624002657767E-4</v>
      </c>
      <c r="AV91" s="18"/>
      <c r="AW91" s="20">
        <v>-3.3132212010973699E-4</v>
      </c>
      <c r="AX91" s="18"/>
      <c r="AY91" s="20">
        <v>4.8475934430010798E-5</v>
      </c>
      <c r="AZ91" s="18"/>
      <c r="BA91" s="20">
        <v>6.8537714684232297E-3</v>
      </c>
      <c r="BB91" s="18"/>
      <c r="BC91" s="20">
        <v>3.3412161511595902E-3</v>
      </c>
      <c r="BD91" s="18"/>
      <c r="BE91" s="20">
        <v>4.09033617826721E-3</v>
      </c>
      <c r="BF91" s="18"/>
      <c r="BG91" s="20"/>
      <c r="BH91" s="18"/>
    </row>
    <row r="92" spans="1:60" x14ac:dyDescent="0.2">
      <c r="A92" s="16">
        <v>2000</v>
      </c>
      <c r="B92" s="16">
        <v>1</v>
      </c>
      <c r="C92" s="20"/>
      <c r="D92" s="18"/>
      <c r="E92" s="20">
        <v>3.8428140954902601E-2</v>
      </c>
      <c r="F92" s="18"/>
      <c r="G92" s="20">
        <v>4.70680902310101E-4</v>
      </c>
      <c r="H92" s="18"/>
      <c r="I92" s="20">
        <v>2.3503710268416502E-6</v>
      </c>
      <c r="J92" s="18"/>
      <c r="K92" s="20">
        <v>4.8442006760919098E-3</v>
      </c>
      <c r="L92" s="18"/>
      <c r="M92" s="20">
        <v>5.5712512640582702E-3</v>
      </c>
      <c r="N92" s="18"/>
      <c r="O92" s="20">
        <v>-5.9258102240879195E-4</v>
      </c>
      <c r="P92" s="18"/>
      <c r="Q92" s="20">
        <v>8.0838942614848603E-4</v>
      </c>
      <c r="R92" s="18"/>
      <c r="S92" s="20">
        <v>-2.7557852665478799E-4</v>
      </c>
      <c r="T92" s="18"/>
      <c r="U92" s="20">
        <v>9.9093898397891299E-5</v>
      </c>
      <c r="V92" s="18"/>
      <c r="W92" s="20">
        <v>7.2291791970621397E-3</v>
      </c>
      <c r="X92" s="18"/>
      <c r="Y92" s="20">
        <v>8.59955844387144E-4</v>
      </c>
      <c r="Z92" s="18"/>
      <c r="AA92" s="20">
        <v>1.0709471274201899E-3</v>
      </c>
      <c r="AB92" s="18"/>
      <c r="AC92" s="20">
        <v>3.3541608180449E-4</v>
      </c>
      <c r="AD92" s="18"/>
      <c r="AE92" s="20">
        <v>5.8692880344331302E-3</v>
      </c>
      <c r="AF92" s="18"/>
      <c r="AG92" s="20">
        <v>1.6087456326080399E-2</v>
      </c>
      <c r="AH92" s="18"/>
      <c r="AI92" s="20">
        <v>1.30325420832375E-2</v>
      </c>
      <c r="AJ92" s="18"/>
      <c r="AK92" s="20">
        <v>1.75140866782332E-3</v>
      </c>
      <c r="AL92" s="18"/>
      <c r="AM92" s="20">
        <v>-1.0012514411431399E-3</v>
      </c>
      <c r="AN92" s="18"/>
      <c r="AO92" s="20">
        <v>1.20023068655971E-3</v>
      </c>
      <c r="AP92" s="18"/>
      <c r="AQ92" s="20">
        <v>-3.88537496351974E-4</v>
      </c>
      <c r="AR92" s="18"/>
      <c r="AS92" s="20">
        <v>1.63196888236371E-3</v>
      </c>
      <c r="AT92" s="18"/>
      <c r="AU92" s="20">
        <v>5.2059485568463403E-4</v>
      </c>
      <c r="AV92" s="18"/>
      <c r="AW92" s="20">
        <v>-2.1942097291541899E-5</v>
      </c>
      <c r="AX92" s="18"/>
      <c r="AY92" s="20">
        <v>3.9356038527206199E-5</v>
      </c>
      <c r="AZ92" s="18"/>
      <c r="BA92" s="20">
        <v>7.1149560977863697E-3</v>
      </c>
      <c r="BB92" s="18"/>
      <c r="BC92" s="20">
        <v>4.1404528510631602E-3</v>
      </c>
      <c r="BD92" s="18"/>
      <c r="BE92" s="20">
        <v>2.6819921702320899E-3</v>
      </c>
      <c r="BF92" s="18"/>
      <c r="BG92" s="20"/>
      <c r="BH92" s="18"/>
    </row>
    <row r="93" spans="1:60" x14ac:dyDescent="0.2">
      <c r="A93" s="16">
        <v>2000</v>
      </c>
      <c r="B93" s="16">
        <v>2</v>
      </c>
      <c r="C93" s="20"/>
      <c r="D93" s="18"/>
      <c r="E93" s="20">
        <v>3.29230683998386E-2</v>
      </c>
      <c r="F93" s="18"/>
      <c r="G93" s="20">
        <v>4.1307651750798402E-4</v>
      </c>
      <c r="H93" s="18"/>
      <c r="I93" s="20">
        <v>-8.1830487784070305E-5</v>
      </c>
      <c r="J93" s="18"/>
      <c r="K93" s="20">
        <v>2.4232417226965801E-3</v>
      </c>
      <c r="L93" s="18"/>
      <c r="M93" s="20">
        <v>4.6123558700362404E-3</v>
      </c>
      <c r="N93" s="18"/>
      <c r="O93" s="20">
        <v>-2.0763757434531498E-3</v>
      </c>
      <c r="P93" s="18"/>
      <c r="Q93" s="20">
        <v>4.4106687488160298E-4</v>
      </c>
      <c r="R93" s="18"/>
      <c r="S93" s="20">
        <v>-2.4866933789337401E-4</v>
      </c>
      <c r="T93" s="18"/>
      <c r="U93" s="20">
        <v>-8.9612837273275595E-4</v>
      </c>
      <c r="V93" s="18"/>
      <c r="W93" s="20">
        <v>7.1544291038681002E-3</v>
      </c>
      <c r="X93" s="18"/>
      <c r="Y93" s="20">
        <v>1.24044545409167E-3</v>
      </c>
      <c r="Z93" s="18"/>
      <c r="AA93" s="20">
        <v>1.8105120590320501E-3</v>
      </c>
      <c r="AB93" s="18"/>
      <c r="AC93" s="20">
        <v>9.1983618784195504E-4</v>
      </c>
      <c r="AD93" s="18"/>
      <c r="AE93" s="20">
        <v>6.9431657817927402E-3</v>
      </c>
      <c r="AF93" s="18"/>
      <c r="AG93" s="20">
        <v>1.1030213176704501E-2</v>
      </c>
      <c r="AH93" s="18"/>
      <c r="AI93" s="20">
        <v>6.7923042079824497E-3</v>
      </c>
      <c r="AJ93" s="18"/>
      <c r="AK93" s="20">
        <v>2.22935995229158E-3</v>
      </c>
      <c r="AL93" s="18"/>
      <c r="AM93" s="20">
        <v>-1.2262295433780499E-3</v>
      </c>
      <c r="AN93" s="18"/>
      <c r="AO93" s="20">
        <v>1.25983571355629E-3</v>
      </c>
      <c r="AP93" s="18"/>
      <c r="AQ93" s="20">
        <v>-7.9339790667288005E-4</v>
      </c>
      <c r="AR93" s="18"/>
      <c r="AS93" s="20">
        <v>1.8878831040429901E-3</v>
      </c>
      <c r="AT93" s="18"/>
      <c r="AU93" s="20">
        <v>1.8143349724208399E-3</v>
      </c>
      <c r="AV93" s="18"/>
      <c r="AW93" s="20">
        <v>4.4334086233493402E-5</v>
      </c>
      <c r="AX93" s="18"/>
      <c r="AY93" s="20">
        <v>2.7507313544029999E-5</v>
      </c>
      <c r="AZ93" s="18"/>
      <c r="BA93" s="20">
        <v>4.6196041575624399E-3</v>
      </c>
      <c r="BB93" s="18"/>
      <c r="BC93" s="20">
        <v>3.3917972728035799E-3</v>
      </c>
      <c r="BD93" s="18"/>
      <c r="BE93" s="20">
        <v>1.3979694375506799E-3</v>
      </c>
      <c r="BF93" s="18"/>
      <c r="BG93" s="20"/>
      <c r="BH93" s="18"/>
    </row>
    <row r="94" spans="1:60" x14ac:dyDescent="0.2">
      <c r="A94" s="16">
        <v>2000</v>
      </c>
      <c r="B94" s="16">
        <v>3</v>
      </c>
      <c r="C94" s="20"/>
      <c r="D94" s="18"/>
      <c r="E94" s="20">
        <v>3.4500916182423298E-2</v>
      </c>
      <c r="F94" s="18"/>
      <c r="G94" s="20">
        <v>2.4900086070112803E-4</v>
      </c>
      <c r="H94" s="18"/>
      <c r="I94" s="20">
        <v>-8.1797299293501498E-5</v>
      </c>
      <c r="J94" s="18"/>
      <c r="K94" s="20">
        <v>3.10480537020821E-3</v>
      </c>
      <c r="L94" s="18"/>
      <c r="M94" s="20">
        <v>2.2840431705048801E-3</v>
      </c>
      <c r="N94" s="18"/>
      <c r="O94" s="20">
        <v>8.1040271151915197E-4</v>
      </c>
      <c r="P94" s="18"/>
      <c r="Q94" s="20">
        <v>-1.3301436607042799E-3</v>
      </c>
      <c r="R94" s="18"/>
      <c r="S94" s="20">
        <v>-1.15811596047854E-4</v>
      </c>
      <c r="T94" s="18"/>
      <c r="U94" s="20">
        <v>-4.0701568364979302E-4</v>
      </c>
      <c r="V94" s="18"/>
      <c r="W94" s="20">
        <v>5.8740481259411201E-3</v>
      </c>
      <c r="X94" s="18"/>
      <c r="Y94" s="20">
        <v>1.04001953781769E-3</v>
      </c>
      <c r="Z94" s="18"/>
      <c r="AA94" s="20">
        <v>2.08741237520182E-3</v>
      </c>
      <c r="AB94" s="18"/>
      <c r="AC94" s="20">
        <v>5.7266323576990604E-4</v>
      </c>
      <c r="AD94" s="18"/>
      <c r="AE94" s="20">
        <v>6.2657073507898396E-3</v>
      </c>
      <c r="AF94" s="18"/>
      <c r="AG94" s="20">
        <v>1.2909850309645801E-2</v>
      </c>
      <c r="AH94" s="18"/>
      <c r="AI94" s="20">
        <v>8.1267137686435297E-3</v>
      </c>
      <c r="AJ94" s="18"/>
      <c r="AK94" s="20">
        <v>2.42928154586791E-3</v>
      </c>
      <c r="AL94" s="18"/>
      <c r="AM94" s="20">
        <v>-1.2417666791775699E-3</v>
      </c>
      <c r="AN94" s="18"/>
      <c r="AO94" s="20">
        <v>1.34294506666306E-3</v>
      </c>
      <c r="AP94" s="18"/>
      <c r="AQ94" s="20">
        <v>-7.4980711307689302E-4</v>
      </c>
      <c r="AR94" s="18"/>
      <c r="AS94" s="20">
        <v>2.67723987815681E-3</v>
      </c>
      <c r="AT94" s="18"/>
      <c r="AU94" s="20">
        <v>3.0042709205118099E-3</v>
      </c>
      <c r="AV94" s="18"/>
      <c r="AW94" s="20">
        <v>3.2651458483503898E-5</v>
      </c>
      <c r="AX94" s="18"/>
      <c r="AY94" s="20">
        <v>2.3831168276788699E-5</v>
      </c>
      <c r="AZ94" s="18"/>
      <c r="BA94" s="20">
        <v>3.8236922474876498E-3</v>
      </c>
      <c r="BB94" s="18"/>
      <c r="BC94" s="20">
        <v>3.35271026608364E-3</v>
      </c>
      <c r="BD94" s="18"/>
      <c r="BE94" s="20">
        <v>3.6760403449235602E-4</v>
      </c>
      <c r="BF94" s="18"/>
      <c r="BG94" s="20"/>
      <c r="BH94" s="18"/>
    </row>
    <row r="95" spans="1:60" x14ac:dyDescent="0.2">
      <c r="A95" s="16">
        <v>2000</v>
      </c>
      <c r="B95" s="16">
        <v>4</v>
      </c>
      <c r="C95" s="20"/>
      <c r="D95" s="18"/>
      <c r="E95" s="20">
        <v>2.3567311141718301E-2</v>
      </c>
      <c r="F95" s="18"/>
      <c r="G95" s="20">
        <v>-1.2319658097719201E-4</v>
      </c>
      <c r="H95" s="18"/>
      <c r="I95" s="20">
        <v>-5.8162336075427397E-6</v>
      </c>
      <c r="J95" s="18"/>
      <c r="K95" s="20">
        <v>4.6225539686383897E-3</v>
      </c>
      <c r="L95" s="18"/>
      <c r="M95" s="20">
        <v>1.2031783152744E-4</v>
      </c>
      <c r="N95" s="18"/>
      <c r="O95" s="20">
        <v>4.5533904875736698E-3</v>
      </c>
      <c r="P95" s="18"/>
      <c r="Q95" s="20">
        <v>-1.3409281972026E-4</v>
      </c>
      <c r="R95" s="18"/>
      <c r="S95" s="20">
        <v>-1.1775153045713899E-4</v>
      </c>
      <c r="T95" s="18"/>
      <c r="U95" s="20">
        <v>-5.1160647336048499E-4</v>
      </c>
      <c r="V95" s="18"/>
      <c r="W95" s="20">
        <v>1.88314161766977E-3</v>
      </c>
      <c r="X95" s="18"/>
      <c r="Y95" s="20">
        <v>4.0042332774895001E-4</v>
      </c>
      <c r="Z95" s="18"/>
      <c r="AA95" s="20">
        <v>1.88487357036329E-3</v>
      </c>
      <c r="AB95" s="18"/>
      <c r="AC95" s="20">
        <v>1.7029998224794699E-4</v>
      </c>
      <c r="AD95" s="18"/>
      <c r="AE95" s="20">
        <v>5.2422592262034596E-3</v>
      </c>
      <c r="AF95" s="18"/>
      <c r="AG95" s="20">
        <v>4.7840797548984798E-3</v>
      </c>
      <c r="AH95" s="18"/>
      <c r="AI95" s="20">
        <v>6.9785597542120598E-4</v>
      </c>
      <c r="AJ95" s="18"/>
      <c r="AK95" s="20">
        <v>2.2536868385329202E-3</v>
      </c>
      <c r="AL95" s="18"/>
      <c r="AM95" s="20">
        <v>1.13616877019409E-3</v>
      </c>
      <c r="AN95" s="18"/>
      <c r="AO95" s="20">
        <v>1.33346214157856E-3</v>
      </c>
      <c r="AP95" s="18"/>
      <c r="AQ95" s="20">
        <v>-7.3676753261874299E-4</v>
      </c>
      <c r="AR95" s="18"/>
      <c r="AS95" s="20">
        <v>3.0340221252208501E-3</v>
      </c>
      <c r="AT95" s="18"/>
      <c r="AU95" s="20">
        <v>1.22103834253115E-3</v>
      </c>
      <c r="AV95" s="18"/>
      <c r="AW95" s="20">
        <v>2.7496929045157902E-5</v>
      </c>
      <c r="AX95" s="18"/>
      <c r="AY95" s="20">
        <v>3.51353527213727E-5</v>
      </c>
      <c r="AZ95" s="18"/>
      <c r="BA95" s="20">
        <v>1.2983504049301901E-3</v>
      </c>
      <c r="BB95" s="18"/>
      <c r="BC95" s="20">
        <v>1.77329089015668E-3</v>
      </c>
      <c r="BD95" s="18"/>
      <c r="BE95" s="20">
        <v>-3.1991793113386198E-4</v>
      </c>
      <c r="BF95" s="18"/>
      <c r="BG95" s="20"/>
      <c r="BH95" s="18"/>
    </row>
    <row r="96" spans="1:60" x14ac:dyDescent="0.2">
      <c r="A96" s="16">
        <v>2001</v>
      </c>
      <c r="B96" s="16">
        <v>1</v>
      </c>
      <c r="C96" s="20"/>
      <c r="D96" s="18"/>
      <c r="E96" s="20">
        <v>2.2161305030425401E-2</v>
      </c>
      <c r="F96" s="18"/>
      <c r="G96" s="20">
        <v>-7.1834553374381098E-4</v>
      </c>
      <c r="H96" s="18"/>
      <c r="I96" s="20">
        <v>-1.9084124791281999E-5</v>
      </c>
      <c r="J96" s="18"/>
      <c r="K96" s="20">
        <v>1.1310638205445899E-2</v>
      </c>
      <c r="L96" s="18"/>
      <c r="M96" s="20">
        <v>4.1692457213892697E-3</v>
      </c>
      <c r="N96" s="18"/>
      <c r="O96" s="20">
        <v>7.2245271247437801E-3</v>
      </c>
      <c r="P96" s="18"/>
      <c r="Q96" s="20">
        <v>8.9281506712532205E-4</v>
      </c>
      <c r="R96" s="18"/>
      <c r="S96" s="20">
        <v>-5.8049250512614397E-6</v>
      </c>
      <c r="T96" s="18"/>
      <c r="U96" s="20">
        <v>-9.5069055929723604E-4</v>
      </c>
      <c r="V96" s="18"/>
      <c r="W96" s="20">
        <v>5.2045376898522799E-3</v>
      </c>
      <c r="X96" s="18"/>
      <c r="Y96" s="20">
        <v>2.6327868659776002E-3</v>
      </c>
      <c r="Z96" s="18"/>
      <c r="AA96" s="20">
        <v>-4.4002499082486598E-5</v>
      </c>
      <c r="AB96" s="18"/>
      <c r="AC96" s="20">
        <v>1.2934667204265501E-3</v>
      </c>
      <c r="AD96" s="18"/>
      <c r="AE96" s="20">
        <v>4.3862571880498198E-3</v>
      </c>
      <c r="AF96" s="18"/>
      <c r="AG96" s="20">
        <v>-9.2615729942411001E-3</v>
      </c>
      <c r="AH96" s="18"/>
      <c r="AI96" s="20">
        <v>-1.21487918451987E-2</v>
      </c>
      <c r="AJ96" s="18"/>
      <c r="AK96" s="20">
        <v>2.0051846058103599E-3</v>
      </c>
      <c r="AL96" s="18"/>
      <c r="AM96" s="20">
        <v>4.5892732356594803E-3</v>
      </c>
      <c r="AN96" s="18"/>
      <c r="AO96" s="20">
        <v>2.0314707726401399E-3</v>
      </c>
      <c r="AP96" s="18"/>
      <c r="AQ96" s="20">
        <v>-5.9952657085349801E-4</v>
      </c>
      <c r="AR96" s="18"/>
      <c r="AS96" s="20">
        <v>4.3125978766466897E-3</v>
      </c>
      <c r="AT96" s="18"/>
      <c r="AU96" s="20">
        <v>-3.09896436157443E-4</v>
      </c>
      <c r="AV96" s="18"/>
      <c r="AW96" s="20">
        <v>8.9314073213335804E-5</v>
      </c>
      <c r="AX96" s="18"/>
      <c r="AY96" s="20">
        <v>5.8694755613332901E-5</v>
      </c>
      <c r="AZ96" s="18"/>
      <c r="BA96" s="20">
        <v>-2.2985344417912799E-4</v>
      </c>
      <c r="BB96" s="18"/>
      <c r="BC96" s="20">
        <v>7.6317525360600799E-4</v>
      </c>
      <c r="BD96" s="18"/>
      <c r="BE96" s="20">
        <v>-9.5129877695552005E-4</v>
      </c>
      <c r="BF96" s="18"/>
      <c r="BG96" s="20"/>
      <c r="BH96" s="18"/>
    </row>
    <row r="97" spans="1:60" x14ac:dyDescent="0.2">
      <c r="A97" s="16">
        <v>2001</v>
      </c>
      <c r="B97" s="16">
        <v>2</v>
      </c>
      <c r="C97" s="20"/>
      <c r="D97" s="18"/>
      <c r="E97" s="20">
        <v>2.59230593070429E-2</v>
      </c>
      <c r="F97" s="18"/>
      <c r="G97" s="20">
        <v>-9.947930603419581E-4</v>
      </c>
      <c r="H97" s="18"/>
      <c r="I97" s="20">
        <v>1.40328228129962E-5</v>
      </c>
      <c r="J97" s="18"/>
      <c r="K97" s="20">
        <v>1.5623100060587199E-2</v>
      </c>
      <c r="L97" s="18"/>
      <c r="M97" s="20">
        <v>6.5588984061460296E-3</v>
      </c>
      <c r="N97" s="18"/>
      <c r="O97" s="20">
        <v>9.0877604916015497E-3</v>
      </c>
      <c r="P97" s="18"/>
      <c r="Q97" s="20">
        <v>6.9263332312745796E-4</v>
      </c>
      <c r="R97" s="18"/>
      <c r="S97" s="20">
        <v>1.0713280888312401E-4</v>
      </c>
      <c r="T97" s="18"/>
      <c r="U97" s="20">
        <v>-2.39938390343186E-4</v>
      </c>
      <c r="V97" s="18"/>
      <c r="W97" s="20">
        <v>5.5863391438078702E-3</v>
      </c>
      <c r="X97" s="18"/>
      <c r="Y97" s="20">
        <v>2.4561181628291601E-3</v>
      </c>
      <c r="Z97" s="18"/>
      <c r="AA97" s="20">
        <v>-2.4912132074686699E-4</v>
      </c>
      <c r="AB97" s="18"/>
      <c r="AC97" s="20">
        <v>-7.9993770086202005E-6</v>
      </c>
      <c r="AD97" s="18"/>
      <c r="AE97" s="20">
        <v>2.3225606000554901E-3</v>
      </c>
      <c r="AF97" s="18"/>
      <c r="AG97" s="20">
        <v>-7.2203348990405999E-3</v>
      </c>
      <c r="AH97" s="18"/>
      <c r="AI97" s="20">
        <v>-8.7905573796485201E-3</v>
      </c>
      <c r="AJ97" s="18"/>
      <c r="AK97" s="20">
        <v>1.4381509105583601E-3</v>
      </c>
      <c r="AL97" s="18"/>
      <c r="AM97" s="20">
        <v>7.3034082563755301E-3</v>
      </c>
      <c r="AN97" s="18"/>
      <c r="AO97" s="20">
        <v>1.1094088176295E-3</v>
      </c>
      <c r="AP97" s="18"/>
      <c r="AQ97" s="20">
        <v>3.36968970279147E-5</v>
      </c>
      <c r="AR97" s="18"/>
      <c r="AS97" s="20">
        <v>3.0207065654245602E-3</v>
      </c>
      <c r="AT97" s="18"/>
      <c r="AU97" s="20">
        <v>-1.8593590294094899E-3</v>
      </c>
      <c r="AV97" s="18"/>
      <c r="AW97" s="20">
        <v>2.3456952334685699E-4</v>
      </c>
      <c r="AX97" s="18"/>
      <c r="AY97" s="20">
        <v>6.7930409786947006E-5</v>
      </c>
      <c r="AZ97" s="18"/>
      <c r="BA97" s="20">
        <v>-9.6378228529081099E-4</v>
      </c>
      <c r="BB97" s="18"/>
      <c r="BC97" s="20">
        <v>2.8546592603815902E-4</v>
      </c>
      <c r="BD97" s="18"/>
      <c r="BE97" s="20">
        <v>-1.3321086464715599E-3</v>
      </c>
      <c r="BF97" s="18"/>
      <c r="BG97" s="20"/>
      <c r="BH97" s="18"/>
    </row>
    <row r="98" spans="1:60" x14ac:dyDescent="0.2">
      <c r="A98" s="16">
        <v>2001</v>
      </c>
      <c r="B98" s="16">
        <v>3</v>
      </c>
      <c r="C98" s="20"/>
      <c r="D98" s="18"/>
      <c r="E98" s="20">
        <v>1.8144415361319399E-2</v>
      </c>
      <c r="F98" s="18"/>
      <c r="G98" s="20">
        <v>-9.8461042753780802E-4</v>
      </c>
      <c r="H98" s="18"/>
      <c r="I98" s="20">
        <v>2.1424073115412901E-5</v>
      </c>
      <c r="J98" s="18"/>
      <c r="K98" s="20">
        <v>1.13788676771633E-2</v>
      </c>
      <c r="L98" s="18"/>
      <c r="M98" s="20">
        <v>5.7650919055853298E-3</v>
      </c>
      <c r="N98" s="18"/>
      <c r="O98" s="20">
        <v>5.6389038077260699E-3</v>
      </c>
      <c r="P98" s="18"/>
      <c r="Q98" s="20">
        <v>1.8096742979288E-3</v>
      </c>
      <c r="R98" s="18"/>
      <c r="S98" s="20">
        <v>6.6294439049367296E-5</v>
      </c>
      <c r="T98" s="18"/>
      <c r="U98" s="20">
        <v>1.76083696227773E-4</v>
      </c>
      <c r="V98" s="18"/>
      <c r="W98" s="20">
        <v>4.2312299850098102E-3</v>
      </c>
      <c r="X98" s="18"/>
      <c r="Y98" s="20">
        <v>2.4353545647820898E-3</v>
      </c>
      <c r="Z98" s="18"/>
      <c r="AA98" s="20">
        <v>-2.0888277588122201E-4</v>
      </c>
      <c r="AB98" s="18"/>
      <c r="AC98" s="20">
        <v>3.4568493084990201E-4</v>
      </c>
      <c r="AD98" s="18"/>
      <c r="AE98" s="20">
        <v>2.0187206041353402E-3</v>
      </c>
      <c r="AF98" s="18"/>
      <c r="AG98" s="20">
        <v>-9.0169069759921307E-3</v>
      </c>
      <c r="AH98" s="18"/>
      <c r="AI98" s="20">
        <v>-8.7475237709667992E-3</v>
      </c>
      <c r="AJ98" s="18"/>
      <c r="AK98" s="20">
        <v>6.4724779537391895E-4</v>
      </c>
      <c r="AL98" s="18"/>
      <c r="AM98" s="20">
        <v>6.3669208770239004E-3</v>
      </c>
      <c r="AN98" s="18"/>
      <c r="AO98" s="20">
        <v>1.1304278123516001E-3</v>
      </c>
      <c r="AP98" s="18"/>
      <c r="AQ98" s="20">
        <v>4.5468024576557603E-4</v>
      </c>
      <c r="AR98" s="18"/>
      <c r="AS98" s="20">
        <v>2.82022418690475E-3</v>
      </c>
      <c r="AT98" s="18"/>
      <c r="AU98" s="20">
        <v>-2.8867292930260702E-3</v>
      </c>
      <c r="AV98" s="18"/>
      <c r="AW98" s="20">
        <v>2.9515044743093702E-4</v>
      </c>
      <c r="AX98" s="18"/>
      <c r="AY98" s="20">
        <v>6.8722489684023606E-5</v>
      </c>
      <c r="AZ98" s="18"/>
      <c r="BA98" s="20">
        <v>-2.05065601100599E-3</v>
      </c>
      <c r="BB98" s="18"/>
      <c r="BC98" s="20">
        <v>-3.6034532546593099E-4</v>
      </c>
      <c r="BD98" s="18"/>
      <c r="BE98" s="20">
        <v>-1.5486553250418701E-3</v>
      </c>
      <c r="BF98" s="18"/>
      <c r="BG98" s="20"/>
      <c r="BH98" s="18"/>
    </row>
    <row r="99" spans="1:60" x14ac:dyDescent="0.2">
      <c r="A99" s="16">
        <v>2001</v>
      </c>
      <c r="B99" s="16">
        <v>4</v>
      </c>
      <c r="C99" s="20"/>
      <c r="D99" s="18"/>
      <c r="E99" s="20">
        <v>3.8520930858302401E-3</v>
      </c>
      <c r="F99" s="18"/>
      <c r="G99" s="20">
        <v>-6.1088347438871798E-4</v>
      </c>
      <c r="H99" s="18"/>
      <c r="I99" s="20">
        <v>8.4588018073731795E-6</v>
      </c>
      <c r="J99" s="18"/>
      <c r="K99" s="20">
        <v>4.0753228662943801E-3</v>
      </c>
      <c r="L99" s="18"/>
      <c r="M99" s="20">
        <v>4.8210464920140699E-3</v>
      </c>
      <c r="N99" s="18"/>
      <c r="O99" s="20">
        <v>-8.85665494578657E-4</v>
      </c>
      <c r="P99" s="18"/>
      <c r="Q99" s="20">
        <v>-1.90989573648599E-3</v>
      </c>
      <c r="R99" s="18"/>
      <c r="S99" s="20">
        <v>1.2414957529069799E-4</v>
      </c>
      <c r="T99" s="18"/>
      <c r="U99" s="20">
        <v>-3.4463482932113501E-6</v>
      </c>
      <c r="V99" s="18"/>
      <c r="W99" s="20">
        <v>1.9961013974968199E-3</v>
      </c>
      <c r="X99" s="18"/>
      <c r="Y99" s="20">
        <v>1.6808970589425199E-3</v>
      </c>
      <c r="Z99" s="18"/>
      <c r="AA99" s="20">
        <v>5.4890280938725197E-4</v>
      </c>
      <c r="AB99" s="18"/>
      <c r="AC99" s="20">
        <v>4.1719380450459901E-4</v>
      </c>
      <c r="AD99" s="18"/>
      <c r="AE99" s="20">
        <v>1.3705155307938001E-3</v>
      </c>
      <c r="AF99" s="18"/>
      <c r="AG99" s="20">
        <v>-8.9076948988337703E-3</v>
      </c>
      <c r="AH99" s="18"/>
      <c r="AI99" s="20">
        <v>-7.8064264138880202E-3</v>
      </c>
      <c r="AJ99" s="18"/>
      <c r="AK99" s="20">
        <v>-3.3357827533510298E-4</v>
      </c>
      <c r="AL99" s="18"/>
      <c r="AM99" s="20">
        <v>2.9752642877904798E-3</v>
      </c>
      <c r="AN99" s="18"/>
      <c r="AO99" s="20">
        <v>6.9101334579852304E-4</v>
      </c>
      <c r="AP99" s="18"/>
      <c r="AQ99" s="20">
        <v>9.9227727134414199E-4</v>
      </c>
      <c r="AR99" s="18"/>
      <c r="AS99" s="20">
        <v>2.7929529635669099E-3</v>
      </c>
      <c r="AT99" s="18"/>
      <c r="AU99" s="20">
        <v>-7.6280676085354704E-4</v>
      </c>
      <c r="AV99" s="18"/>
      <c r="AW99" s="20">
        <v>4.2854264520612699E-4</v>
      </c>
      <c r="AX99" s="18"/>
      <c r="AY99" s="20">
        <v>5.0535630096310797E-5</v>
      </c>
      <c r="AZ99" s="18"/>
      <c r="BA99" s="20">
        <v>-2.2915727551908798E-3</v>
      </c>
      <c r="BB99" s="18"/>
      <c r="BC99" s="20">
        <v>-9.6654503982114798E-4</v>
      </c>
      <c r="BD99" s="18"/>
      <c r="BE99" s="20">
        <v>-1.4523755205888399E-3</v>
      </c>
      <c r="BF99" s="18"/>
      <c r="BG99" s="20"/>
      <c r="BH99" s="18"/>
    </row>
    <row r="100" spans="1:60" x14ac:dyDescent="0.2">
      <c r="A100" s="16">
        <v>2002</v>
      </c>
      <c r="B100" s="16">
        <v>1</v>
      </c>
      <c r="C100" s="20"/>
      <c r="D100" s="18"/>
      <c r="E100" s="20">
        <v>4.0706266856724996E-3</v>
      </c>
      <c r="F100" s="18"/>
      <c r="G100" s="20">
        <v>1.6160900865406499E-4</v>
      </c>
      <c r="H100" s="18"/>
      <c r="I100" s="20">
        <v>8.0012488536626997E-6</v>
      </c>
      <c r="J100" s="18"/>
      <c r="K100" s="20">
        <v>7.6540220164886101E-4</v>
      </c>
      <c r="L100" s="18"/>
      <c r="M100" s="20">
        <v>4.9624679283802797E-3</v>
      </c>
      <c r="N100" s="18"/>
      <c r="O100" s="20">
        <v>-4.1872917392407104E-3</v>
      </c>
      <c r="P100" s="18"/>
      <c r="Q100" s="20">
        <v>-4.1121077999841599E-3</v>
      </c>
      <c r="R100" s="18"/>
      <c r="S100" s="20">
        <v>1.7746493804241101E-4</v>
      </c>
      <c r="T100" s="18"/>
      <c r="U100" s="20">
        <v>1.41583236664975E-3</v>
      </c>
      <c r="V100" s="18"/>
      <c r="W100" s="20">
        <v>3.77227934661468E-3</v>
      </c>
      <c r="X100" s="18"/>
      <c r="Y100" s="20">
        <v>1.1212338182062301E-3</v>
      </c>
      <c r="Z100" s="18"/>
      <c r="AA100" s="20">
        <v>-6.7216059798256897E-5</v>
      </c>
      <c r="AB100" s="18"/>
      <c r="AC100" s="20">
        <v>-7.3354984400596799E-4</v>
      </c>
      <c r="AD100" s="18"/>
      <c r="AE100" s="20">
        <v>1.5371280100729299E-3</v>
      </c>
      <c r="AF100" s="18"/>
      <c r="AG100" s="20">
        <v>-2.9205088505737799E-3</v>
      </c>
      <c r="AH100" s="18"/>
      <c r="AI100" s="20">
        <v>-1.2874434742789799E-3</v>
      </c>
      <c r="AJ100" s="18"/>
      <c r="AK100" s="20">
        <v>-1.51313089353124E-3</v>
      </c>
      <c r="AL100" s="18"/>
      <c r="AM100" s="20">
        <v>-1.9409364384049999E-3</v>
      </c>
      <c r="AN100" s="18"/>
      <c r="AO100" s="20">
        <v>2.2077526075685899E-4</v>
      </c>
      <c r="AP100" s="18"/>
      <c r="AQ100" s="20">
        <v>1.8576275771537501E-3</v>
      </c>
      <c r="AR100" s="18"/>
      <c r="AS100" s="20">
        <v>1.5270724121214099E-3</v>
      </c>
      <c r="AT100" s="18"/>
      <c r="AU100" s="20">
        <v>1.8004207834997699E-3</v>
      </c>
      <c r="AV100" s="18"/>
      <c r="AW100" s="20">
        <v>4.4054720883821501E-4</v>
      </c>
      <c r="AX100" s="18"/>
      <c r="AY100" s="20">
        <v>2.6272712826556E-5</v>
      </c>
      <c r="AZ100" s="18"/>
      <c r="BA100" s="20">
        <v>-2.1830016062874499E-3</v>
      </c>
      <c r="BB100" s="18"/>
      <c r="BC100" s="20">
        <v>-6.5616606061904095E-4</v>
      </c>
      <c r="BD100" s="18"/>
      <c r="BE100" s="20">
        <v>-1.38087941250936E-3</v>
      </c>
      <c r="BF100" s="18"/>
      <c r="BG100" s="20"/>
      <c r="BH100" s="18"/>
    </row>
    <row r="101" spans="1:60" x14ac:dyDescent="0.2">
      <c r="A101" s="16">
        <v>2002</v>
      </c>
      <c r="B101" s="16">
        <v>2</v>
      </c>
      <c r="C101" s="20"/>
      <c r="D101" s="18"/>
      <c r="E101" s="20">
        <v>7.9000288510462802E-3</v>
      </c>
      <c r="F101" s="18"/>
      <c r="G101" s="20">
        <v>4.7870514594846502E-4</v>
      </c>
      <c r="H101" s="18"/>
      <c r="I101" s="20">
        <v>1.8120481491108698E-5</v>
      </c>
      <c r="J101" s="18"/>
      <c r="K101" s="20">
        <v>5.7508547417622104E-3</v>
      </c>
      <c r="L101" s="18"/>
      <c r="M101" s="20">
        <v>6.57284851382825E-3</v>
      </c>
      <c r="N101" s="18"/>
      <c r="O101" s="20">
        <v>-8.16906903241983E-4</v>
      </c>
      <c r="P101" s="18"/>
      <c r="Q101" s="20">
        <v>-3.86154850642425E-3</v>
      </c>
      <c r="R101" s="18"/>
      <c r="S101" s="20">
        <v>1.0493882514012299E-4</v>
      </c>
      <c r="T101" s="18"/>
      <c r="U101" s="20">
        <v>2.0785276963736399E-3</v>
      </c>
      <c r="V101" s="18"/>
      <c r="W101" s="20">
        <v>4.1957383197618299E-3</v>
      </c>
      <c r="X101" s="18"/>
      <c r="Y101" s="20">
        <v>-5.7671168036471199E-4</v>
      </c>
      <c r="Z101" s="18"/>
      <c r="AA101" s="20">
        <v>9.6451715126696805E-4</v>
      </c>
      <c r="AB101" s="18"/>
      <c r="AC101" s="20">
        <v>-9.8648404809679492E-4</v>
      </c>
      <c r="AD101" s="18"/>
      <c r="AE101" s="20">
        <v>8.9594274597169896E-4</v>
      </c>
      <c r="AF101" s="18"/>
      <c r="AG101" s="20">
        <v>-4.7984451999891096E-3</v>
      </c>
      <c r="AH101" s="18"/>
      <c r="AI101" s="20">
        <v>-3.3707217840377298E-3</v>
      </c>
      <c r="AJ101" s="18"/>
      <c r="AK101" s="20">
        <v>-1.71046506291083E-3</v>
      </c>
      <c r="AL101" s="18"/>
      <c r="AM101" s="20">
        <v>-6.8480461869412498E-3</v>
      </c>
      <c r="AN101" s="18"/>
      <c r="AO101" s="20">
        <v>6.3393977750150895E-4</v>
      </c>
      <c r="AP101" s="18"/>
      <c r="AQ101" s="20">
        <v>1.8854439402042501E-3</v>
      </c>
      <c r="AR101" s="18"/>
      <c r="AS101" s="20">
        <v>2.3351239163249501E-3</v>
      </c>
      <c r="AT101" s="18"/>
      <c r="AU101" s="20">
        <v>4.4067077460338902E-3</v>
      </c>
      <c r="AV101" s="18"/>
      <c r="AW101" s="20">
        <v>7.33525057943755E-4</v>
      </c>
      <c r="AX101" s="18"/>
      <c r="AY101" s="20">
        <v>1.5130135096527001E-5</v>
      </c>
      <c r="AZ101" s="18"/>
      <c r="BA101" s="20">
        <v>-1.2286472909433101E-3</v>
      </c>
      <c r="BB101" s="18"/>
      <c r="BC101" s="20">
        <v>-9.1497611782114993E-5</v>
      </c>
      <c r="BD101" s="18"/>
      <c r="BE101" s="20">
        <v>-1.24007704055702E-3</v>
      </c>
      <c r="BF101" s="18"/>
      <c r="BG101" s="20"/>
      <c r="BH101" s="18"/>
    </row>
    <row r="102" spans="1:60" x14ac:dyDescent="0.2">
      <c r="A102" s="16">
        <v>2002</v>
      </c>
      <c r="B102" s="16">
        <v>3</v>
      </c>
      <c r="C102" s="20"/>
      <c r="D102" s="18"/>
      <c r="E102" s="20">
        <v>8.8014676637112894E-3</v>
      </c>
      <c r="F102" s="18"/>
      <c r="G102" s="20">
        <v>4.3562725124036901E-4</v>
      </c>
      <c r="H102" s="18"/>
      <c r="I102" s="20">
        <v>-2.29874791702016E-5</v>
      </c>
      <c r="J102" s="18"/>
      <c r="K102" s="20">
        <v>7.2698311767337501E-3</v>
      </c>
      <c r="L102" s="18"/>
      <c r="M102" s="20">
        <v>6.7532931487294503E-3</v>
      </c>
      <c r="N102" s="18"/>
      <c r="O102" s="20">
        <v>5.0215340961385301E-4</v>
      </c>
      <c r="P102" s="18"/>
      <c r="Q102" s="20">
        <v>-3.8984434371506301E-3</v>
      </c>
      <c r="R102" s="18"/>
      <c r="S102" s="20">
        <v>7.7209135483603095E-5</v>
      </c>
      <c r="T102" s="18"/>
      <c r="U102" s="20">
        <v>2.0510334870869102E-3</v>
      </c>
      <c r="V102" s="18"/>
      <c r="W102" s="20">
        <v>5.8841813034427402E-3</v>
      </c>
      <c r="X102" s="18"/>
      <c r="Y102" s="20">
        <v>7.7843283587947104E-5</v>
      </c>
      <c r="Z102" s="18"/>
      <c r="AA102" s="20">
        <v>1.3323860839937699E-3</v>
      </c>
      <c r="AB102" s="18"/>
      <c r="AC102" s="20">
        <v>-1.5248324371652799E-3</v>
      </c>
      <c r="AD102" s="18"/>
      <c r="AE102" s="20">
        <v>8.6381783764204396E-4</v>
      </c>
      <c r="AF102" s="18"/>
      <c r="AG102" s="20">
        <v>-4.2327444935443296E-3</v>
      </c>
      <c r="AH102" s="18"/>
      <c r="AI102" s="20">
        <v>-3.2672445270110098E-3</v>
      </c>
      <c r="AJ102" s="18"/>
      <c r="AK102" s="20">
        <v>-1.05829607062714E-3</v>
      </c>
      <c r="AL102" s="18"/>
      <c r="AM102" s="20">
        <v>-7.8968072871079507E-3</v>
      </c>
      <c r="AN102" s="18"/>
      <c r="AO102" s="20">
        <v>6.1379006221737396E-4</v>
      </c>
      <c r="AP102" s="18"/>
      <c r="AQ102" s="20">
        <v>1.7581248121302201E-3</v>
      </c>
      <c r="AR102" s="18"/>
      <c r="AS102" s="20">
        <v>2.1809160633351299E-3</v>
      </c>
      <c r="AT102" s="18"/>
      <c r="AU102" s="20">
        <v>2.8655000820953999E-3</v>
      </c>
      <c r="AV102" s="18"/>
      <c r="AW102" s="20">
        <v>8.2865487820109904E-4</v>
      </c>
      <c r="AX102" s="18"/>
      <c r="AY102" s="20">
        <v>1.4434907091791501E-5</v>
      </c>
      <c r="AZ102" s="18"/>
      <c r="BA102" s="20">
        <v>-7.9041424160632102E-4</v>
      </c>
      <c r="BB102" s="18"/>
      <c r="BC102" s="20">
        <v>3.9942013908952901E-4</v>
      </c>
      <c r="BD102" s="18"/>
      <c r="BE102" s="20">
        <v>-1.1156594492348899E-3</v>
      </c>
      <c r="BF102" s="18"/>
      <c r="BG102" s="20"/>
      <c r="BH102" s="18"/>
    </row>
    <row r="103" spans="1:60" x14ac:dyDescent="0.2">
      <c r="A103" s="16">
        <v>2002</v>
      </c>
      <c r="B103" s="16">
        <v>4</v>
      </c>
      <c r="C103" s="20"/>
      <c r="D103" s="18"/>
      <c r="E103" s="20">
        <v>-6.0033062952234597E-4</v>
      </c>
      <c r="F103" s="18"/>
      <c r="G103" s="20">
        <v>-6.7855357724907198E-5</v>
      </c>
      <c r="H103" s="18"/>
      <c r="I103" s="20">
        <v>-5.4015679072275202E-5</v>
      </c>
      <c r="J103" s="18"/>
      <c r="K103" s="20">
        <v>4.78151712892343E-3</v>
      </c>
      <c r="L103" s="18"/>
      <c r="M103" s="20">
        <v>4.8300802486132303E-3</v>
      </c>
      <c r="N103" s="18"/>
      <c r="O103" s="20">
        <v>-5.60217153186879E-5</v>
      </c>
      <c r="P103" s="18"/>
      <c r="Q103" s="20">
        <v>-2.2802650696813901E-3</v>
      </c>
      <c r="R103" s="18"/>
      <c r="S103" s="20">
        <v>-5.6961038216950098E-6</v>
      </c>
      <c r="T103" s="18"/>
      <c r="U103" s="20">
        <v>2.98311455257515E-3</v>
      </c>
      <c r="V103" s="18"/>
      <c r="W103" s="20">
        <v>3.3830957561161701E-3</v>
      </c>
      <c r="X103" s="18"/>
      <c r="Y103" s="20">
        <v>-5.2180722602668695E-4</v>
      </c>
      <c r="Z103" s="18"/>
      <c r="AA103" s="20">
        <v>6.6525423646821697E-4</v>
      </c>
      <c r="AB103" s="18"/>
      <c r="AC103" s="20">
        <v>-1.6126876665793E-3</v>
      </c>
      <c r="AD103" s="18"/>
      <c r="AE103" s="20">
        <v>1.03189939253158E-4</v>
      </c>
      <c r="AF103" s="18"/>
      <c r="AG103" s="20">
        <v>-3.3907526584121398E-3</v>
      </c>
      <c r="AH103" s="18"/>
      <c r="AI103" s="20">
        <v>-3.74452525803598E-3</v>
      </c>
      <c r="AJ103" s="18"/>
      <c r="AK103" s="20">
        <v>3.7124409395385702E-4</v>
      </c>
      <c r="AL103" s="18"/>
      <c r="AM103" s="20">
        <v>-9.5030732227335806E-3</v>
      </c>
      <c r="AN103" s="18"/>
      <c r="AO103" s="20">
        <v>4.9754992766157702E-4</v>
      </c>
      <c r="AP103" s="18"/>
      <c r="AQ103" s="20">
        <v>1.06465668731681E-3</v>
      </c>
      <c r="AR103" s="18"/>
      <c r="AS103" s="20">
        <v>1.3835190764716601E-3</v>
      </c>
      <c r="AT103" s="18"/>
      <c r="AU103" s="20">
        <v>1.2560517584804399E-3</v>
      </c>
      <c r="AV103" s="18"/>
      <c r="AW103" s="20">
        <v>3.9399484119240902E-4</v>
      </c>
      <c r="AX103" s="18"/>
      <c r="AY103" s="20">
        <v>8.1482503191252697E-6</v>
      </c>
      <c r="AZ103" s="18"/>
      <c r="BA103" s="20">
        <v>-6.8858768325180198E-4</v>
      </c>
      <c r="BB103" s="18"/>
      <c r="BC103" s="20">
        <v>2.0229599248779501E-4</v>
      </c>
      <c r="BD103" s="18"/>
      <c r="BE103" s="20">
        <v>-9.6142430216631899E-4</v>
      </c>
      <c r="BF103" s="18"/>
      <c r="BG103" s="20"/>
      <c r="BH103" s="18"/>
    </row>
    <row r="104" spans="1:60" x14ac:dyDescent="0.2">
      <c r="A104" s="16">
        <v>2003</v>
      </c>
      <c r="B104" s="16">
        <v>1</v>
      </c>
      <c r="C104" s="20"/>
      <c r="D104" s="18"/>
      <c r="E104" s="20">
        <v>-3.9366484157019998E-3</v>
      </c>
      <c r="F104" s="18"/>
      <c r="G104" s="20">
        <v>-1.3903793443135199E-3</v>
      </c>
      <c r="H104" s="18"/>
      <c r="I104" s="20">
        <v>-5.0087298227209397E-5</v>
      </c>
      <c r="J104" s="18"/>
      <c r="K104" s="20">
        <v>2.9832888085993899E-3</v>
      </c>
      <c r="L104" s="18"/>
      <c r="M104" s="20">
        <v>3.3836355218759902E-3</v>
      </c>
      <c r="N104" s="18"/>
      <c r="O104" s="20">
        <v>-3.4595649901314799E-4</v>
      </c>
      <c r="P104" s="18"/>
      <c r="Q104" s="20">
        <v>-4.4060793686672599E-4</v>
      </c>
      <c r="R104" s="18"/>
      <c r="S104" s="20">
        <v>-1.6863161967668901E-4</v>
      </c>
      <c r="T104" s="18"/>
      <c r="U104" s="20">
        <v>1.60865356058239E-3</v>
      </c>
      <c r="V104" s="18"/>
      <c r="W104" s="20">
        <v>5.1440388304303296E-3</v>
      </c>
      <c r="X104" s="18"/>
      <c r="Y104" s="20">
        <v>6.2019532018827296E-4</v>
      </c>
      <c r="Z104" s="18"/>
      <c r="AA104" s="20">
        <v>1.5998041229069099E-3</v>
      </c>
      <c r="AB104" s="18"/>
      <c r="AC104" s="20">
        <v>-2.0427787894679002E-3</v>
      </c>
      <c r="AD104" s="18"/>
      <c r="AE104" s="20">
        <v>-1.3700585828652001E-3</v>
      </c>
      <c r="AF104" s="18"/>
      <c r="AG104" s="20">
        <v>-3.4438555024622198E-3</v>
      </c>
      <c r="AH104" s="18"/>
      <c r="AI104" s="20">
        <v>-4.9003375244979601E-3</v>
      </c>
      <c r="AJ104" s="18"/>
      <c r="AK104" s="20">
        <v>2.5124766399381498E-3</v>
      </c>
      <c r="AL104" s="18"/>
      <c r="AM104" s="20">
        <v>-7.7880930115081896E-3</v>
      </c>
      <c r="AN104" s="18"/>
      <c r="AO104" s="20">
        <v>5.5526141157091898E-4</v>
      </c>
      <c r="AP104" s="18"/>
      <c r="AQ104" s="20">
        <v>5.9482428007668698E-4</v>
      </c>
      <c r="AR104" s="18"/>
      <c r="AS104" s="20">
        <v>1.0499976312197999E-3</v>
      </c>
      <c r="AT104" s="18"/>
      <c r="AU104" s="20">
        <v>-9.6465406456739398E-4</v>
      </c>
      <c r="AV104" s="18"/>
      <c r="AW104" s="20">
        <v>1.8468058436722299E-4</v>
      </c>
      <c r="AX104" s="18"/>
      <c r="AY104" s="20">
        <v>2.9053953791076901E-6</v>
      </c>
      <c r="AZ104" s="18"/>
      <c r="BA104" s="20">
        <v>-5.8804503780040499E-4</v>
      </c>
      <c r="BB104" s="18"/>
      <c r="BC104" s="20">
        <v>3.2573385145483397E-4</v>
      </c>
      <c r="BD104" s="18"/>
      <c r="BE104" s="20">
        <v>-8.3891961477861998E-4</v>
      </c>
      <c r="BF104" s="18"/>
      <c r="BG104" s="20"/>
      <c r="BH104" s="18"/>
    </row>
    <row r="105" spans="1:60" x14ac:dyDescent="0.2">
      <c r="A105" s="16">
        <v>2003</v>
      </c>
      <c r="B105" s="16">
        <v>2</v>
      </c>
      <c r="C105" s="20"/>
      <c r="D105" s="18"/>
      <c r="E105" s="20">
        <v>-1.3912038734706001E-2</v>
      </c>
      <c r="F105" s="18"/>
      <c r="G105" s="20">
        <v>-1.7261716238313499E-3</v>
      </c>
      <c r="H105" s="18"/>
      <c r="I105" s="20">
        <v>-8.8203999190103198E-5</v>
      </c>
      <c r="J105" s="18"/>
      <c r="K105" s="20">
        <v>-4.50474124149152E-3</v>
      </c>
      <c r="L105" s="18"/>
      <c r="M105" s="20">
        <v>8.1148923051514699E-4</v>
      </c>
      <c r="N105" s="18"/>
      <c r="O105" s="20">
        <v>-5.3032511597868896E-3</v>
      </c>
      <c r="P105" s="18"/>
      <c r="Q105" s="20">
        <v>-1.1542986131629E-3</v>
      </c>
      <c r="R105" s="18"/>
      <c r="S105" s="20">
        <v>-9.9360557123546296E-5</v>
      </c>
      <c r="T105" s="18"/>
      <c r="U105" s="20">
        <v>1.1444399153672301E-3</v>
      </c>
      <c r="V105" s="18"/>
      <c r="W105" s="20">
        <v>2.0679054725879398E-3</v>
      </c>
      <c r="X105" s="18"/>
      <c r="Y105" s="20">
        <v>1.6788445542247001E-3</v>
      </c>
      <c r="Z105" s="18"/>
      <c r="AA105" s="20">
        <v>6.76092843462658E-4</v>
      </c>
      <c r="AB105" s="18"/>
      <c r="AC105" s="20">
        <v>-2.33857992552238E-3</v>
      </c>
      <c r="AD105" s="18"/>
      <c r="AE105" s="20">
        <v>-1.9521686360464501E-3</v>
      </c>
      <c r="AF105" s="18"/>
      <c r="AG105" s="20">
        <v>2.67041975673004E-3</v>
      </c>
      <c r="AH105" s="18"/>
      <c r="AI105" s="20">
        <v>3.9675835486758002E-4</v>
      </c>
      <c r="AJ105" s="18"/>
      <c r="AK105" s="20">
        <v>3.5133356120928098E-3</v>
      </c>
      <c r="AL105" s="18"/>
      <c r="AM105" s="20">
        <v>-6.4765674621559003E-3</v>
      </c>
      <c r="AN105" s="18"/>
      <c r="AO105" s="20">
        <v>7.7405035726637705E-4</v>
      </c>
      <c r="AP105" s="18"/>
      <c r="AQ105" s="20">
        <v>-2.35437856962637E-5</v>
      </c>
      <c r="AR105" s="18"/>
      <c r="AS105" s="20">
        <v>8.6120794873561395E-4</v>
      </c>
      <c r="AT105" s="18"/>
      <c r="AU105" s="20">
        <v>-3.47234008965533E-3</v>
      </c>
      <c r="AV105" s="18"/>
      <c r="AW105" s="20">
        <v>-2.7506293206604399E-4</v>
      </c>
      <c r="AX105" s="18"/>
      <c r="AY105" s="20">
        <v>-5.0122636449914496E-6</v>
      </c>
      <c r="AZ105" s="18"/>
      <c r="BA105" s="20">
        <v>-5.6952179420194501E-4</v>
      </c>
      <c r="BB105" s="18"/>
      <c r="BC105" s="20">
        <v>1.0505624786106399E-4</v>
      </c>
      <c r="BD105" s="18"/>
      <c r="BE105" s="20">
        <v>-6.9797227452273803E-4</v>
      </c>
      <c r="BF105" s="18"/>
      <c r="BG105" s="20"/>
      <c r="BH105" s="18"/>
    </row>
    <row r="106" spans="1:60" x14ac:dyDescent="0.2">
      <c r="A106" s="16">
        <v>2003</v>
      </c>
      <c r="B106" s="16">
        <v>3</v>
      </c>
      <c r="C106" s="20"/>
      <c r="D106" s="18"/>
      <c r="E106" s="20">
        <v>-5.1671512125623402E-3</v>
      </c>
      <c r="F106" s="18"/>
      <c r="G106" s="20">
        <v>-1.59772399409064E-3</v>
      </c>
      <c r="H106" s="18"/>
      <c r="I106" s="20">
        <v>-7.1319014498691906E-5</v>
      </c>
      <c r="J106" s="18"/>
      <c r="K106" s="20">
        <v>-2.3078399854051801E-3</v>
      </c>
      <c r="L106" s="18"/>
      <c r="M106" s="20">
        <v>7.6033962183401404E-4</v>
      </c>
      <c r="N106" s="18"/>
      <c r="O106" s="20">
        <v>-3.0505088223381498E-3</v>
      </c>
      <c r="P106" s="18"/>
      <c r="Q106" s="20">
        <v>-1.4901020546015901E-3</v>
      </c>
      <c r="R106" s="18"/>
      <c r="S106" s="20">
        <v>4.9584553295687002E-5</v>
      </c>
      <c r="T106" s="18"/>
      <c r="U106" s="20">
        <v>3.3806617089195303E-4</v>
      </c>
      <c r="V106" s="18"/>
      <c r="W106" s="20">
        <v>3.8853833292399899E-3</v>
      </c>
      <c r="X106" s="18"/>
      <c r="Y106" s="20">
        <v>1.2764054839206199E-3</v>
      </c>
      <c r="Z106" s="18"/>
      <c r="AA106" s="20">
        <v>-7.3547731441900603E-4</v>
      </c>
      <c r="AB106" s="18"/>
      <c r="AC106" s="20">
        <v>-2.3779943345788599E-3</v>
      </c>
      <c r="AD106" s="18"/>
      <c r="AE106" s="20">
        <v>-3.2660043324915602E-3</v>
      </c>
      <c r="AF106" s="18"/>
      <c r="AG106" s="20">
        <v>7.7229186033437704E-3</v>
      </c>
      <c r="AH106" s="18"/>
      <c r="AI106" s="20">
        <v>4.6026932515543396E-3</v>
      </c>
      <c r="AJ106" s="18"/>
      <c r="AK106" s="20">
        <v>3.7037668510097499E-3</v>
      </c>
      <c r="AL106" s="18"/>
      <c r="AM106" s="20">
        <v>-5.33834861705779E-3</v>
      </c>
      <c r="AN106" s="18"/>
      <c r="AO106" s="20">
        <v>9.8762436696606809E-4</v>
      </c>
      <c r="AP106" s="18"/>
      <c r="AQ106" s="20">
        <v>-8.4460184193523895E-6</v>
      </c>
      <c r="AR106" s="18"/>
      <c r="AS106" s="20">
        <v>1.2123381163586899E-3</v>
      </c>
      <c r="AT106" s="18"/>
      <c r="AU106" s="20">
        <v>-1.9368329243431999E-3</v>
      </c>
      <c r="AV106" s="18"/>
      <c r="AW106" s="20">
        <v>-3.3902205062163998E-4</v>
      </c>
      <c r="AX106" s="18"/>
      <c r="AY106" s="20">
        <v>-8.9325900992115401E-6</v>
      </c>
      <c r="AZ106" s="18"/>
      <c r="BA106" s="20">
        <v>1.2958352692295699E-4</v>
      </c>
      <c r="BB106" s="18"/>
      <c r="BC106" s="20">
        <v>7.1290375923468399E-4</v>
      </c>
      <c r="BD106" s="18"/>
      <c r="BE106" s="20">
        <v>-5.63542964776885E-4</v>
      </c>
      <c r="BF106" s="18"/>
      <c r="BG106" s="20"/>
      <c r="BH106" s="18"/>
    </row>
    <row r="107" spans="1:60" x14ac:dyDescent="0.2">
      <c r="A107" s="16">
        <v>2003</v>
      </c>
      <c r="B107" s="16">
        <v>4</v>
      </c>
      <c r="C107" s="20"/>
      <c r="D107" s="18"/>
      <c r="E107" s="20">
        <v>1.10372957557614E-2</v>
      </c>
      <c r="F107" s="18"/>
      <c r="G107" s="20">
        <v>-8.3671902637736696E-4</v>
      </c>
      <c r="H107" s="18"/>
      <c r="I107" s="20">
        <v>-4.0754005806086897E-5</v>
      </c>
      <c r="J107" s="18"/>
      <c r="K107" s="20">
        <v>1.47044400419614E-3</v>
      </c>
      <c r="L107" s="18"/>
      <c r="M107" s="20">
        <v>3.1557020578648798E-3</v>
      </c>
      <c r="N107" s="18"/>
      <c r="O107" s="20">
        <v>-1.75086903683664E-3</v>
      </c>
      <c r="P107" s="18"/>
      <c r="Q107" s="20">
        <v>-2.5074549084555999E-3</v>
      </c>
      <c r="R107" s="18"/>
      <c r="S107" s="20">
        <v>1.4579147292925499E-4</v>
      </c>
      <c r="T107" s="18"/>
      <c r="U107" s="20">
        <v>5.1691027585348403E-4</v>
      </c>
      <c r="V107" s="18"/>
      <c r="W107" s="20">
        <v>4.8493246718083801E-3</v>
      </c>
      <c r="X107" s="18"/>
      <c r="Y107" s="20">
        <v>5.7241919302019597E-4</v>
      </c>
      <c r="Z107" s="18"/>
      <c r="AA107" s="20">
        <v>1.6425630640736901E-4</v>
      </c>
      <c r="AB107" s="18"/>
      <c r="AC107" s="20">
        <v>-1.77951926083718E-3</v>
      </c>
      <c r="AD107" s="18"/>
      <c r="AE107" s="20">
        <v>-2.3811381721537601E-3</v>
      </c>
      <c r="AF107" s="18"/>
      <c r="AG107" s="20">
        <v>1.0560774786548601E-2</v>
      </c>
      <c r="AH107" s="18"/>
      <c r="AI107" s="20">
        <v>7.7583584760396998E-3</v>
      </c>
      <c r="AJ107" s="18"/>
      <c r="AK107" s="20">
        <v>2.9457052696215099E-3</v>
      </c>
      <c r="AL107" s="18"/>
      <c r="AM107" s="20">
        <v>-6.8770725246321295E-4</v>
      </c>
      <c r="AN107" s="18"/>
      <c r="AO107" s="20">
        <v>1.2830684015935399E-3</v>
      </c>
      <c r="AP107" s="18"/>
      <c r="AQ107" s="20">
        <v>1.4118600703105701E-4</v>
      </c>
      <c r="AR107" s="18"/>
      <c r="AS107" s="20">
        <v>1.25627889091131E-3</v>
      </c>
      <c r="AT107" s="18"/>
      <c r="AU107" s="20">
        <v>-5.2254643180669298E-4</v>
      </c>
      <c r="AV107" s="18"/>
      <c r="AW107" s="20">
        <v>-1.12817611033981E-4</v>
      </c>
      <c r="AX107" s="18"/>
      <c r="AY107" s="20">
        <v>-6.6997471474328202E-9</v>
      </c>
      <c r="AZ107" s="18"/>
      <c r="BA107" s="20">
        <v>1.1908129913761601E-3</v>
      </c>
      <c r="BB107" s="18"/>
      <c r="BC107" s="20">
        <v>1.6391970930486599E-3</v>
      </c>
      <c r="BD107" s="18"/>
      <c r="BE107" s="20">
        <v>-4.4817631909655999E-4</v>
      </c>
      <c r="BF107" s="18"/>
      <c r="BG107" s="20"/>
      <c r="BH107" s="18"/>
    </row>
    <row r="108" spans="1:60" x14ac:dyDescent="0.2">
      <c r="A108" s="16">
        <v>2004</v>
      </c>
      <c r="B108" s="16">
        <v>1</v>
      </c>
      <c r="C108" s="20"/>
      <c r="D108" s="18"/>
      <c r="E108" s="20">
        <v>2.4188528984826398E-2</v>
      </c>
      <c r="F108" s="18"/>
      <c r="G108" s="20">
        <v>9.8881383424276499E-4</v>
      </c>
      <c r="H108" s="18"/>
      <c r="I108" s="20">
        <v>-4.0248451562131303E-6</v>
      </c>
      <c r="J108" s="18"/>
      <c r="K108" s="20">
        <v>3.4802328685363802E-3</v>
      </c>
      <c r="L108" s="18"/>
      <c r="M108" s="20">
        <v>3.7920426735764301E-3</v>
      </c>
      <c r="N108" s="18"/>
      <c r="O108" s="20">
        <v>-3.1458673566026502E-4</v>
      </c>
      <c r="P108" s="18"/>
      <c r="Q108" s="20">
        <v>-2.6345190459742701E-3</v>
      </c>
      <c r="R108" s="18"/>
      <c r="S108" s="20">
        <v>3.7782952968467502E-4</v>
      </c>
      <c r="T108" s="18"/>
      <c r="U108" s="20">
        <v>-2.7338766897501898E-4</v>
      </c>
      <c r="V108" s="18"/>
      <c r="W108" s="20">
        <v>8.6758559314435903E-3</v>
      </c>
      <c r="X108" s="18"/>
      <c r="Y108" s="20">
        <v>8.8712660589440097E-4</v>
      </c>
      <c r="Z108" s="18"/>
      <c r="AA108" s="20">
        <v>6.5401855640275105E-4</v>
      </c>
      <c r="AB108" s="18"/>
      <c r="AC108" s="20">
        <v>-1.71533657834628E-3</v>
      </c>
      <c r="AD108" s="18"/>
      <c r="AE108" s="20">
        <v>-6.5431558963487005E-4</v>
      </c>
      <c r="AF108" s="18"/>
      <c r="AG108" s="20">
        <v>1.25709587256839E-2</v>
      </c>
      <c r="AH108" s="18"/>
      <c r="AI108" s="20">
        <v>1.0337689511529399E-2</v>
      </c>
      <c r="AJ108" s="18"/>
      <c r="AK108" s="20">
        <v>1.2300276404042E-3</v>
      </c>
      <c r="AL108" s="18"/>
      <c r="AM108" s="20">
        <v>-1.9247379818594499E-4</v>
      </c>
      <c r="AN108" s="18"/>
      <c r="AO108" s="20">
        <v>8.1806180365201302E-4</v>
      </c>
      <c r="AP108" s="18"/>
      <c r="AQ108" s="20">
        <v>-8.6712896575605702E-5</v>
      </c>
      <c r="AR108" s="18"/>
      <c r="AS108" s="20">
        <v>1.1796162604852101E-3</v>
      </c>
      <c r="AT108" s="18"/>
      <c r="AU108" s="20">
        <v>6.5404230430947505E-4</v>
      </c>
      <c r="AV108" s="18"/>
      <c r="AW108" s="20">
        <v>2.7180822617268102E-4</v>
      </c>
      <c r="AX108" s="18"/>
      <c r="AY108" s="20">
        <v>1.7519785599228698E-5</v>
      </c>
      <c r="AZ108" s="18"/>
      <c r="BA108" s="20">
        <v>2.6298459703356001E-3</v>
      </c>
      <c r="BB108" s="18"/>
      <c r="BC108" s="20">
        <v>2.8042036179209799E-3</v>
      </c>
      <c r="BD108" s="18"/>
      <c r="BE108" s="20">
        <v>-2.2857709375260601E-4</v>
      </c>
      <c r="BF108" s="18"/>
      <c r="BG108" s="20"/>
      <c r="BH108" s="18"/>
    </row>
    <row r="109" spans="1:60" x14ac:dyDescent="0.2">
      <c r="A109" s="16">
        <v>2004</v>
      </c>
      <c r="B109" s="16">
        <v>2</v>
      </c>
      <c r="C109" s="20"/>
      <c r="D109" s="18"/>
      <c r="E109" s="20">
        <v>3.1770878408513399E-2</v>
      </c>
      <c r="F109" s="18"/>
      <c r="G109" s="20">
        <v>1.7027906365971201E-3</v>
      </c>
      <c r="H109" s="18"/>
      <c r="I109" s="20">
        <v>5.9847892358033202E-5</v>
      </c>
      <c r="J109" s="18"/>
      <c r="K109" s="20">
        <v>5.8555409907713298E-3</v>
      </c>
      <c r="L109" s="18"/>
      <c r="M109" s="20">
        <v>4.0572789000799204E-3</v>
      </c>
      <c r="N109" s="18"/>
      <c r="O109" s="20">
        <v>1.7928781148844599E-3</v>
      </c>
      <c r="P109" s="18"/>
      <c r="Q109" s="20">
        <v>-2.5234342277232302E-3</v>
      </c>
      <c r="R109" s="18"/>
      <c r="S109" s="20">
        <v>4.5505261161559298E-4</v>
      </c>
      <c r="T109" s="18"/>
      <c r="U109" s="20">
        <v>-1.6223571240713099E-3</v>
      </c>
      <c r="V109" s="18"/>
      <c r="W109" s="20">
        <v>1.1384779911420499E-2</v>
      </c>
      <c r="X109" s="18"/>
      <c r="Y109" s="20">
        <v>-3.1380026277687397E-4</v>
      </c>
      <c r="Z109" s="18"/>
      <c r="AA109" s="20">
        <v>1.06250934296278E-3</v>
      </c>
      <c r="AB109" s="18"/>
      <c r="AC109" s="20">
        <v>-7.4145244844738001E-4</v>
      </c>
      <c r="AD109" s="18"/>
      <c r="AE109" s="20">
        <v>4.90922087245754E-4</v>
      </c>
      <c r="AF109" s="18"/>
      <c r="AG109" s="20">
        <v>7.7910411402644601E-3</v>
      </c>
      <c r="AH109" s="18"/>
      <c r="AI109" s="20">
        <v>6.7862266152070097E-3</v>
      </c>
      <c r="AJ109" s="18"/>
      <c r="AK109" s="20">
        <v>-8.1069242686024304E-5</v>
      </c>
      <c r="AL109" s="18"/>
      <c r="AM109" s="20">
        <v>1.62848012002149E-3</v>
      </c>
      <c r="AN109" s="18"/>
      <c r="AO109" s="20">
        <v>1.28331748397627E-3</v>
      </c>
      <c r="AP109" s="18"/>
      <c r="AQ109" s="20">
        <v>1.1551122133943101E-3</v>
      </c>
      <c r="AR109" s="18"/>
      <c r="AS109" s="20">
        <v>1.6780484297706801E-3</v>
      </c>
      <c r="AT109" s="18"/>
      <c r="AU109" s="20">
        <v>2.0418960786284801E-3</v>
      </c>
      <c r="AV109" s="18"/>
      <c r="AW109" s="20">
        <v>2.4439482999455197E-4</v>
      </c>
      <c r="AX109" s="18"/>
      <c r="AY109" s="20">
        <v>3.5466800957425603E-5</v>
      </c>
      <c r="AZ109" s="18"/>
      <c r="BA109" s="20">
        <v>2.94835184436172E-3</v>
      </c>
      <c r="BB109" s="18"/>
      <c r="BC109" s="20">
        <v>3.0377739162494501E-3</v>
      </c>
      <c r="BD109" s="18"/>
      <c r="BE109" s="20">
        <v>-8.9180131418758495E-5</v>
      </c>
      <c r="BF109" s="18"/>
      <c r="BG109" s="20"/>
      <c r="BH109" s="18"/>
    </row>
    <row r="110" spans="1:60" x14ac:dyDescent="0.2">
      <c r="A110" s="16">
        <v>2004</v>
      </c>
      <c r="B110" s="16">
        <v>3</v>
      </c>
      <c r="C110" s="20"/>
      <c r="D110" s="18"/>
      <c r="E110" s="20">
        <v>2.3334969648400501E-2</v>
      </c>
      <c r="F110" s="18"/>
      <c r="G110" s="20">
        <v>1.8492656362236099E-3</v>
      </c>
      <c r="H110" s="18"/>
      <c r="I110" s="20">
        <v>8.3482605859500994E-5</v>
      </c>
      <c r="J110" s="18"/>
      <c r="K110" s="20">
        <v>2.4226312121153502E-3</v>
      </c>
      <c r="L110" s="18"/>
      <c r="M110" s="20">
        <v>3.3098154433228999E-3</v>
      </c>
      <c r="N110" s="18"/>
      <c r="O110" s="20">
        <v>-8.6828640073336805E-4</v>
      </c>
      <c r="P110" s="18"/>
      <c r="Q110" s="20">
        <v>-1.57019847533163E-3</v>
      </c>
      <c r="R110" s="18"/>
      <c r="S110" s="20">
        <v>2.8831155222101699E-4</v>
      </c>
      <c r="T110" s="18"/>
      <c r="U110" s="20">
        <v>-6.6156646332189999E-4</v>
      </c>
      <c r="V110" s="18"/>
      <c r="W110" s="20">
        <v>7.4578459316288299E-3</v>
      </c>
      <c r="X110" s="18"/>
      <c r="Y110" s="20">
        <v>-3.2615574654541702E-4</v>
      </c>
      <c r="Z110" s="18"/>
      <c r="AA110" s="20">
        <v>1.4048176575792899E-3</v>
      </c>
      <c r="AB110" s="18"/>
      <c r="AC110" s="20">
        <v>-8.1462757946071601E-4</v>
      </c>
      <c r="AD110" s="18"/>
      <c r="AE110" s="20">
        <v>2.1676087104380301E-3</v>
      </c>
      <c r="AF110" s="18"/>
      <c r="AG110" s="20">
        <v>1.8259455039354199E-3</v>
      </c>
      <c r="AH110" s="18"/>
      <c r="AI110" s="20">
        <v>1.9699603652264699E-3</v>
      </c>
      <c r="AJ110" s="18"/>
      <c r="AK110" s="20">
        <v>-6.8247344057312405E-4</v>
      </c>
      <c r="AL110" s="18"/>
      <c r="AM110" s="20">
        <v>2.6559171752546999E-3</v>
      </c>
      <c r="AN110" s="18"/>
      <c r="AO110" s="20">
        <v>5.70169015957178E-4</v>
      </c>
      <c r="AP110" s="18"/>
      <c r="AQ110" s="20">
        <v>8.0930525544857198E-4</v>
      </c>
      <c r="AR110" s="18"/>
      <c r="AS110" s="20">
        <v>1.24821895517706E-3</v>
      </c>
      <c r="AT110" s="18"/>
      <c r="AU110" s="20">
        <v>3.3074805504963401E-3</v>
      </c>
      <c r="AV110" s="18"/>
      <c r="AW110" s="20">
        <v>1.6701301322112399E-4</v>
      </c>
      <c r="AX110" s="18"/>
      <c r="AY110" s="20">
        <v>4.55887498580356E-5</v>
      </c>
      <c r="AZ110" s="18"/>
      <c r="BA110" s="20">
        <v>2.3413126428911499E-3</v>
      </c>
      <c r="BB110" s="18"/>
      <c r="BC110" s="20">
        <v>2.3290936508977701E-3</v>
      </c>
      <c r="BD110" s="18"/>
      <c r="BE110" s="20">
        <v>2.16022063156636E-5</v>
      </c>
      <c r="BF110" s="18"/>
      <c r="BG110" s="20"/>
      <c r="BH110" s="18"/>
    </row>
    <row r="111" spans="1:60" x14ac:dyDescent="0.2">
      <c r="A111" s="16">
        <v>2004</v>
      </c>
      <c r="B111" s="16">
        <v>4</v>
      </c>
      <c r="C111" s="20"/>
      <c r="D111" s="18"/>
      <c r="E111" s="20">
        <v>1.53706264892327E-2</v>
      </c>
      <c r="F111" s="18"/>
      <c r="G111" s="20">
        <v>1.40901937203155E-3</v>
      </c>
      <c r="H111" s="18"/>
      <c r="I111" s="20">
        <v>3.9621177051367801E-5</v>
      </c>
      <c r="J111" s="18"/>
      <c r="K111" s="20">
        <v>1.53273796023711E-3</v>
      </c>
      <c r="L111" s="18"/>
      <c r="M111" s="20">
        <v>2.3584903820084899E-3</v>
      </c>
      <c r="N111" s="18"/>
      <c r="O111" s="20">
        <v>-8.3416616435952004E-4</v>
      </c>
      <c r="P111" s="18"/>
      <c r="Q111" s="20">
        <v>1.20397877518515E-4</v>
      </c>
      <c r="R111" s="18"/>
      <c r="S111" s="20">
        <v>9.1055012796488995E-5</v>
      </c>
      <c r="T111" s="18"/>
      <c r="U111" s="20">
        <v>-5.1932675892056102E-4</v>
      </c>
      <c r="V111" s="18"/>
      <c r="W111" s="20">
        <v>4.9755746967129998E-3</v>
      </c>
      <c r="X111" s="18"/>
      <c r="Y111" s="20">
        <v>-4.0123071326610902E-4</v>
      </c>
      <c r="Z111" s="18"/>
      <c r="AA111" s="20">
        <v>1.2046018194624599E-3</v>
      </c>
      <c r="AB111" s="18"/>
      <c r="AC111" s="20">
        <v>-6.5291756979521701E-4</v>
      </c>
      <c r="AD111" s="18"/>
      <c r="AE111" s="20">
        <v>1.44167145033682E-3</v>
      </c>
      <c r="AF111" s="18"/>
      <c r="AG111" s="20">
        <v>-2.94461555601241E-4</v>
      </c>
      <c r="AH111" s="18"/>
      <c r="AI111" s="20">
        <v>3.9679782336227702E-4</v>
      </c>
      <c r="AJ111" s="18"/>
      <c r="AK111" s="20">
        <v>-5.0249907520783204E-4</v>
      </c>
      <c r="AL111" s="18"/>
      <c r="AM111" s="20">
        <v>2.19645551531767E-3</v>
      </c>
      <c r="AN111" s="18"/>
      <c r="AO111" s="20">
        <v>4.7081712169880999E-4</v>
      </c>
      <c r="AP111" s="18"/>
      <c r="AQ111" s="20">
        <v>1.07880904486396E-3</v>
      </c>
      <c r="AR111" s="18"/>
      <c r="AS111" s="20">
        <v>6.5302801721039603E-4</v>
      </c>
      <c r="AT111" s="18"/>
      <c r="AU111" s="20">
        <v>1.3984260634422299E-3</v>
      </c>
      <c r="AV111" s="18"/>
      <c r="AW111" s="20">
        <v>1.4211137726327701E-4</v>
      </c>
      <c r="AX111" s="18"/>
      <c r="AY111" s="20">
        <v>5.7185367821035398E-5</v>
      </c>
      <c r="AZ111" s="18"/>
      <c r="BA111" s="20">
        <v>1.39170514694296E-3</v>
      </c>
      <c r="BB111" s="18"/>
      <c r="BC111" s="20">
        <v>1.4651792504629E-3</v>
      </c>
      <c r="BD111" s="18"/>
      <c r="BE111" s="20">
        <v>-5.08861523331017E-5</v>
      </c>
      <c r="BF111" s="18"/>
      <c r="BG111" s="20"/>
      <c r="BH111" s="18"/>
    </row>
    <row r="112" spans="1:60" x14ac:dyDescent="0.2">
      <c r="A112" s="16">
        <v>2005</v>
      </c>
      <c r="B112" s="16">
        <v>1</v>
      </c>
      <c r="C112" s="20"/>
      <c r="D112" s="18"/>
      <c r="E112" s="20">
        <v>1.5999288627882999E-2</v>
      </c>
      <c r="F112" s="18"/>
      <c r="G112" s="20">
        <v>1.71964010352621E-4</v>
      </c>
      <c r="H112" s="18"/>
      <c r="I112" s="20">
        <v>3.07649803301189E-5</v>
      </c>
      <c r="J112" s="18"/>
      <c r="K112" s="20">
        <v>1.91638482195741E-3</v>
      </c>
      <c r="L112" s="18"/>
      <c r="M112" s="20">
        <v>2.6841203205431301E-3</v>
      </c>
      <c r="N112" s="18"/>
      <c r="O112" s="20">
        <v>-7.2911333890790801E-4</v>
      </c>
      <c r="P112" s="18"/>
      <c r="Q112" s="20">
        <v>1.35910160141045E-3</v>
      </c>
      <c r="R112" s="18"/>
      <c r="S112" s="20">
        <v>3.3578941431915501E-4</v>
      </c>
      <c r="T112" s="18"/>
      <c r="U112" s="20">
        <v>-6.6650188363750204E-4</v>
      </c>
      <c r="V112" s="18"/>
      <c r="W112" s="20">
        <v>3.3623108086762599E-3</v>
      </c>
      <c r="X112" s="18"/>
      <c r="Y112" s="20">
        <v>-1.8307882803431501E-4</v>
      </c>
      <c r="Z112" s="18"/>
      <c r="AA112" s="20">
        <v>4.0543474037098098E-4</v>
      </c>
      <c r="AB112" s="18"/>
      <c r="AC112" s="20">
        <v>3.0373932348797098E-4</v>
      </c>
      <c r="AD112" s="18"/>
      <c r="AE112" s="20">
        <v>1.24205092447107E-3</v>
      </c>
      <c r="AF112" s="18"/>
      <c r="AG112" s="20">
        <v>1.1764222669969301E-3</v>
      </c>
      <c r="AH112" s="18"/>
      <c r="AI112" s="20">
        <v>1.2869331642949399E-3</v>
      </c>
      <c r="AJ112" s="18"/>
      <c r="AK112" s="20">
        <v>3.6529127225682397E-4</v>
      </c>
      <c r="AL112" s="18"/>
      <c r="AM112" s="20">
        <v>2.9243319232063899E-3</v>
      </c>
      <c r="AN112" s="18"/>
      <c r="AO112" s="20">
        <v>8.43156511686974E-4</v>
      </c>
      <c r="AP112" s="18"/>
      <c r="AQ112" s="20">
        <v>1.4970254362828199E-3</v>
      </c>
      <c r="AR112" s="18"/>
      <c r="AS112" s="20">
        <v>1.26916995440979E-3</v>
      </c>
      <c r="AT112" s="18"/>
      <c r="AU112" s="20">
        <v>6.5650975656294399E-5</v>
      </c>
      <c r="AV112" s="18"/>
      <c r="AW112" s="20">
        <v>-7.7446167540619294E-5</v>
      </c>
      <c r="AX112" s="18"/>
      <c r="AY112" s="20">
        <v>6.9701160045759606E-5</v>
      </c>
      <c r="AZ112" s="18"/>
      <c r="BA112" s="20">
        <v>8.8520718730413298E-4</v>
      </c>
      <c r="BB112" s="18"/>
      <c r="BC112" s="20">
        <v>9.5314633418450698E-4</v>
      </c>
      <c r="BD112" s="18"/>
      <c r="BE112" s="20">
        <v>-7.5008960845726806E-5</v>
      </c>
      <c r="BF112" s="18"/>
      <c r="BG112" s="20"/>
      <c r="BH112" s="18"/>
    </row>
    <row r="113" spans="1:60" x14ac:dyDescent="0.2">
      <c r="A113" s="16">
        <v>2005</v>
      </c>
      <c r="B113" s="16">
        <v>2</v>
      </c>
      <c r="C113" s="20"/>
      <c r="D113" s="18"/>
      <c r="E113" s="20">
        <v>2.64922636149953E-2</v>
      </c>
      <c r="F113" s="18"/>
      <c r="G113" s="20">
        <v>-3.47565865011926E-4</v>
      </c>
      <c r="H113" s="18"/>
      <c r="I113" s="20">
        <v>8.5368351193569302E-5</v>
      </c>
      <c r="J113" s="18"/>
      <c r="K113" s="20">
        <v>1.0808807417773399E-2</v>
      </c>
      <c r="L113" s="18"/>
      <c r="M113" s="20">
        <v>3.6862646273360402E-3</v>
      </c>
      <c r="N113" s="18"/>
      <c r="O113" s="20">
        <v>7.1233362753146696E-3</v>
      </c>
      <c r="P113" s="18"/>
      <c r="Q113" s="20">
        <v>3.8491613579731302E-4</v>
      </c>
      <c r="R113" s="18"/>
      <c r="S113" s="20">
        <v>6.6897354387763597E-4</v>
      </c>
      <c r="T113" s="18"/>
      <c r="U113" s="20">
        <v>1.9003333567181599E-3</v>
      </c>
      <c r="V113" s="18"/>
      <c r="W113" s="20">
        <v>4.3296180935673096E-3</v>
      </c>
      <c r="X113" s="18"/>
      <c r="Y113" s="20">
        <v>1.18623535762032E-3</v>
      </c>
      <c r="Z113" s="18"/>
      <c r="AA113" s="20">
        <v>-1.0975318960204501E-4</v>
      </c>
      <c r="AB113" s="18"/>
      <c r="AC113" s="20">
        <v>-2.8764677563470801E-4</v>
      </c>
      <c r="AD113" s="18"/>
      <c r="AE113" s="20">
        <v>1.6966147545019799E-3</v>
      </c>
      <c r="AF113" s="18"/>
      <c r="AG113" s="20">
        <v>3.5298151502616798E-3</v>
      </c>
      <c r="AH113" s="18"/>
      <c r="AI113" s="20">
        <v>3.0939721783383701E-3</v>
      </c>
      <c r="AJ113" s="18"/>
      <c r="AK113" s="20">
        <v>9.3468168559028499E-4</v>
      </c>
      <c r="AL113" s="18"/>
      <c r="AM113" s="20">
        <v>4.06305815596759E-3</v>
      </c>
      <c r="AN113" s="18"/>
      <c r="AO113" s="20">
        <v>2.0647886032732599E-4</v>
      </c>
      <c r="AP113" s="18"/>
      <c r="AQ113" s="20">
        <v>5.3130709266417198E-4</v>
      </c>
      <c r="AR113" s="18"/>
      <c r="AS113" s="20">
        <v>2.1533856024185801E-4</v>
      </c>
      <c r="AT113" s="18"/>
      <c r="AU113" s="20">
        <v>-1.27743804568181E-3</v>
      </c>
      <c r="AV113" s="18"/>
      <c r="AW113" s="20">
        <v>4.2255269670907296E-6</v>
      </c>
      <c r="AX113" s="18"/>
      <c r="AY113" s="20">
        <v>7.0030912962282805E-5</v>
      </c>
      <c r="AZ113" s="18"/>
      <c r="BA113" s="20">
        <v>1.0631944142539E-3</v>
      </c>
      <c r="BB113" s="18"/>
      <c r="BC113" s="20">
        <v>1.15164159971252E-3</v>
      </c>
      <c r="BD113" s="18"/>
      <c r="BE113" s="20">
        <v>-9.7041134569442796E-5</v>
      </c>
      <c r="BF113" s="18"/>
      <c r="BG113" s="20"/>
      <c r="BH113" s="18"/>
    </row>
    <row r="114" spans="1:60" x14ac:dyDescent="0.2">
      <c r="A114" s="16">
        <v>2005</v>
      </c>
      <c r="B114" s="16">
        <v>3</v>
      </c>
      <c r="C114" s="20"/>
      <c r="D114" s="18"/>
      <c r="E114" s="20">
        <v>3.3189006713280497E-2</v>
      </c>
      <c r="F114" s="18"/>
      <c r="G114" s="20">
        <v>-5.4961566763004103E-4</v>
      </c>
      <c r="H114" s="18"/>
      <c r="I114" s="20">
        <v>1.8847974457751599E-5</v>
      </c>
      <c r="J114" s="18"/>
      <c r="K114" s="20">
        <v>1.1489580730116701E-2</v>
      </c>
      <c r="L114" s="18"/>
      <c r="M114" s="20">
        <v>3.7872620107951599E-3</v>
      </c>
      <c r="N114" s="18"/>
      <c r="O114" s="20">
        <v>7.71101598114542E-3</v>
      </c>
      <c r="P114" s="18"/>
      <c r="Q114" s="20">
        <v>7.2685296062218699E-4</v>
      </c>
      <c r="R114" s="18"/>
      <c r="S114" s="20">
        <v>4.8913551319755696E-4</v>
      </c>
      <c r="T114" s="18"/>
      <c r="U114" s="20">
        <v>1.81742870220026E-3</v>
      </c>
      <c r="V114" s="18"/>
      <c r="W114" s="20">
        <v>6.2987416806319198E-3</v>
      </c>
      <c r="X114" s="18"/>
      <c r="Y114" s="20">
        <v>1.6007979544853299E-3</v>
      </c>
      <c r="Z114" s="18"/>
      <c r="AA114" s="20">
        <v>-1.92091683241406E-4</v>
      </c>
      <c r="AB114" s="18"/>
      <c r="AC114" s="20">
        <v>5.4783230414583595E-4</v>
      </c>
      <c r="AD114" s="18"/>
      <c r="AE114" s="20">
        <v>2.1583040467175098E-3</v>
      </c>
      <c r="AF114" s="18"/>
      <c r="AG114" s="20">
        <v>7.5409756455669602E-3</v>
      </c>
      <c r="AH114" s="18"/>
      <c r="AI114" s="20">
        <v>6.16181844898934E-3</v>
      </c>
      <c r="AJ114" s="18"/>
      <c r="AK114" s="20">
        <v>1.27052567943491E-3</v>
      </c>
      <c r="AL114" s="18"/>
      <c r="AM114" s="20">
        <v>4.3039813407744201E-3</v>
      </c>
      <c r="AN114" s="18"/>
      <c r="AO114" s="20">
        <v>3.1447474702526303E-5</v>
      </c>
      <c r="AP114" s="18"/>
      <c r="AQ114" s="20">
        <v>2.8271407305990799E-4</v>
      </c>
      <c r="AR114" s="18"/>
      <c r="AS114" s="20">
        <v>4.2197743858962E-4</v>
      </c>
      <c r="AT114" s="18"/>
      <c r="AU114" s="20">
        <v>-2.5048245576229501E-3</v>
      </c>
      <c r="AV114" s="18"/>
      <c r="AW114" s="20">
        <v>1.3365092722325401E-4</v>
      </c>
      <c r="AX114" s="18"/>
      <c r="AY114" s="20">
        <v>6.6072653929503199E-5</v>
      </c>
      <c r="AZ114" s="18"/>
      <c r="BA114" s="20">
        <v>1.2232231456374501E-3</v>
      </c>
      <c r="BB114" s="18"/>
      <c r="BC114" s="20">
        <v>1.40208802305767E-3</v>
      </c>
      <c r="BD114" s="18"/>
      <c r="BE114" s="20">
        <v>-1.5502215644120501E-4</v>
      </c>
      <c r="BF114" s="18"/>
      <c r="BG114" s="20"/>
      <c r="BH114" s="18"/>
    </row>
    <row r="115" spans="1:60" x14ac:dyDescent="0.2">
      <c r="A115" s="16">
        <v>2005</v>
      </c>
      <c r="B115" s="16">
        <v>4</v>
      </c>
      <c r="C115" s="20"/>
      <c r="D115" s="18"/>
      <c r="E115" s="20">
        <v>3.69242506633932E-2</v>
      </c>
      <c r="F115" s="18"/>
      <c r="G115" s="20">
        <v>-5.8839390226019005E-4</v>
      </c>
      <c r="H115" s="18"/>
      <c r="I115" s="20">
        <v>2.1321452641327999E-5</v>
      </c>
      <c r="J115" s="18"/>
      <c r="K115" s="20">
        <v>1.2710159643682301E-2</v>
      </c>
      <c r="L115" s="18"/>
      <c r="M115" s="20">
        <v>4.2788924403898603E-3</v>
      </c>
      <c r="N115" s="18"/>
      <c r="O115" s="20">
        <v>8.3971532099739593E-3</v>
      </c>
      <c r="P115" s="18"/>
      <c r="Q115" s="20">
        <v>9.2658903820838905E-4</v>
      </c>
      <c r="R115" s="18"/>
      <c r="S115" s="20">
        <v>7.4891442492669804E-4</v>
      </c>
      <c r="T115" s="18"/>
      <c r="U115" s="20">
        <v>1.64855649026134E-3</v>
      </c>
      <c r="V115" s="18"/>
      <c r="W115" s="20">
        <v>5.7175924282142502E-3</v>
      </c>
      <c r="X115" s="18"/>
      <c r="Y115" s="20">
        <v>1.6302815221670799E-3</v>
      </c>
      <c r="Z115" s="18"/>
      <c r="AA115" s="20">
        <v>4.4001635190399899E-4</v>
      </c>
      <c r="AB115" s="18"/>
      <c r="AC115" s="20">
        <v>4.6815914226983301E-4</v>
      </c>
      <c r="AD115" s="18"/>
      <c r="AE115" s="20">
        <v>2.6020212730617901E-3</v>
      </c>
      <c r="AF115" s="18"/>
      <c r="AG115" s="20">
        <v>9.0917797802078804E-3</v>
      </c>
      <c r="AH115" s="18"/>
      <c r="AI115" s="20">
        <v>6.9247370557162799E-3</v>
      </c>
      <c r="AJ115" s="18"/>
      <c r="AK115" s="20">
        <v>1.32520803534354E-3</v>
      </c>
      <c r="AL115" s="18"/>
      <c r="AM115" s="20">
        <v>3.2132643949023001E-3</v>
      </c>
      <c r="AN115" s="18"/>
      <c r="AO115" s="20">
        <v>-2.3854818806729602E-5</v>
      </c>
      <c r="AP115" s="18"/>
      <c r="AQ115" s="20">
        <v>-3.1719810216993498E-4</v>
      </c>
      <c r="AR115" s="18"/>
      <c r="AS115" s="20">
        <v>6.1516768653076097E-4</v>
      </c>
      <c r="AT115" s="18"/>
      <c r="AU115" s="20">
        <v>-8.9282731515795595E-4</v>
      </c>
      <c r="AV115" s="18"/>
      <c r="AW115" s="20">
        <v>2.9553870371792597E-4</v>
      </c>
      <c r="AX115" s="18"/>
      <c r="AY115" s="20">
        <v>5.4205023740212799E-5</v>
      </c>
      <c r="AZ115" s="18"/>
      <c r="BA115" s="20">
        <v>1.86053252017623E-3</v>
      </c>
      <c r="BB115" s="18"/>
      <c r="BC115" s="20">
        <v>1.8138832513353599E-3</v>
      </c>
      <c r="BD115" s="18"/>
      <c r="BE115" s="20">
        <v>4.7396685870711698E-5</v>
      </c>
      <c r="BF115" s="18"/>
      <c r="BG115" s="20"/>
      <c r="BH115" s="18"/>
    </row>
    <row r="116" spans="1:60" x14ac:dyDescent="0.2">
      <c r="A116" s="16">
        <v>2006</v>
      </c>
      <c r="B116" s="16">
        <v>1</v>
      </c>
      <c r="C116" s="20"/>
      <c r="D116" s="18"/>
      <c r="E116" s="20">
        <v>4.4594356520046202E-2</v>
      </c>
      <c r="F116" s="18"/>
      <c r="G116" s="20">
        <v>-5.0645804761715197E-4</v>
      </c>
      <c r="H116" s="18"/>
      <c r="I116" s="20">
        <v>-4.7318243957091002E-5</v>
      </c>
      <c r="J116" s="18"/>
      <c r="K116" s="20">
        <v>1.6416267180533701E-2</v>
      </c>
      <c r="L116" s="18"/>
      <c r="M116" s="20">
        <v>4.7760372566178003E-3</v>
      </c>
      <c r="N116" s="18"/>
      <c r="O116" s="20">
        <v>1.16692508061514E-2</v>
      </c>
      <c r="P116" s="18"/>
      <c r="Q116" s="20">
        <v>-6.6211676719987197E-5</v>
      </c>
      <c r="R116" s="18"/>
      <c r="S116" s="20">
        <v>5.5853337460101801E-4</v>
      </c>
      <c r="T116" s="18"/>
      <c r="U116" s="20">
        <v>8.0449049804011202E-4</v>
      </c>
      <c r="V116" s="18"/>
      <c r="W116" s="20">
        <v>6.7310490774849198E-3</v>
      </c>
      <c r="X116" s="18"/>
      <c r="Y116" s="20">
        <v>5.1598979472204404E-4</v>
      </c>
      <c r="Z116" s="18"/>
      <c r="AA116" s="20">
        <v>1.3678567533275401E-3</v>
      </c>
      <c r="AB116" s="18"/>
      <c r="AC116" s="20">
        <v>4.15965696936514E-4</v>
      </c>
      <c r="AD116" s="18"/>
      <c r="AE116" s="20">
        <v>2.6469663990316698E-3</v>
      </c>
      <c r="AF116" s="18"/>
      <c r="AG116" s="20">
        <v>1.02296759543451E-2</v>
      </c>
      <c r="AH116" s="18"/>
      <c r="AI116" s="20">
        <v>7.2355777435188897E-3</v>
      </c>
      <c r="AJ116" s="18"/>
      <c r="AK116" s="20">
        <v>1.2563400013899701E-3</v>
      </c>
      <c r="AL116" s="18"/>
      <c r="AM116" s="20">
        <v>3.7304745866074298E-3</v>
      </c>
      <c r="AN116" s="18"/>
      <c r="AO116" s="20">
        <v>3.6760357362182098E-4</v>
      </c>
      <c r="AP116" s="18"/>
      <c r="AQ116" s="20">
        <v>-3.72876691941092E-4</v>
      </c>
      <c r="AR116" s="18"/>
      <c r="AS116" s="20">
        <v>1.7858274117773601E-4</v>
      </c>
      <c r="AT116" s="18"/>
      <c r="AU116" s="20">
        <v>1.81466769374984E-3</v>
      </c>
      <c r="AV116" s="18"/>
      <c r="AW116" s="20">
        <v>3.0132452329198202E-4</v>
      </c>
      <c r="AX116" s="18"/>
      <c r="AY116" s="20">
        <v>3.95304734645987E-5</v>
      </c>
      <c r="AZ116" s="18"/>
      <c r="BA116" s="20">
        <v>2.7420531399468301E-3</v>
      </c>
      <c r="BB116" s="18"/>
      <c r="BC116" s="20">
        <v>2.6603191789451698E-3</v>
      </c>
      <c r="BD116" s="18"/>
      <c r="BE116" s="20">
        <v>5.5309290948887502E-5</v>
      </c>
      <c r="BF116" s="18"/>
      <c r="BG116" s="20"/>
      <c r="BH116" s="18"/>
    </row>
    <row r="117" spans="1:60" x14ac:dyDescent="0.2">
      <c r="A117" s="16">
        <v>2006</v>
      </c>
      <c r="B117" s="16">
        <v>2</v>
      </c>
      <c r="C117" s="20"/>
      <c r="D117" s="18"/>
      <c r="E117" s="20">
        <v>3.5225967789835201E-2</v>
      </c>
      <c r="F117" s="18"/>
      <c r="G117" s="20">
        <v>-4.3117334885909599E-4</v>
      </c>
      <c r="H117" s="18"/>
      <c r="I117" s="20">
        <v>-1.02830715038389E-4</v>
      </c>
      <c r="J117" s="18"/>
      <c r="K117" s="20">
        <v>8.5703206289344403E-3</v>
      </c>
      <c r="L117" s="18"/>
      <c r="M117" s="20">
        <v>4.3791366337188704E-3</v>
      </c>
      <c r="N117" s="18"/>
      <c r="O117" s="20">
        <v>4.1781547443777598E-3</v>
      </c>
      <c r="P117" s="18"/>
      <c r="Q117" s="20">
        <v>1.57029922608464E-3</v>
      </c>
      <c r="R117" s="18"/>
      <c r="S117" s="20">
        <v>1.78217651644951E-5</v>
      </c>
      <c r="T117" s="18"/>
      <c r="U117" s="20">
        <v>-7.4135746606915896E-4</v>
      </c>
      <c r="V117" s="18"/>
      <c r="W117" s="20">
        <v>7.8783917129321996E-3</v>
      </c>
      <c r="X117" s="18"/>
      <c r="Y117" s="20">
        <v>5.0716145945807695E-4</v>
      </c>
      <c r="Z117" s="18"/>
      <c r="AA117" s="20">
        <v>8.0495768166535797E-4</v>
      </c>
      <c r="AB117" s="18"/>
      <c r="AC117" s="20">
        <v>8.4404151694209798E-4</v>
      </c>
      <c r="AD117" s="18"/>
      <c r="AE117" s="20">
        <v>2.21495501088608E-3</v>
      </c>
      <c r="AF117" s="18"/>
      <c r="AG117" s="20">
        <v>9.0868509064624594E-3</v>
      </c>
      <c r="AH117" s="18"/>
      <c r="AI117" s="20">
        <v>6.0054149248977597E-3</v>
      </c>
      <c r="AJ117" s="18"/>
      <c r="AK117" s="20">
        <v>1.0658913931681001E-3</v>
      </c>
      <c r="AL117" s="18"/>
      <c r="AM117" s="20">
        <v>1.69521317206976E-3</v>
      </c>
      <c r="AN117" s="18"/>
      <c r="AO117" s="20">
        <v>-3.6459923676035602E-7</v>
      </c>
      <c r="AP117" s="18"/>
      <c r="AQ117" s="20">
        <v>-7.6242385616376199E-4</v>
      </c>
      <c r="AR117" s="18"/>
      <c r="AS117" s="20">
        <v>5.5165635527591598E-4</v>
      </c>
      <c r="AT117" s="18"/>
      <c r="AU117" s="20">
        <v>3.6674219603524301E-3</v>
      </c>
      <c r="AV117" s="18"/>
      <c r="AW117" s="20">
        <v>3.17755171551089E-4</v>
      </c>
      <c r="AX117" s="18"/>
      <c r="AY117" s="20">
        <v>3.2268551457939897E-5</v>
      </c>
      <c r="AZ117" s="18"/>
      <c r="BA117" s="20">
        <v>2.46722588882401E-3</v>
      </c>
      <c r="BB117" s="18"/>
      <c r="BC117" s="20">
        <v>2.3443678228703899E-3</v>
      </c>
      <c r="BD117" s="18"/>
      <c r="BE117" s="20">
        <v>1.31404185331504E-4</v>
      </c>
      <c r="BF117" s="18"/>
      <c r="BG117" s="20"/>
      <c r="BH117" s="18"/>
    </row>
    <row r="118" spans="1:60" x14ac:dyDescent="0.2">
      <c r="A118" s="16">
        <v>2006</v>
      </c>
      <c r="B118" s="16">
        <v>3</v>
      </c>
      <c r="C118" s="20"/>
      <c r="D118" s="18"/>
      <c r="E118" s="20">
        <v>3.6568672637263197E-2</v>
      </c>
      <c r="F118" s="18"/>
      <c r="G118" s="20">
        <v>-3.4048248140276799E-4</v>
      </c>
      <c r="H118" s="18"/>
      <c r="I118" s="20">
        <v>-5.3345482294335198E-5</v>
      </c>
      <c r="J118" s="18"/>
      <c r="K118" s="20">
        <v>1.1972252329543199E-2</v>
      </c>
      <c r="L118" s="18"/>
      <c r="M118" s="20">
        <v>6.5972314994486398E-3</v>
      </c>
      <c r="N118" s="18"/>
      <c r="O118" s="20">
        <v>5.4165560589205996E-3</v>
      </c>
      <c r="P118" s="18"/>
      <c r="Q118" s="20">
        <v>1.1911299442586901E-3</v>
      </c>
      <c r="R118" s="18"/>
      <c r="S118" s="20">
        <v>2.2318081397952E-4</v>
      </c>
      <c r="T118" s="18"/>
      <c r="U118" s="20">
        <v>-1.87337400547832E-3</v>
      </c>
      <c r="V118" s="18"/>
      <c r="W118" s="20">
        <v>1.12915026216672E-2</v>
      </c>
      <c r="X118" s="18"/>
      <c r="Y118" s="20">
        <v>8.1614510048072097E-4</v>
      </c>
      <c r="Z118" s="18"/>
      <c r="AA118" s="20">
        <v>9.5580147117650498E-4</v>
      </c>
      <c r="AB118" s="18"/>
      <c r="AC118" s="20">
        <v>4.29463427320558E-4</v>
      </c>
      <c r="AD118" s="18"/>
      <c r="AE118" s="20">
        <v>1.0578717669890701E-3</v>
      </c>
      <c r="AF118" s="18"/>
      <c r="AG118" s="20">
        <v>5.1939176358610601E-3</v>
      </c>
      <c r="AH118" s="18"/>
      <c r="AI118" s="20">
        <v>2.15105649648294E-3</v>
      </c>
      <c r="AJ118" s="18"/>
      <c r="AK118" s="20">
        <v>8.3470231184350197E-4</v>
      </c>
      <c r="AL118" s="18"/>
      <c r="AM118" s="20">
        <v>2.73014124283197E-3</v>
      </c>
      <c r="AN118" s="18"/>
      <c r="AO118" s="20">
        <v>9.5575513653539397E-4</v>
      </c>
      <c r="AP118" s="18"/>
      <c r="AQ118" s="20">
        <v>-1.6800181189204901E-4</v>
      </c>
      <c r="AR118" s="18"/>
      <c r="AS118" s="20">
        <v>4.6191364034849498E-4</v>
      </c>
      <c r="AT118" s="18"/>
      <c r="AU118" s="20">
        <v>2.2921220691820001E-3</v>
      </c>
      <c r="AV118" s="18"/>
      <c r="AW118" s="20">
        <v>2.69117217026269E-4</v>
      </c>
      <c r="AX118" s="18"/>
      <c r="AY118" s="20">
        <v>3.5486584320471598E-5</v>
      </c>
      <c r="AZ118" s="18"/>
      <c r="BA118" s="20">
        <v>2.8873482900617299E-3</v>
      </c>
      <c r="BB118" s="18"/>
      <c r="BC118" s="20">
        <v>2.6337112667887599E-3</v>
      </c>
      <c r="BD118" s="18"/>
      <c r="BE118" s="20">
        <v>2.2812656333954799E-4</v>
      </c>
      <c r="BF118" s="18"/>
      <c r="BG118" s="20"/>
      <c r="BH118" s="18"/>
    </row>
    <row r="119" spans="1:60" x14ac:dyDescent="0.2">
      <c r="A119" s="16">
        <v>2006</v>
      </c>
      <c r="B119" s="16">
        <v>4</v>
      </c>
      <c r="C119" s="20"/>
      <c r="D119" s="18"/>
      <c r="E119" s="20">
        <v>3.8224168569059802E-2</v>
      </c>
      <c r="F119" s="18"/>
      <c r="G119" s="20">
        <v>-1.49815748640326E-4</v>
      </c>
      <c r="H119" s="18"/>
      <c r="I119" s="20">
        <v>2.62879865418164E-6</v>
      </c>
      <c r="J119" s="18"/>
      <c r="K119" s="20">
        <v>1.3919644634122499E-2</v>
      </c>
      <c r="L119" s="18"/>
      <c r="M119" s="20">
        <v>6.7814638369305003E-3</v>
      </c>
      <c r="N119" s="18"/>
      <c r="O119" s="20">
        <v>7.1271391754954396E-3</v>
      </c>
      <c r="P119" s="18"/>
      <c r="Q119" s="20">
        <v>4.4284470851624E-4</v>
      </c>
      <c r="R119" s="18"/>
      <c r="S119" s="20">
        <v>1.6647929063648401E-4</v>
      </c>
      <c r="T119" s="18"/>
      <c r="U119" s="20">
        <v>-2.2587723779430801E-3</v>
      </c>
      <c r="V119" s="18"/>
      <c r="W119" s="20">
        <v>1.1738181768238201E-2</v>
      </c>
      <c r="X119" s="18"/>
      <c r="Y119" s="20">
        <v>2.8553361016335499E-4</v>
      </c>
      <c r="Z119" s="18"/>
      <c r="AA119" s="20">
        <v>7.9709171433832405E-4</v>
      </c>
      <c r="AB119" s="18"/>
      <c r="AC119" s="20">
        <v>4.4209045268789001E-4</v>
      </c>
      <c r="AD119" s="18"/>
      <c r="AE119" s="20">
        <v>9.21032210112751E-4</v>
      </c>
      <c r="AF119" s="18"/>
      <c r="AG119" s="20">
        <v>5.7797519404977002E-3</v>
      </c>
      <c r="AH119" s="18"/>
      <c r="AI119" s="20">
        <v>2.81678290838615E-3</v>
      </c>
      <c r="AJ119" s="18"/>
      <c r="AK119" s="20">
        <v>5.1248286649366597E-4</v>
      </c>
      <c r="AL119" s="18"/>
      <c r="AM119" s="20">
        <v>2.9461069443091998E-3</v>
      </c>
      <c r="AN119" s="18"/>
      <c r="AO119" s="20">
        <v>1.27754610624939E-3</v>
      </c>
      <c r="AP119" s="18"/>
      <c r="AQ119" s="20">
        <v>-6.47701997450883E-5</v>
      </c>
      <c r="AR119" s="18"/>
      <c r="AS119" s="20">
        <v>1.02332639006371E-3</v>
      </c>
      <c r="AT119" s="18"/>
      <c r="AU119" s="20">
        <v>9.2406558817635198E-4</v>
      </c>
      <c r="AV119" s="18"/>
      <c r="AW119" s="20">
        <v>2.4680517452046802E-4</v>
      </c>
      <c r="AX119" s="18"/>
      <c r="AY119" s="20">
        <v>4.9780600176013598E-5</v>
      </c>
      <c r="AZ119" s="18"/>
      <c r="BA119" s="20">
        <v>2.80920021567087E-3</v>
      </c>
      <c r="BB119" s="18"/>
      <c r="BC119" s="20">
        <v>2.4721030251347799E-3</v>
      </c>
      <c r="BD119" s="18"/>
      <c r="BE119" s="20">
        <v>3.93641948298707E-4</v>
      </c>
      <c r="BF119" s="18"/>
      <c r="BG119" s="20"/>
      <c r="BH119" s="18"/>
    </row>
    <row r="120" spans="1:60" x14ac:dyDescent="0.2">
      <c r="A120" s="16">
        <v>2007</v>
      </c>
      <c r="B120" s="16">
        <v>1</v>
      </c>
      <c r="C120" s="20"/>
      <c r="D120" s="18"/>
      <c r="E120" s="20">
        <v>3.2900654634946E-2</v>
      </c>
      <c r="F120" s="18"/>
      <c r="G120" s="20">
        <v>3.9223450179496602E-4</v>
      </c>
      <c r="H120" s="18"/>
      <c r="I120" s="20">
        <v>3.3047174501215802E-5</v>
      </c>
      <c r="J120" s="18"/>
      <c r="K120" s="20">
        <v>9.2141647553000798E-3</v>
      </c>
      <c r="L120" s="18"/>
      <c r="M120" s="20">
        <v>4.8963221832555399E-3</v>
      </c>
      <c r="N120" s="18"/>
      <c r="O120" s="20">
        <v>4.3644402042665202E-3</v>
      </c>
      <c r="P120" s="18"/>
      <c r="Q120" s="20">
        <v>2.5659767965276301E-4</v>
      </c>
      <c r="R120" s="18"/>
      <c r="S120" s="20">
        <v>-1.29223488030521E-4</v>
      </c>
      <c r="T120" s="18"/>
      <c r="U120" s="20">
        <v>-1.43857687447226E-3</v>
      </c>
      <c r="V120" s="18"/>
      <c r="W120" s="20">
        <v>1.42949998155105E-2</v>
      </c>
      <c r="X120" s="18"/>
      <c r="Y120" s="20">
        <v>1.80967485415774E-3</v>
      </c>
      <c r="Z120" s="18"/>
      <c r="AA120" s="20">
        <v>6.8146723319144396E-4</v>
      </c>
      <c r="AB120" s="18"/>
      <c r="AC120" s="20">
        <v>-1.45231371400522E-4</v>
      </c>
      <c r="AD120" s="18"/>
      <c r="AE120" s="20">
        <v>1.34003843959296E-4</v>
      </c>
      <c r="AF120" s="18"/>
      <c r="AG120" s="20">
        <v>5.32717704178333E-3</v>
      </c>
      <c r="AH120" s="18"/>
      <c r="AI120" s="20">
        <v>2.8461940236523299E-3</v>
      </c>
      <c r="AJ120" s="18"/>
      <c r="AK120" s="20">
        <v>1.3063682403828699E-4</v>
      </c>
      <c r="AL120" s="18"/>
      <c r="AM120" s="20">
        <v>2.7509134616002799E-3</v>
      </c>
      <c r="AN120" s="18"/>
      <c r="AO120" s="20">
        <v>1.19390649210421E-3</v>
      </c>
      <c r="AP120" s="18"/>
      <c r="AQ120" s="20">
        <v>-2.3390183010623799E-4</v>
      </c>
      <c r="AR120" s="18"/>
      <c r="AS120" s="20">
        <v>1.5023432949367601E-3</v>
      </c>
      <c r="AT120" s="18"/>
      <c r="AU120" s="20">
        <v>-1.20609777050936E-3</v>
      </c>
      <c r="AV120" s="18"/>
      <c r="AW120" s="20">
        <v>3.5923328644137998E-4</v>
      </c>
      <c r="AX120" s="18"/>
      <c r="AY120" s="20">
        <v>7.7311878621507803E-5</v>
      </c>
      <c r="AZ120" s="18"/>
      <c r="BA120" s="20">
        <v>2.8883377813482898E-3</v>
      </c>
      <c r="BB120" s="18"/>
      <c r="BC120" s="20">
        <v>2.2030702509988598E-3</v>
      </c>
      <c r="BD120" s="18"/>
      <c r="BE120" s="20">
        <v>5.7604249984370302E-4</v>
      </c>
      <c r="BF120" s="18"/>
      <c r="BG120" s="20"/>
      <c r="BH120" s="18"/>
    </row>
    <row r="121" spans="1:60" x14ac:dyDescent="0.2">
      <c r="A121" s="16">
        <v>2007</v>
      </c>
      <c r="B121" s="16">
        <v>2</v>
      </c>
      <c r="C121" s="20"/>
      <c r="D121" s="18"/>
      <c r="E121" s="20">
        <v>4.1085418835220502E-2</v>
      </c>
      <c r="F121" s="18"/>
      <c r="G121" s="20">
        <v>5.7037308975899201E-4</v>
      </c>
      <c r="H121" s="18"/>
      <c r="I121" s="20">
        <v>-7.1299682288377002E-6</v>
      </c>
      <c r="J121" s="18"/>
      <c r="K121" s="20">
        <v>1.11351348524033E-2</v>
      </c>
      <c r="L121" s="18"/>
      <c r="M121" s="20">
        <v>4.58821575283662E-3</v>
      </c>
      <c r="N121" s="18"/>
      <c r="O121" s="20">
        <v>6.5421428401294399E-3</v>
      </c>
      <c r="P121" s="18"/>
      <c r="Q121" s="20">
        <v>6.5154926988620298E-4</v>
      </c>
      <c r="R121" s="18"/>
      <c r="S121" s="20">
        <v>-2.0440293787916901E-4</v>
      </c>
      <c r="T121" s="18"/>
      <c r="U121" s="20">
        <v>-2.13257067206752E-3</v>
      </c>
      <c r="V121" s="18"/>
      <c r="W121" s="20">
        <v>1.21561388778831E-2</v>
      </c>
      <c r="X121" s="18"/>
      <c r="Y121" s="20">
        <v>1.2201995459560999E-3</v>
      </c>
      <c r="Z121" s="18"/>
      <c r="AA121" s="20">
        <v>1.34738836638446E-3</v>
      </c>
      <c r="AB121" s="18"/>
      <c r="AC121" s="20">
        <v>8.2116511009071801E-4</v>
      </c>
      <c r="AD121" s="18"/>
      <c r="AE121" s="20">
        <v>2.2445168201146301E-4</v>
      </c>
      <c r="AF121" s="18"/>
      <c r="AG121" s="20">
        <v>1.06062357775172E-2</v>
      </c>
      <c r="AH121" s="18"/>
      <c r="AI121" s="20">
        <v>8.0435808958826994E-3</v>
      </c>
      <c r="AJ121" s="18"/>
      <c r="AK121" s="20">
        <v>1.6436384525110099E-4</v>
      </c>
      <c r="AL121" s="18"/>
      <c r="AM121" s="20">
        <v>4.1330558630682602E-3</v>
      </c>
      <c r="AN121" s="18"/>
      <c r="AO121" s="20">
        <v>1.85549044615265E-3</v>
      </c>
      <c r="AP121" s="18"/>
      <c r="AQ121" s="20">
        <v>3.2069016198741301E-4</v>
      </c>
      <c r="AR121" s="18"/>
      <c r="AS121" s="20">
        <v>2.13829056573066E-3</v>
      </c>
      <c r="AT121" s="18"/>
      <c r="AU121" s="20">
        <v>-2.8714398120904001E-3</v>
      </c>
      <c r="AV121" s="18"/>
      <c r="AW121" s="20">
        <v>2.1429610220567201E-4</v>
      </c>
      <c r="AX121" s="18"/>
      <c r="AY121" s="20">
        <v>1.0554015230448599E-4</v>
      </c>
      <c r="AZ121" s="18"/>
      <c r="BA121" s="20">
        <v>2.9150130619336702E-3</v>
      </c>
      <c r="BB121" s="18"/>
      <c r="BC121" s="20">
        <v>2.3218325079921399E-3</v>
      </c>
      <c r="BD121" s="18"/>
      <c r="BE121" s="20">
        <v>5.8386404689491397E-4</v>
      </c>
      <c r="BF121" s="18"/>
      <c r="BG121" s="20"/>
      <c r="BH121" s="18"/>
    </row>
    <row r="122" spans="1:60" x14ac:dyDescent="0.2">
      <c r="A122" s="16">
        <v>2007</v>
      </c>
      <c r="B122" s="16">
        <v>3</v>
      </c>
      <c r="C122" s="20"/>
      <c r="D122" s="18"/>
      <c r="E122" s="20">
        <v>4.19076422178725E-2</v>
      </c>
      <c r="F122" s="18"/>
      <c r="G122" s="20">
        <v>6.0947999701535299E-4</v>
      </c>
      <c r="H122" s="18"/>
      <c r="I122" s="20">
        <v>-1.6454685200820401E-5</v>
      </c>
      <c r="J122" s="18"/>
      <c r="K122" s="20">
        <v>1.1540772652218799E-2</v>
      </c>
      <c r="L122" s="18"/>
      <c r="M122" s="20">
        <v>4.4888710901077001E-3</v>
      </c>
      <c r="N122" s="18"/>
      <c r="O122" s="20">
        <v>7.0749946203022603E-3</v>
      </c>
      <c r="P122" s="18"/>
      <c r="Q122" s="20">
        <v>1.27729899507273E-3</v>
      </c>
      <c r="R122" s="18"/>
      <c r="S122" s="20">
        <v>-3.1817200907308601E-4</v>
      </c>
      <c r="T122" s="18"/>
      <c r="U122" s="20">
        <v>-1.18663964737678E-3</v>
      </c>
      <c r="V122" s="18"/>
      <c r="W122" s="20">
        <v>8.5063562183103E-3</v>
      </c>
      <c r="X122" s="18"/>
      <c r="Y122" s="20">
        <v>1.0366543259667301E-3</v>
      </c>
      <c r="Z122" s="18"/>
      <c r="AA122" s="20">
        <v>1.48211906370888E-3</v>
      </c>
      <c r="AB122" s="18"/>
      <c r="AC122" s="20">
        <v>1.22224671194231E-3</v>
      </c>
      <c r="AD122" s="18"/>
      <c r="AE122" s="20">
        <v>6.3095335245051004E-4</v>
      </c>
      <c r="AF122" s="18"/>
      <c r="AG122" s="20">
        <v>1.1481415988315299E-2</v>
      </c>
      <c r="AH122" s="18"/>
      <c r="AI122" s="20">
        <v>8.8998917281918003E-3</v>
      </c>
      <c r="AJ122" s="18"/>
      <c r="AK122" s="20">
        <v>6.5841628217012905E-4</v>
      </c>
      <c r="AL122" s="18"/>
      <c r="AM122" s="20">
        <v>4.4595316717532599E-3</v>
      </c>
      <c r="AN122" s="18"/>
      <c r="AO122" s="20">
        <v>1.2737922941311599E-3</v>
      </c>
      <c r="AP122" s="18"/>
      <c r="AQ122" s="20">
        <v>2.1935487941818801E-4</v>
      </c>
      <c r="AR122" s="18"/>
      <c r="AS122" s="20">
        <v>2.04839108812518E-3</v>
      </c>
      <c r="AT122" s="18"/>
      <c r="AU122" s="20">
        <v>-1.6159815434592501E-3</v>
      </c>
      <c r="AV122" s="18"/>
      <c r="AW122" s="20">
        <v>1.11761847750969E-4</v>
      </c>
      <c r="AX122" s="18"/>
      <c r="AY122" s="20">
        <v>1.42616795885393E-4</v>
      </c>
      <c r="AZ122" s="18"/>
      <c r="BA122" s="20">
        <v>2.74744626186703E-3</v>
      </c>
      <c r="BB122" s="18"/>
      <c r="BC122" s="20">
        <v>2.1717623763482601E-3</v>
      </c>
      <c r="BD122" s="18"/>
      <c r="BE122" s="20">
        <v>5.3172556636454796E-4</v>
      </c>
      <c r="BF122" s="18"/>
      <c r="BG122" s="20"/>
      <c r="BH122" s="18"/>
    </row>
    <row r="123" spans="1:60" x14ac:dyDescent="0.2">
      <c r="A123" s="16">
        <v>2007</v>
      </c>
      <c r="B123" s="16">
        <v>4</v>
      </c>
      <c r="C123" s="20"/>
      <c r="D123" s="18"/>
      <c r="E123" s="20">
        <v>3.3780333355690299E-2</v>
      </c>
      <c r="F123" s="18"/>
      <c r="G123" s="20">
        <v>4.8577480114830098E-4</v>
      </c>
      <c r="H123" s="18"/>
      <c r="I123" s="20">
        <v>4.8856406841899599E-6</v>
      </c>
      <c r="J123" s="18"/>
      <c r="K123" s="20">
        <v>9.0792462684261104E-3</v>
      </c>
      <c r="L123" s="18"/>
      <c r="M123" s="20">
        <v>1.6176323844592599E-3</v>
      </c>
      <c r="N123" s="18"/>
      <c r="O123" s="20">
        <v>7.4295727998330303E-3</v>
      </c>
      <c r="P123" s="18"/>
      <c r="Q123" s="20">
        <v>7.5585100018855705E-4</v>
      </c>
      <c r="R123" s="18"/>
      <c r="S123" s="20">
        <v>-4.9926109435925498E-4</v>
      </c>
      <c r="T123" s="18"/>
      <c r="U123" s="20">
        <v>2.6471690697888801E-4</v>
      </c>
      <c r="V123" s="18"/>
      <c r="W123" s="20">
        <v>3.4731182114077302E-3</v>
      </c>
      <c r="X123" s="18"/>
      <c r="Y123" s="20">
        <v>1.2932638189180499E-3</v>
      </c>
      <c r="Z123" s="18"/>
      <c r="AA123" s="20">
        <v>2.5539090227277698E-4</v>
      </c>
      <c r="AB123" s="18"/>
      <c r="AC123" s="20">
        <v>1.48370090821972E-3</v>
      </c>
      <c r="AD123" s="18"/>
      <c r="AE123" s="20">
        <v>1.0622770798820601E-3</v>
      </c>
      <c r="AF123" s="18"/>
      <c r="AG123" s="20">
        <v>7.8167838916159606E-3</v>
      </c>
      <c r="AH123" s="18"/>
      <c r="AI123" s="20">
        <v>5.3849829131632602E-3</v>
      </c>
      <c r="AJ123" s="18"/>
      <c r="AK123" s="20">
        <v>1.64902897916793E-3</v>
      </c>
      <c r="AL123" s="18"/>
      <c r="AM123" s="20">
        <v>6.0208194978261798E-3</v>
      </c>
      <c r="AN123" s="18"/>
      <c r="AO123" s="20">
        <v>8.1283700063852695E-4</v>
      </c>
      <c r="AP123" s="18"/>
      <c r="AQ123" s="20">
        <v>6.5923277912589395E-4</v>
      </c>
      <c r="AR123" s="18"/>
      <c r="AS123" s="20">
        <v>2.15007619323943E-3</v>
      </c>
      <c r="AT123" s="18"/>
      <c r="AU123" s="20">
        <v>-3.32183349148963E-4</v>
      </c>
      <c r="AV123" s="18"/>
      <c r="AW123" s="20">
        <v>1.7632641308132799E-4</v>
      </c>
      <c r="AX123" s="18"/>
      <c r="AY123" s="20">
        <v>1.8233498261043999E-4</v>
      </c>
      <c r="AZ123" s="18"/>
      <c r="BA123" s="20">
        <v>1.36874321256281E-3</v>
      </c>
      <c r="BB123" s="18"/>
      <c r="BC123" s="20">
        <v>1.44915422801427E-3</v>
      </c>
      <c r="BD123" s="18"/>
      <c r="BE123" s="20">
        <v>-2.8217563624464E-5</v>
      </c>
      <c r="BF123" s="18"/>
      <c r="BG123" s="20"/>
      <c r="BH123" s="18"/>
    </row>
    <row r="124" spans="1:60" x14ac:dyDescent="0.2">
      <c r="A124" s="16">
        <v>2008</v>
      </c>
      <c r="B124" s="16">
        <v>1</v>
      </c>
      <c r="C124" s="20"/>
      <c r="D124" s="18"/>
      <c r="E124" s="20">
        <v>3.0767742175208099E-2</v>
      </c>
      <c r="F124" s="18"/>
      <c r="G124" s="20">
        <v>1.4291006280949299E-5</v>
      </c>
      <c r="H124" s="18"/>
      <c r="I124" s="20">
        <v>-4.7061034575395599E-6</v>
      </c>
      <c r="J124" s="18"/>
      <c r="K124" s="20">
        <v>1.16643792119611E-2</v>
      </c>
      <c r="L124" s="18"/>
      <c r="M124" s="20">
        <v>2.9786369298394999E-3</v>
      </c>
      <c r="N124" s="18"/>
      <c r="O124" s="20">
        <v>8.7020274600469894E-3</v>
      </c>
      <c r="P124" s="18"/>
      <c r="Q124" s="20">
        <v>9.4542147414724599E-4</v>
      </c>
      <c r="R124" s="18"/>
      <c r="S124" s="20">
        <v>-8.1449227879032003E-4</v>
      </c>
      <c r="T124" s="18"/>
      <c r="U124" s="20">
        <v>9.8869009721213501E-4</v>
      </c>
      <c r="V124" s="18"/>
      <c r="W124" s="20">
        <v>8.39705613980919E-4</v>
      </c>
      <c r="X124" s="18"/>
      <c r="Y124" s="20">
        <v>1.0894749138820601E-3</v>
      </c>
      <c r="Z124" s="18"/>
      <c r="AA124" s="20">
        <v>9.6680800960664495E-5</v>
      </c>
      <c r="AB124" s="18"/>
      <c r="AC124" s="20">
        <v>1.8259319557502401E-3</v>
      </c>
      <c r="AD124" s="18"/>
      <c r="AE124" s="20">
        <v>2.1206336889980702E-3</v>
      </c>
      <c r="AF124" s="18"/>
      <c r="AG124" s="20">
        <v>1.1398751505546001E-3</v>
      </c>
      <c r="AH124" s="18"/>
      <c r="AI124" s="20">
        <v>-1.5596314809140999E-3</v>
      </c>
      <c r="AJ124" s="18"/>
      <c r="AK124" s="20">
        <v>3.4341853870127901E-3</v>
      </c>
      <c r="AL124" s="18"/>
      <c r="AM124" s="20">
        <v>7.2814412562674201E-3</v>
      </c>
      <c r="AN124" s="18"/>
      <c r="AO124" s="20">
        <v>8.8988893765955702E-4</v>
      </c>
      <c r="AP124" s="18"/>
      <c r="AQ124" s="20">
        <v>3.5826132028559001E-4</v>
      </c>
      <c r="AR124" s="18"/>
      <c r="AS124" s="20">
        <v>2.7255645852584201E-3</v>
      </c>
      <c r="AT124" s="18"/>
      <c r="AU124" s="20">
        <v>4.5643901970824399E-4</v>
      </c>
      <c r="AV124" s="18"/>
      <c r="AW124" s="20">
        <v>2.3817382809970301E-4</v>
      </c>
      <c r="AX124" s="18"/>
      <c r="AY124" s="20">
        <v>2.3684142757078E-4</v>
      </c>
      <c r="AZ124" s="18"/>
      <c r="BA124" s="20">
        <v>1.07524672270141E-3</v>
      </c>
      <c r="BB124" s="18"/>
      <c r="BC124" s="20">
        <v>1.4635330525201301E-3</v>
      </c>
      <c r="BD124" s="18"/>
      <c r="BE124" s="20">
        <v>-3.9587755301769901E-4</v>
      </c>
      <c r="BF124" s="18"/>
      <c r="BG124" s="20"/>
      <c r="BH124" s="18"/>
    </row>
    <row r="125" spans="1:60" x14ac:dyDescent="0.2">
      <c r="A125" s="16">
        <v>2008</v>
      </c>
      <c r="B125" s="16">
        <v>2</v>
      </c>
      <c r="C125" s="20"/>
      <c r="D125" s="18"/>
      <c r="E125" s="20">
        <v>3.4518796592599502E-2</v>
      </c>
      <c r="F125" s="18"/>
      <c r="G125" s="20">
        <v>-8.3576582412498302E-5</v>
      </c>
      <c r="H125" s="18"/>
      <c r="I125" s="20">
        <v>3.5515515071848299E-5</v>
      </c>
      <c r="J125" s="18"/>
      <c r="K125" s="20">
        <v>1.74502583101479E-2</v>
      </c>
      <c r="L125" s="18"/>
      <c r="M125" s="20">
        <v>6.8959642240488603E-3</v>
      </c>
      <c r="N125" s="18"/>
      <c r="O125" s="20">
        <v>1.05669342756572E-2</v>
      </c>
      <c r="P125" s="18"/>
      <c r="Q125" s="20">
        <v>9.0836346942687902E-4</v>
      </c>
      <c r="R125" s="18"/>
      <c r="S125" s="20">
        <v>-1.1705381831883901E-3</v>
      </c>
      <c r="T125" s="18"/>
      <c r="U125" s="20">
        <v>1.0164429467080999E-3</v>
      </c>
      <c r="V125" s="18"/>
      <c r="W125" s="20">
        <v>5.2323706159013196E-3</v>
      </c>
      <c r="X125" s="18"/>
      <c r="Y125" s="20">
        <v>1.9424990951269099E-3</v>
      </c>
      <c r="Z125" s="18"/>
      <c r="AA125" s="20">
        <v>-7.2765333482420198E-4</v>
      </c>
      <c r="AB125" s="18"/>
      <c r="AC125" s="20">
        <v>8.0311377753387403E-4</v>
      </c>
      <c r="AD125" s="18"/>
      <c r="AE125" s="20">
        <v>2.2217156306197799E-3</v>
      </c>
      <c r="AF125" s="18"/>
      <c r="AG125" s="20">
        <v>-5.2049154935620299E-3</v>
      </c>
      <c r="AH125" s="18"/>
      <c r="AI125" s="20">
        <v>-7.748369164943E-3</v>
      </c>
      <c r="AJ125" s="18"/>
      <c r="AK125" s="20">
        <v>4.4915961719442198E-3</v>
      </c>
      <c r="AL125" s="18"/>
      <c r="AM125" s="20">
        <v>8.1165809688545001E-3</v>
      </c>
      <c r="AN125" s="18"/>
      <c r="AO125" s="20">
        <v>6.80554780060447E-4</v>
      </c>
      <c r="AP125" s="18"/>
      <c r="AQ125" s="20">
        <v>-8.0159543263607392E-6</v>
      </c>
      <c r="AR125" s="18"/>
      <c r="AS125" s="20">
        <v>2.9073589105423699E-3</v>
      </c>
      <c r="AT125" s="18"/>
      <c r="AU125" s="20">
        <v>1.7096026868778399E-3</v>
      </c>
      <c r="AV125" s="18"/>
      <c r="AW125" s="20">
        <v>3.9723145554685898E-4</v>
      </c>
      <c r="AX125" s="18"/>
      <c r="AY125" s="20">
        <v>2.4741221274608602E-4</v>
      </c>
      <c r="AZ125" s="18"/>
      <c r="BA125" s="20">
        <v>1.1073145325346499E-3</v>
      </c>
      <c r="BB125" s="18"/>
      <c r="BC125" s="20">
        <v>1.6161887601665299E-3</v>
      </c>
      <c r="BD125" s="18"/>
      <c r="BE125" s="20">
        <v>-5.0877271892638197E-4</v>
      </c>
      <c r="BF125" s="18"/>
      <c r="BG125" s="20"/>
      <c r="BH125" s="18"/>
    </row>
    <row r="126" spans="1:60" x14ac:dyDescent="0.2">
      <c r="A126" s="16">
        <v>2008</v>
      </c>
      <c r="B126" s="16">
        <v>3</v>
      </c>
      <c r="C126" s="20"/>
      <c r="D126" s="18"/>
      <c r="E126" s="20">
        <v>3.1718756228606197E-2</v>
      </c>
      <c r="F126" s="18"/>
      <c r="G126" s="20">
        <v>-3.7776538187717203E-5</v>
      </c>
      <c r="H126" s="18"/>
      <c r="I126" s="20">
        <v>7.2587822968491302E-6</v>
      </c>
      <c r="J126" s="18"/>
      <c r="K126" s="20">
        <v>8.3388392093242305E-3</v>
      </c>
      <c r="L126" s="18"/>
      <c r="M126" s="20">
        <v>1.5694987821208599E-3</v>
      </c>
      <c r="N126" s="18"/>
      <c r="O126" s="20">
        <v>6.7968550719380901E-3</v>
      </c>
      <c r="P126" s="18"/>
      <c r="Q126" s="20">
        <v>9.4656459973675798E-4</v>
      </c>
      <c r="R126" s="18"/>
      <c r="S126" s="20">
        <v>-8.6092763129627604E-4</v>
      </c>
      <c r="T126" s="18"/>
      <c r="U126" s="20">
        <v>5.7879382164407599E-4</v>
      </c>
      <c r="V126" s="18"/>
      <c r="W126" s="20">
        <v>1.14732213868443E-2</v>
      </c>
      <c r="X126" s="18"/>
      <c r="Y126" s="20">
        <v>2.4345889123577298E-3</v>
      </c>
      <c r="Z126" s="18"/>
      <c r="AA126" s="20">
        <v>-1.3533454070558E-3</v>
      </c>
      <c r="AB126" s="18"/>
      <c r="AC126" s="20">
        <v>6.5979726383152797E-4</v>
      </c>
      <c r="AD126" s="18"/>
      <c r="AE126" s="20">
        <v>2.1833959962177102E-3</v>
      </c>
      <c r="AF126" s="18"/>
      <c r="AG126" s="20">
        <v>-4.8611825696264002E-3</v>
      </c>
      <c r="AH126" s="18"/>
      <c r="AI126" s="20">
        <v>-7.6643244471005399E-3</v>
      </c>
      <c r="AJ126" s="18"/>
      <c r="AK126" s="20">
        <v>4.8699175276003398E-3</v>
      </c>
      <c r="AL126" s="18"/>
      <c r="AM126" s="20">
        <v>7.1517557183622196E-3</v>
      </c>
      <c r="AN126" s="18"/>
      <c r="AO126" s="20">
        <v>6.5696715721114097E-4</v>
      </c>
      <c r="AP126" s="18"/>
      <c r="AQ126" s="20">
        <v>-3.4675174483395402E-4</v>
      </c>
      <c r="AR126" s="18"/>
      <c r="AS126" s="20">
        <v>3.3396920614846099E-3</v>
      </c>
      <c r="AT126" s="18"/>
      <c r="AU126" s="20">
        <v>3.1332322172401401E-3</v>
      </c>
      <c r="AV126" s="18"/>
      <c r="AW126" s="20">
        <v>4.5105521954858099E-4</v>
      </c>
      <c r="AX126" s="18"/>
      <c r="AY126" s="20">
        <v>2.3359087415843701E-4</v>
      </c>
      <c r="AZ126" s="18"/>
      <c r="BA126" s="20">
        <v>8.5948531493139596E-4</v>
      </c>
      <c r="BB126" s="18"/>
      <c r="BC126" s="20">
        <v>1.5849990516915401E-3</v>
      </c>
      <c r="BD126" s="18"/>
      <c r="BE126" s="20">
        <v>-7.2142280512386395E-4</v>
      </c>
      <c r="BF126" s="18"/>
      <c r="BG126" s="20"/>
      <c r="BH126" s="18"/>
    </row>
    <row r="127" spans="1:60" x14ac:dyDescent="0.2">
      <c r="A127" s="16">
        <v>2008</v>
      </c>
      <c r="B127" s="16">
        <v>4</v>
      </c>
      <c r="C127" s="20"/>
      <c r="D127" s="18"/>
      <c r="E127" s="20">
        <v>2.4701612420063102E-3</v>
      </c>
      <c r="F127" s="18"/>
      <c r="G127" s="20">
        <v>1.09039682682009E-4</v>
      </c>
      <c r="H127" s="18"/>
      <c r="I127" s="20">
        <v>-8.66474351534128E-5</v>
      </c>
      <c r="J127" s="18"/>
      <c r="K127" s="20">
        <v>-1.04994758631612E-2</v>
      </c>
      <c r="L127" s="18"/>
      <c r="M127" s="20">
        <v>-2.1526354328304498E-3</v>
      </c>
      <c r="N127" s="18"/>
      <c r="O127" s="20">
        <v>-8.3934824032202305E-3</v>
      </c>
      <c r="P127" s="18"/>
      <c r="Q127" s="20">
        <v>8.4312413307483803E-6</v>
      </c>
      <c r="R127" s="18"/>
      <c r="S127" s="20">
        <v>2.6707336341443098E-4</v>
      </c>
      <c r="T127" s="18"/>
      <c r="U127" s="20">
        <v>-4.7969974358635502E-4</v>
      </c>
      <c r="V127" s="18"/>
      <c r="W127" s="20">
        <v>1.43660237216239E-2</v>
      </c>
      <c r="X127" s="18"/>
      <c r="Y127" s="20">
        <v>1.50351784635475E-3</v>
      </c>
      <c r="Z127" s="18"/>
      <c r="AA127" s="20">
        <v>-1.3410302543427699E-3</v>
      </c>
      <c r="AB127" s="18"/>
      <c r="AC127" s="20">
        <v>-1.4701426599681601E-5</v>
      </c>
      <c r="AD127" s="18"/>
      <c r="AE127" s="20">
        <v>1.3077857832094399E-3</v>
      </c>
      <c r="AF127" s="18"/>
      <c r="AG127" s="20">
        <v>-9.4360953534556695E-3</v>
      </c>
      <c r="AH127" s="18"/>
      <c r="AI127" s="20">
        <v>-1.16880305827467E-2</v>
      </c>
      <c r="AJ127" s="18"/>
      <c r="AK127" s="20">
        <v>4.3858787622623003E-3</v>
      </c>
      <c r="AL127" s="18"/>
      <c r="AM127" s="20">
        <v>3.87120904302939E-3</v>
      </c>
      <c r="AN127" s="18"/>
      <c r="AO127" s="20">
        <v>8.7240096709305403E-4</v>
      </c>
      <c r="AP127" s="18"/>
      <c r="AQ127" s="20">
        <v>-7.5035418349303398E-4</v>
      </c>
      <c r="AR127" s="18"/>
      <c r="AS127" s="20">
        <v>3.0667586699202301E-3</v>
      </c>
      <c r="AT127" s="18"/>
      <c r="AU127" s="20">
        <v>1.3383138127021901E-3</v>
      </c>
      <c r="AV127" s="18"/>
      <c r="AW127" s="20">
        <v>2.8676461757452202E-4</v>
      </c>
      <c r="AX127" s="18"/>
      <c r="AY127" s="20">
        <v>1.7789214198449599E-4</v>
      </c>
      <c r="AZ127" s="18"/>
      <c r="BA127" s="20">
        <v>-2.7911230459175501E-4</v>
      </c>
      <c r="BB127" s="18"/>
      <c r="BC127" s="20">
        <v>4.70856092857396E-4</v>
      </c>
      <c r="BD127" s="18"/>
      <c r="BE127" s="20">
        <v>-8.2275135538727704E-4</v>
      </c>
      <c r="BF127" s="18"/>
      <c r="BG127" s="20"/>
      <c r="BH127" s="18"/>
    </row>
    <row r="128" spans="1:60" x14ac:dyDescent="0.2">
      <c r="A128" s="16">
        <v>2009</v>
      </c>
      <c r="B128" s="16">
        <v>1</v>
      </c>
      <c r="C128" s="20"/>
      <c r="D128" s="18"/>
      <c r="E128" s="20">
        <v>-1.9578565784167199E-2</v>
      </c>
      <c r="F128" s="18"/>
      <c r="G128" s="20">
        <v>4.56600168986259E-4</v>
      </c>
      <c r="H128" s="18"/>
      <c r="I128" s="20">
        <v>-1.0236796965882701E-4</v>
      </c>
      <c r="J128" s="18"/>
      <c r="K128" s="20">
        <v>-2.4538491814784898E-2</v>
      </c>
      <c r="L128" s="18"/>
      <c r="M128" s="20">
        <v>-3.3707700853777599E-3</v>
      </c>
      <c r="N128" s="18"/>
      <c r="O128" s="20">
        <v>-2.1046762400085298E-2</v>
      </c>
      <c r="P128" s="18"/>
      <c r="Q128" s="20">
        <v>-5.5079880733299898E-4</v>
      </c>
      <c r="R128" s="18"/>
      <c r="S128" s="20">
        <v>1.76577640488862E-3</v>
      </c>
      <c r="T128" s="18"/>
      <c r="U128" s="20">
        <v>-6.3285965826346505E-4</v>
      </c>
      <c r="V128" s="18"/>
      <c r="W128" s="20">
        <v>1.32477731683393E-2</v>
      </c>
      <c r="X128" s="18"/>
      <c r="Y128" s="20">
        <v>5.4714772797580897E-4</v>
      </c>
      <c r="Z128" s="18"/>
      <c r="AA128" s="20">
        <v>-2.5013945525465399E-3</v>
      </c>
      <c r="AB128" s="18"/>
      <c r="AC128" s="20">
        <v>-1.34722203731278E-3</v>
      </c>
      <c r="AD128" s="18"/>
      <c r="AE128" s="20">
        <v>8.1206029903366499E-4</v>
      </c>
      <c r="AF128" s="18"/>
      <c r="AG128" s="20">
        <v>-8.4281843190097006E-3</v>
      </c>
      <c r="AH128" s="18"/>
      <c r="AI128" s="20">
        <v>-9.6335334340110594E-3</v>
      </c>
      <c r="AJ128" s="18"/>
      <c r="AK128" s="20">
        <v>3.4636149764342202E-3</v>
      </c>
      <c r="AL128" s="18"/>
      <c r="AM128" s="20">
        <v>4.5301510663372998E-4</v>
      </c>
      <c r="AN128" s="18"/>
      <c r="AO128" s="20">
        <v>8.7090932169057501E-4</v>
      </c>
      <c r="AP128" s="18"/>
      <c r="AQ128" s="20">
        <v>-6.6782723913333603E-4</v>
      </c>
      <c r="AR128" s="18"/>
      <c r="AS128" s="20">
        <v>2.5786513584322799E-3</v>
      </c>
      <c r="AT128" s="18"/>
      <c r="AU128" s="20">
        <v>-3.8749675098345698E-4</v>
      </c>
      <c r="AV128" s="18"/>
      <c r="AW128" s="20">
        <v>1.0960733562359001E-4</v>
      </c>
      <c r="AX128" s="18"/>
      <c r="AY128" s="20">
        <v>6.3026191082641601E-5</v>
      </c>
      <c r="AZ128" s="18"/>
      <c r="BA128" s="20">
        <v>-1.2383787013053799E-3</v>
      </c>
      <c r="BB128" s="18"/>
      <c r="BC128" s="20">
        <v>-1.0045652542893401E-4</v>
      </c>
      <c r="BD128" s="18"/>
      <c r="BE128" s="20">
        <v>-1.03161982359118E-3</v>
      </c>
      <c r="BF128" s="18"/>
      <c r="BG128" s="20"/>
      <c r="BH128" s="18"/>
    </row>
    <row r="129" spans="1:60" x14ac:dyDescent="0.2">
      <c r="A129" s="16">
        <v>2009</v>
      </c>
      <c r="B129" s="16">
        <v>2</v>
      </c>
      <c r="C129" s="20"/>
      <c r="D129" s="18"/>
      <c r="E129" s="20">
        <v>-3.1471131263933701E-2</v>
      </c>
      <c r="F129" s="18"/>
      <c r="G129" s="20">
        <v>5.2828168862172195E-4</v>
      </c>
      <c r="H129" s="18"/>
      <c r="I129" s="20">
        <v>-1.28471230003919E-4</v>
      </c>
      <c r="J129" s="18"/>
      <c r="K129" s="20">
        <v>-3.4733868178006597E-2</v>
      </c>
      <c r="L129" s="18"/>
      <c r="M129" s="20">
        <v>-6.2806839873158597E-3</v>
      </c>
      <c r="N129" s="18"/>
      <c r="O129" s="20">
        <v>-2.8459430244388701E-2</v>
      </c>
      <c r="P129" s="18"/>
      <c r="Q129" s="20">
        <v>-7.1561911062094905E-4</v>
      </c>
      <c r="R129" s="18"/>
      <c r="S129" s="20">
        <v>3.9013428288334501E-3</v>
      </c>
      <c r="T129" s="18"/>
      <c r="U129" s="20">
        <v>5.2279740055960997E-6</v>
      </c>
      <c r="V129" s="18"/>
      <c r="W129" s="20">
        <v>1.0544280960040999E-2</v>
      </c>
      <c r="X129" s="18"/>
      <c r="Y129" s="20">
        <v>7.2292681259104603E-4</v>
      </c>
      <c r="Z129" s="18"/>
      <c r="AA129" s="20">
        <v>-2.3483180699559801E-3</v>
      </c>
      <c r="AB129" s="18"/>
      <c r="AC129" s="20">
        <v>-1.57115170744488E-3</v>
      </c>
      <c r="AD129" s="18"/>
      <c r="AE129" s="20">
        <v>5.6817763559511702E-4</v>
      </c>
      <c r="AF129" s="18"/>
      <c r="AG129" s="20">
        <v>-4.6247843063958799E-3</v>
      </c>
      <c r="AH129" s="18"/>
      <c r="AI129" s="20">
        <v>-5.2620606654641298E-3</v>
      </c>
      <c r="AJ129" s="18"/>
      <c r="AK129" s="20">
        <v>2.4121764095215601E-3</v>
      </c>
      <c r="AL129" s="18"/>
      <c r="AM129" s="20">
        <v>-2.3062051650839101E-3</v>
      </c>
      <c r="AN129" s="18"/>
      <c r="AO129" s="20">
        <v>9.4142621167821205E-4</v>
      </c>
      <c r="AP129" s="18"/>
      <c r="AQ129" s="20">
        <v>-5.2720620025283201E-4</v>
      </c>
      <c r="AR129" s="18"/>
      <c r="AS129" s="20">
        <v>1.8192959683640401E-3</v>
      </c>
      <c r="AT129" s="18"/>
      <c r="AU129" s="20">
        <v>-1.2816526804652101E-3</v>
      </c>
      <c r="AV129" s="18"/>
      <c r="AW129" s="20">
        <v>3.7032784356105003E-5</v>
      </c>
      <c r="AX129" s="18"/>
      <c r="AY129" s="20">
        <v>-3.1404216674802699E-5</v>
      </c>
      <c r="AZ129" s="18"/>
      <c r="BA129" s="20">
        <v>-1.67284204622169E-3</v>
      </c>
      <c r="BB129" s="18"/>
      <c r="BC129" s="20">
        <v>-4.0849519969839799E-4</v>
      </c>
      <c r="BD129" s="18"/>
      <c r="BE129" s="20">
        <v>-1.2513161638140001E-3</v>
      </c>
      <c r="BF129" s="18"/>
      <c r="BG129" s="20"/>
      <c r="BH129" s="18"/>
    </row>
    <row r="130" spans="1:60" x14ac:dyDescent="0.2">
      <c r="A130" s="16">
        <v>2009</v>
      </c>
      <c r="B130" s="16">
        <v>3</v>
      </c>
      <c r="C130" s="20"/>
      <c r="D130" s="18"/>
      <c r="E130" s="20">
        <v>-2.45657416042445E-2</v>
      </c>
      <c r="F130" s="18"/>
      <c r="G130" s="20">
        <v>4.4682363420134801E-4</v>
      </c>
      <c r="H130" s="18"/>
      <c r="I130" s="20">
        <v>-8.2380107705989805E-5</v>
      </c>
      <c r="J130" s="18"/>
      <c r="K130" s="20">
        <v>-2.5322967077305299E-2</v>
      </c>
      <c r="L130" s="18"/>
      <c r="M130" s="20">
        <v>-1.01319420558304E-3</v>
      </c>
      <c r="N130" s="18"/>
      <c r="O130" s="20">
        <v>-2.4277131749768501E-2</v>
      </c>
      <c r="P130" s="18"/>
      <c r="Q130" s="20">
        <v>-1.7433464425449399E-3</v>
      </c>
      <c r="R130" s="18"/>
      <c r="S130" s="20">
        <v>3.0114751341541002E-3</v>
      </c>
      <c r="T130" s="18"/>
      <c r="U130" s="20">
        <v>1.53369991010694E-3</v>
      </c>
      <c r="V130" s="18"/>
      <c r="W130" s="20">
        <v>5.8636255022944802E-3</v>
      </c>
      <c r="X130" s="18"/>
      <c r="Y130" s="20">
        <v>3.9505288638946E-4</v>
      </c>
      <c r="Z130" s="18"/>
      <c r="AA130" s="20">
        <v>-2.2019270448222598E-3</v>
      </c>
      <c r="AB130" s="18"/>
      <c r="AC130" s="20">
        <v>-1.3648902307895E-3</v>
      </c>
      <c r="AD130" s="18"/>
      <c r="AE130" s="20">
        <v>5.0673897555991699E-4</v>
      </c>
      <c r="AF130" s="18"/>
      <c r="AG130" s="20">
        <v>-1.14273452303676E-3</v>
      </c>
      <c r="AH130" s="18"/>
      <c r="AI130" s="20">
        <v>-1.32074873967669E-3</v>
      </c>
      <c r="AJ130" s="18"/>
      <c r="AK130" s="20">
        <v>1.40793291203577E-3</v>
      </c>
      <c r="AL130" s="18"/>
      <c r="AM130" s="20">
        <v>-3.4665452102445198E-3</v>
      </c>
      <c r="AN130" s="18"/>
      <c r="AO130" s="20">
        <v>1.3967991734407199E-3</v>
      </c>
      <c r="AP130" s="18"/>
      <c r="AQ130" s="20">
        <v>-1.0275294184024E-4</v>
      </c>
      <c r="AR130" s="18"/>
      <c r="AS130" s="20">
        <v>1.4365289787744899E-3</v>
      </c>
      <c r="AT130" s="18"/>
      <c r="AU130" s="20">
        <v>-2.7433228257753199E-3</v>
      </c>
      <c r="AV130" s="18"/>
      <c r="AW130" s="20">
        <v>-8.6567131298945904E-5</v>
      </c>
      <c r="AX130" s="18"/>
      <c r="AY130" s="20">
        <v>-5.9930423522563202E-5</v>
      </c>
      <c r="AZ130" s="18"/>
      <c r="BA130" s="20">
        <v>-1.0320113498654201E-3</v>
      </c>
      <c r="BB130" s="18"/>
      <c r="BC130" s="20">
        <v>1.00624882119713E-4</v>
      </c>
      <c r="BD130" s="18"/>
      <c r="BE130" s="20">
        <v>-1.12274963164059E-3</v>
      </c>
      <c r="BF130" s="18"/>
      <c r="BG130" s="20"/>
      <c r="BH130" s="18"/>
    </row>
    <row r="131" spans="1:60" x14ac:dyDescent="0.2">
      <c r="A131" s="16">
        <v>2009</v>
      </c>
      <c r="B131" s="16">
        <v>4</v>
      </c>
      <c r="C131" s="20"/>
      <c r="D131" s="18"/>
      <c r="E131" s="20">
        <v>1.53772900975364E-3</v>
      </c>
      <c r="F131" s="18"/>
      <c r="G131" s="20">
        <v>2.0244263421970399E-4</v>
      </c>
      <c r="H131" s="18"/>
      <c r="I131" s="20">
        <v>-1.6852835859337098E-5</v>
      </c>
      <c r="J131" s="18"/>
      <c r="K131" s="20">
        <v>-7.1382184979723604E-3</v>
      </c>
      <c r="L131" s="18"/>
      <c r="M131" s="20">
        <v>4.5161430570189801E-3</v>
      </c>
      <c r="N131" s="18"/>
      <c r="O131" s="20">
        <v>-1.18024132704596E-2</v>
      </c>
      <c r="P131" s="18"/>
      <c r="Q131" s="20">
        <v>-1.9667698330871602E-3</v>
      </c>
      <c r="R131" s="18"/>
      <c r="S131" s="20">
        <v>1.04495167752946E-3</v>
      </c>
      <c r="T131" s="18"/>
      <c r="U131" s="20">
        <v>1.8901231467438699E-3</v>
      </c>
      <c r="V131" s="18"/>
      <c r="W131" s="20">
        <v>5.9620195919082002E-3</v>
      </c>
      <c r="X131" s="18"/>
      <c r="Y131" s="20">
        <v>1.90742450223923E-3</v>
      </c>
      <c r="Z131" s="18"/>
      <c r="AA131" s="20">
        <v>-1.6242302460772399E-3</v>
      </c>
      <c r="AB131" s="18"/>
      <c r="AC131" s="20">
        <v>-9.74102998948012E-4</v>
      </c>
      <c r="AD131" s="18"/>
      <c r="AE131" s="20">
        <v>1.37734282407098E-3</v>
      </c>
      <c r="AF131" s="18"/>
      <c r="AG131" s="20">
        <v>1.3885204963164099E-3</v>
      </c>
      <c r="AH131" s="18"/>
      <c r="AI131" s="20">
        <v>1.83142744535549E-3</v>
      </c>
      <c r="AJ131" s="18"/>
      <c r="AK131" s="20">
        <v>2.7060983878667401E-4</v>
      </c>
      <c r="AL131" s="18"/>
      <c r="AM131" s="20">
        <v>-1.9208267801484301E-3</v>
      </c>
      <c r="AN131" s="18"/>
      <c r="AO131" s="20">
        <v>1.40408162405683E-3</v>
      </c>
      <c r="AP131" s="18"/>
      <c r="AQ131" s="20">
        <v>2.8473201245598302E-4</v>
      </c>
      <c r="AR131" s="18"/>
      <c r="AS131" s="20">
        <v>1.4380459966467801E-3</v>
      </c>
      <c r="AT131" s="18"/>
      <c r="AU131" s="20">
        <v>-1.1193752269834901E-3</v>
      </c>
      <c r="AV131" s="18"/>
      <c r="AW131" s="20">
        <v>-2.5900257531835598E-4</v>
      </c>
      <c r="AX131" s="18"/>
      <c r="AY131" s="20">
        <v>-8.7114939298891901E-5</v>
      </c>
      <c r="AZ131" s="18"/>
      <c r="BA131" s="20">
        <v>4.5011744684068499E-4</v>
      </c>
      <c r="BB131" s="18"/>
      <c r="BC131" s="20">
        <v>1.1612032011808699E-3</v>
      </c>
      <c r="BD131" s="18"/>
      <c r="BE131" s="20">
        <v>-7.4612377125842096E-4</v>
      </c>
      <c r="BF131" s="18"/>
      <c r="BG131" s="20"/>
      <c r="BH131" s="18"/>
    </row>
    <row r="132" spans="1:60" x14ac:dyDescent="0.2">
      <c r="A132" s="16">
        <v>2010</v>
      </c>
      <c r="B132" s="16">
        <v>1</v>
      </c>
      <c r="C132" s="20"/>
      <c r="D132" s="18"/>
      <c r="E132" s="20">
        <v>2.9102147395485198E-2</v>
      </c>
      <c r="F132" s="18"/>
      <c r="G132" s="20">
        <v>-2.0996279145744901E-4</v>
      </c>
      <c r="H132" s="18"/>
      <c r="I132" s="20">
        <v>6.0102209315119601E-5</v>
      </c>
      <c r="J132" s="18"/>
      <c r="K132" s="20">
        <v>9.4636983824531104E-3</v>
      </c>
      <c r="L132" s="18"/>
      <c r="M132" s="20">
        <v>6.0737752390761903E-3</v>
      </c>
      <c r="N132" s="18"/>
      <c r="O132" s="20">
        <v>3.4042655337930298E-3</v>
      </c>
      <c r="P132" s="18"/>
      <c r="Q132" s="20">
        <v>-7.19236972352151E-4</v>
      </c>
      <c r="R132" s="18"/>
      <c r="S132" s="20">
        <v>-4.3239252361592197E-4</v>
      </c>
      <c r="T132" s="18"/>
      <c r="U132" s="20">
        <v>2.6008594034088702E-3</v>
      </c>
      <c r="V132" s="18"/>
      <c r="W132" s="20">
        <v>7.2937762951969104E-3</v>
      </c>
      <c r="X132" s="18"/>
      <c r="Y132" s="20">
        <v>2.0711881206848101E-3</v>
      </c>
      <c r="Z132" s="18"/>
      <c r="AA132" s="20">
        <v>7.4227308309682402E-4</v>
      </c>
      <c r="AB132" s="18"/>
      <c r="AC132" s="20">
        <v>-1.34819927576956E-4</v>
      </c>
      <c r="AD132" s="18"/>
      <c r="AE132" s="20">
        <v>1.63900801515868E-3</v>
      </c>
      <c r="AF132" s="18"/>
      <c r="AG132" s="20">
        <v>3.8649288576928101E-3</v>
      </c>
      <c r="AH132" s="18"/>
      <c r="AI132" s="20">
        <v>4.61530930288133E-3</v>
      </c>
      <c r="AJ132" s="18"/>
      <c r="AK132" s="20">
        <v>-1.1569428491055799E-3</v>
      </c>
      <c r="AL132" s="18"/>
      <c r="AM132" s="20">
        <v>7.1728268127014899E-4</v>
      </c>
      <c r="AN132" s="18"/>
      <c r="AO132" s="20">
        <v>5.6052441799505596E-4</v>
      </c>
      <c r="AP132" s="18"/>
      <c r="AQ132" s="20">
        <v>3.9868572798261302E-5</v>
      </c>
      <c r="AR132" s="18"/>
      <c r="AS132" s="20">
        <v>9.4336330563481402E-4</v>
      </c>
      <c r="AT132" s="18"/>
      <c r="AU132" s="20">
        <v>1.9226626658635001E-3</v>
      </c>
      <c r="AV132" s="18"/>
      <c r="AW132" s="20">
        <v>-2.4604654674659899E-4</v>
      </c>
      <c r="AX132" s="18"/>
      <c r="AY132" s="20">
        <v>-5.6811147378341202E-5</v>
      </c>
      <c r="AZ132" s="18"/>
      <c r="BA132" s="20">
        <v>2.3415819198861001E-3</v>
      </c>
      <c r="BB132" s="18"/>
      <c r="BC132" s="20">
        <v>2.3816991832437098E-3</v>
      </c>
      <c r="BD132" s="18"/>
      <c r="BE132" s="20">
        <v>-8.2363134825507106E-5</v>
      </c>
      <c r="BF132" s="18"/>
      <c r="BG132" s="20"/>
      <c r="BH132" s="18"/>
    </row>
    <row r="133" spans="1:60" x14ac:dyDescent="0.2">
      <c r="A133" s="16">
        <v>2010</v>
      </c>
      <c r="B133" s="16">
        <v>2</v>
      </c>
      <c r="C133" s="20"/>
      <c r="D133" s="18"/>
      <c r="E133" s="20">
        <v>3.4524099309539598E-2</v>
      </c>
      <c r="F133" s="18"/>
      <c r="G133" s="20">
        <v>-3.65490514607903E-4</v>
      </c>
      <c r="H133" s="18"/>
      <c r="I133" s="20">
        <v>1.37512342736643E-4</v>
      </c>
      <c r="J133" s="18"/>
      <c r="K133" s="20">
        <v>1.5319967830828399E-2</v>
      </c>
      <c r="L133" s="18"/>
      <c r="M133" s="20">
        <v>5.7183920200921997E-3</v>
      </c>
      <c r="N133" s="18"/>
      <c r="O133" s="20">
        <v>9.6175890068853805E-3</v>
      </c>
      <c r="P133" s="18"/>
      <c r="Q133" s="20">
        <v>-1.1265560039096199E-3</v>
      </c>
      <c r="R133" s="18"/>
      <c r="S133" s="20">
        <v>-1.33638689352759E-3</v>
      </c>
      <c r="T133" s="18"/>
      <c r="U133" s="20">
        <v>3.5843023317028498E-3</v>
      </c>
      <c r="V133" s="18"/>
      <c r="W133" s="20">
        <v>5.5027085626567999E-3</v>
      </c>
      <c r="X133" s="18"/>
      <c r="Y133" s="20">
        <v>1.65074820094461E-3</v>
      </c>
      <c r="Z133" s="18"/>
      <c r="AA133" s="20">
        <v>1.7326029843351199E-3</v>
      </c>
      <c r="AB133" s="18"/>
      <c r="AC133" s="20">
        <v>5.5393825727636603E-4</v>
      </c>
      <c r="AD133" s="18"/>
      <c r="AE133" s="20">
        <v>1.18741267865549E-3</v>
      </c>
      <c r="AF133" s="18"/>
      <c r="AG133" s="20">
        <v>1.85063518870001E-3</v>
      </c>
      <c r="AH133" s="18"/>
      <c r="AI133" s="20">
        <v>3.2093600378003901E-3</v>
      </c>
      <c r="AJ133" s="18"/>
      <c r="AK133" s="20">
        <v>-1.8650069591557199E-3</v>
      </c>
      <c r="AL133" s="18"/>
      <c r="AM133" s="20">
        <v>2.7121328121097799E-3</v>
      </c>
      <c r="AN133" s="18"/>
      <c r="AO133" s="20">
        <v>3.29505990376592E-4</v>
      </c>
      <c r="AP133" s="18"/>
      <c r="AQ133" s="20">
        <v>1.07051938268255E-4</v>
      </c>
      <c r="AR133" s="18"/>
      <c r="AS133" s="20">
        <v>6.9045075040372105E-4</v>
      </c>
      <c r="AT133" s="18"/>
      <c r="AU133" s="20">
        <v>4.1565752697928001E-3</v>
      </c>
      <c r="AV133" s="18"/>
      <c r="AW133" s="20">
        <v>-3.2133593379010997E-4</v>
      </c>
      <c r="AX133" s="18"/>
      <c r="AY133" s="20">
        <v>-1.93951207036729E-5</v>
      </c>
      <c r="AZ133" s="18"/>
      <c r="BA133" s="20">
        <v>2.2976891596403698E-3</v>
      </c>
      <c r="BB133" s="18"/>
      <c r="BC133" s="20">
        <v>2.13630878498386E-3</v>
      </c>
      <c r="BD133" s="18"/>
      <c r="BE133" s="20">
        <v>2.1593844113367E-4</v>
      </c>
      <c r="BF133" s="18"/>
      <c r="BG133" s="20"/>
      <c r="BH133" s="18"/>
    </row>
    <row r="134" spans="1:60" x14ac:dyDescent="0.2">
      <c r="A134" s="16">
        <v>2010</v>
      </c>
      <c r="B134" s="16">
        <v>3</v>
      </c>
      <c r="C134" s="20"/>
      <c r="D134" s="18"/>
      <c r="E134" s="20">
        <v>2.7785947843189301E-2</v>
      </c>
      <c r="F134" s="18"/>
      <c r="G134" s="20">
        <v>-3.1555512627729398E-4</v>
      </c>
      <c r="H134" s="18"/>
      <c r="I134" s="20">
        <v>1.27002941031194E-4</v>
      </c>
      <c r="J134" s="18"/>
      <c r="K134" s="20">
        <v>1.30218290012098E-2</v>
      </c>
      <c r="L134" s="18"/>
      <c r="M134" s="20">
        <v>3.9043927044889598E-3</v>
      </c>
      <c r="N134" s="18"/>
      <c r="O134" s="20">
        <v>9.1470148872097295E-3</v>
      </c>
      <c r="P134" s="18"/>
      <c r="Q134" s="20">
        <v>-4.9783064400184902E-4</v>
      </c>
      <c r="R134" s="18"/>
      <c r="S134" s="20">
        <v>-1.1258839233101001E-3</v>
      </c>
      <c r="T134" s="18"/>
      <c r="U134" s="20">
        <v>2.9154142532952002E-3</v>
      </c>
      <c r="V134" s="18"/>
      <c r="W134" s="20">
        <v>7.72618767940192E-3</v>
      </c>
      <c r="X134" s="18"/>
      <c r="Y134" s="20">
        <v>2.4153328548856198E-3</v>
      </c>
      <c r="Z134" s="18"/>
      <c r="AA134" s="20">
        <v>1.9238339907351699E-3</v>
      </c>
      <c r="AB134" s="18"/>
      <c r="AC134" s="20">
        <v>2.4668027940756001E-4</v>
      </c>
      <c r="AD134" s="18"/>
      <c r="AE134" s="20">
        <v>1.22829414729995E-3</v>
      </c>
      <c r="AF134" s="18"/>
      <c r="AG134" s="20">
        <v>-4.5755972307041102E-3</v>
      </c>
      <c r="AH134" s="18"/>
      <c r="AI134" s="20">
        <v>-3.08172107410236E-3</v>
      </c>
      <c r="AJ134" s="18"/>
      <c r="AK134" s="20">
        <v>-1.86331349472732E-3</v>
      </c>
      <c r="AL134" s="18"/>
      <c r="AM134" s="20">
        <v>3.9886433674092203E-3</v>
      </c>
      <c r="AN134" s="18"/>
      <c r="AO134" s="20">
        <v>1.8196605732200401E-4</v>
      </c>
      <c r="AP134" s="18"/>
      <c r="AQ134" s="20">
        <v>6.6844088213764498E-5</v>
      </c>
      <c r="AR134" s="18"/>
      <c r="AS134" s="20">
        <v>4.9278034307889099E-4</v>
      </c>
      <c r="AT134" s="18"/>
      <c r="AU134" s="20">
        <v>2.46673813036195E-3</v>
      </c>
      <c r="AV134" s="18"/>
      <c r="AW134" s="20">
        <v>-1.8216775093837299E-4</v>
      </c>
      <c r="AX134" s="18"/>
      <c r="AY134" s="20">
        <v>-3.7956163562703001E-5</v>
      </c>
      <c r="AZ134" s="18"/>
      <c r="BA134" s="20">
        <v>1.8669659300623101E-3</v>
      </c>
      <c r="BB134" s="18"/>
      <c r="BC134" s="20">
        <v>1.6596687821578901E-3</v>
      </c>
      <c r="BD134" s="18"/>
      <c r="BE134" s="20">
        <v>2.04147948313968E-4</v>
      </c>
      <c r="BF134" s="18"/>
      <c r="BG134" s="20"/>
      <c r="BH134" s="18"/>
    </row>
    <row r="135" spans="1:60" x14ac:dyDescent="0.2">
      <c r="A135" s="16">
        <v>2010</v>
      </c>
      <c r="B135" s="16">
        <v>4</v>
      </c>
      <c r="C135" s="20"/>
      <c r="D135" s="18"/>
      <c r="E135" s="20">
        <v>3.1231531853093401E-2</v>
      </c>
      <c r="F135" s="18"/>
      <c r="G135" s="20">
        <v>-6.0812692957995699E-5</v>
      </c>
      <c r="H135" s="18"/>
      <c r="I135" s="20">
        <v>6.91301277194506E-5</v>
      </c>
      <c r="J135" s="18"/>
      <c r="K135" s="20">
        <v>1.4742912975487899E-2</v>
      </c>
      <c r="L135" s="18"/>
      <c r="M135" s="20">
        <v>3.8630617361645999E-3</v>
      </c>
      <c r="N135" s="18"/>
      <c r="O135" s="20">
        <v>1.0857054642058E-2</v>
      </c>
      <c r="P135" s="18"/>
      <c r="Q135" s="20">
        <v>1.45827478692399E-3</v>
      </c>
      <c r="R135" s="18"/>
      <c r="S135" s="20">
        <v>-9.2818476280408897E-4</v>
      </c>
      <c r="T135" s="18"/>
      <c r="U135" s="20">
        <v>3.0298334684329999E-3</v>
      </c>
      <c r="V135" s="18"/>
      <c r="W135" s="20">
        <v>4.1410838690803297E-3</v>
      </c>
      <c r="X135" s="18"/>
      <c r="Y135" s="20">
        <v>1.7294653395696E-3</v>
      </c>
      <c r="Z135" s="18"/>
      <c r="AA135" s="20">
        <v>2.4934614629355E-3</v>
      </c>
      <c r="AB135" s="18"/>
      <c r="AC135" s="20">
        <v>2.1994975376348299E-4</v>
      </c>
      <c r="AD135" s="18"/>
      <c r="AE135" s="20">
        <v>1.5512565558825301E-3</v>
      </c>
      <c r="AF135" s="18"/>
      <c r="AG135" s="20">
        <v>-9.0616227930572196E-4</v>
      </c>
      <c r="AH135" s="18"/>
      <c r="AI135" s="20">
        <v>-3.2259841630061199E-4</v>
      </c>
      <c r="AJ135" s="18"/>
      <c r="AK135" s="20">
        <v>-1.1562921796549801E-3</v>
      </c>
      <c r="AL135" s="18"/>
      <c r="AM135" s="20">
        <v>4.5449873711061999E-3</v>
      </c>
      <c r="AN135" s="18"/>
      <c r="AO135" s="20">
        <v>2.62467479800008E-4</v>
      </c>
      <c r="AP135" s="18"/>
      <c r="AQ135" s="20">
        <v>2.4817864089722298E-4</v>
      </c>
      <c r="AR135" s="18"/>
      <c r="AS135" s="20">
        <v>3.4014070290129701E-4</v>
      </c>
      <c r="AT135" s="18"/>
      <c r="AU135" s="20">
        <v>8.4976044872855396E-4</v>
      </c>
      <c r="AV135" s="18"/>
      <c r="AW135" s="20">
        <v>1.40907975683654E-4</v>
      </c>
      <c r="AX135" s="18"/>
      <c r="AY135" s="20">
        <v>-4.0417534572502302E-5</v>
      </c>
      <c r="AZ135" s="18"/>
      <c r="BA135" s="20">
        <v>1.3198326590014599E-3</v>
      </c>
      <c r="BB135" s="18"/>
      <c r="BC135" s="20">
        <v>1.4250617481298901E-3</v>
      </c>
      <c r="BD135" s="18"/>
      <c r="BE135" s="20">
        <v>-1.1525198974956E-4</v>
      </c>
      <c r="BF135" s="18"/>
      <c r="BG135" s="20"/>
      <c r="BH135" s="18"/>
    </row>
    <row r="136" spans="1:60" x14ac:dyDescent="0.2">
      <c r="A136" s="16">
        <v>2011</v>
      </c>
      <c r="B136" s="16">
        <v>1</v>
      </c>
      <c r="C136" s="20"/>
      <c r="D136" s="18"/>
      <c r="E136" s="20">
        <v>2.2914566010106701E-2</v>
      </c>
      <c r="F136" s="18"/>
      <c r="G136" s="20">
        <v>4.9081899976954901E-4</v>
      </c>
      <c r="H136" s="18"/>
      <c r="I136" s="20">
        <v>9.7450351957329001E-5</v>
      </c>
      <c r="J136" s="18"/>
      <c r="K136" s="20">
        <v>1.8870913297468098E-2</v>
      </c>
      <c r="L136" s="18"/>
      <c r="M136" s="20">
        <v>7.16913720266901E-3</v>
      </c>
      <c r="N136" s="18"/>
      <c r="O136" s="20">
        <v>1.1862800674980099E-2</v>
      </c>
      <c r="P136" s="18"/>
      <c r="Q136" s="20">
        <v>-3.0886365981028902E-4</v>
      </c>
      <c r="R136" s="18"/>
      <c r="S136" s="20">
        <v>-4.3019646632392098E-4</v>
      </c>
      <c r="T136" s="18"/>
      <c r="U136" s="20">
        <v>1.78814712398574E-3</v>
      </c>
      <c r="V136" s="18"/>
      <c r="W136" s="20">
        <v>-3.0437162170202101E-3</v>
      </c>
      <c r="X136" s="18"/>
      <c r="Y136" s="20">
        <v>4.4890060045906698E-4</v>
      </c>
      <c r="Z136" s="18"/>
      <c r="AA136" s="20">
        <v>9.6962617606199204E-4</v>
      </c>
      <c r="AB136" s="18"/>
      <c r="AC136" s="20">
        <v>7.7079774550274503E-5</v>
      </c>
      <c r="AD136" s="18"/>
      <c r="AE136" s="20">
        <v>-4.4953075590102901E-4</v>
      </c>
      <c r="AF136" s="18"/>
      <c r="AG136" s="20">
        <v>1.62453695413823E-3</v>
      </c>
      <c r="AH136" s="18"/>
      <c r="AI136" s="20">
        <v>7.0182343878514197E-4</v>
      </c>
      <c r="AJ136" s="18"/>
      <c r="AK136" s="20">
        <v>1.88690431390699E-4</v>
      </c>
      <c r="AL136" s="18"/>
      <c r="AM136" s="20">
        <v>3.8410970833132E-3</v>
      </c>
      <c r="AN136" s="18"/>
      <c r="AO136" s="20">
        <v>4.9561099075419695E-4</v>
      </c>
      <c r="AP136" s="18"/>
      <c r="AQ136" s="20">
        <v>8.3651185127326603E-4</v>
      </c>
      <c r="AR136" s="18"/>
      <c r="AS136" s="20">
        <v>-6.8997676484298405E-5</v>
      </c>
      <c r="AT136" s="18"/>
      <c r="AU136" s="20">
        <v>-1.73343585113207E-3</v>
      </c>
      <c r="AV136" s="18"/>
      <c r="AW136" s="20">
        <v>1.94191895334835E-4</v>
      </c>
      <c r="AX136" s="18"/>
      <c r="AY136" s="20">
        <v>-4.9932218043682199E-5</v>
      </c>
      <c r="AZ136" s="18"/>
      <c r="BA136" s="20">
        <v>1.0929685054056E-5</v>
      </c>
      <c r="BB136" s="18"/>
      <c r="BC136" s="20">
        <v>7.0956262810847599E-4</v>
      </c>
      <c r="BD136" s="18"/>
      <c r="BE136" s="20">
        <v>-6.7114818833548695E-4</v>
      </c>
      <c r="BF136" s="18"/>
      <c r="BG136" s="20"/>
      <c r="BH136" s="18"/>
    </row>
    <row r="137" spans="1:60" x14ac:dyDescent="0.2">
      <c r="A137" s="16">
        <v>2011</v>
      </c>
      <c r="B137" s="16">
        <v>2</v>
      </c>
      <c r="C137" s="20"/>
      <c r="D137" s="18"/>
      <c r="E137" s="20">
        <v>2.1279666068095001E-2</v>
      </c>
      <c r="F137" s="18"/>
      <c r="G137" s="20">
        <v>7.4859549790157697E-4</v>
      </c>
      <c r="H137" s="18"/>
      <c r="I137" s="20">
        <v>-3.3083808698786303E-5</v>
      </c>
      <c r="J137" s="18"/>
      <c r="K137" s="20">
        <v>2.0432537760185901E-2</v>
      </c>
      <c r="L137" s="18"/>
      <c r="M137" s="20">
        <v>8.7495835238898794E-3</v>
      </c>
      <c r="N137" s="18"/>
      <c r="O137" s="20">
        <v>1.18045581661158E-2</v>
      </c>
      <c r="P137" s="18"/>
      <c r="Q137" s="20">
        <v>-8.1552050446192701E-4</v>
      </c>
      <c r="R137" s="18"/>
      <c r="S137" s="20">
        <v>2.0583717849551801E-4</v>
      </c>
      <c r="T137" s="18"/>
      <c r="U137" s="20">
        <v>5.1970314094595201E-4</v>
      </c>
      <c r="V137" s="18"/>
      <c r="W137" s="20">
        <v>-5.18405071588726E-3</v>
      </c>
      <c r="X137" s="18"/>
      <c r="Y137" s="20">
        <v>1.16509779523206E-3</v>
      </c>
      <c r="Z137" s="18"/>
      <c r="AA137" s="20">
        <v>8.7425212609648997E-4</v>
      </c>
      <c r="AB137" s="18"/>
      <c r="AC137" s="20">
        <v>1.42822806635451E-4</v>
      </c>
      <c r="AD137" s="18"/>
      <c r="AE137" s="20">
        <v>2.3137741123298201E-5</v>
      </c>
      <c r="AF137" s="18"/>
      <c r="AG137" s="20">
        <v>1.46251973947419E-3</v>
      </c>
      <c r="AH137" s="18"/>
      <c r="AI137" s="20">
        <v>-4.4438979373719202E-4</v>
      </c>
      <c r="AJ137" s="18"/>
      <c r="AK137" s="20">
        <v>1.08282185575747E-3</v>
      </c>
      <c r="AL137" s="18"/>
      <c r="AM137" s="20">
        <v>4.2012064301137596E-3</v>
      </c>
      <c r="AN137" s="18"/>
      <c r="AO137" s="20">
        <v>9.2516962534915895E-4</v>
      </c>
      <c r="AP137" s="18"/>
      <c r="AQ137" s="20">
        <v>1.00618541691606E-3</v>
      </c>
      <c r="AR137" s="18"/>
      <c r="AS137" s="20">
        <v>6.1770775274228701E-4</v>
      </c>
      <c r="AT137" s="18"/>
      <c r="AU137" s="20">
        <v>-3.8461813944985399E-3</v>
      </c>
      <c r="AV137" s="18"/>
      <c r="AW137" s="20">
        <v>4.2675530581518602E-4</v>
      </c>
      <c r="AX137" s="18"/>
      <c r="AY137" s="20">
        <v>-4.3824514783764003E-5</v>
      </c>
      <c r="AZ137" s="18"/>
      <c r="BA137" s="20">
        <v>-6.4185333310465699E-4</v>
      </c>
      <c r="BB137" s="18"/>
      <c r="BC137" s="20">
        <v>4.2312649935618998E-4</v>
      </c>
      <c r="BD137" s="18"/>
      <c r="BE137" s="20">
        <v>-1.06640534463351E-3</v>
      </c>
      <c r="BF137" s="18"/>
      <c r="BG137" s="20"/>
      <c r="BH137" s="18"/>
    </row>
    <row r="138" spans="1:60" x14ac:dyDescent="0.2">
      <c r="A138" s="16">
        <v>2011</v>
      </c>
      <c r="B138" s="16">
        <v>3</v>
      </c>
      <c r="C138" s="20"/>
      <c r="D138" s="18"/>
      <c r="E138" s="20">
        <v>1.02127818966501E-2</v>
      </c>
      <c r="F138" s="18"/>
      <c r="G138" s="20">
        <v>8.2570859780244196E-4</v>
      </c>
      <c r="H138" s="18"/>
      <c r="I138" s="20">
        <v>-4.61889279381333E-5</v>
      </c>
      <c r="J138" s="18"/>
      <c r="K138" s="20">
        <v>1.7908738059082201E-2</v>
      </c>
      <c r="L138" s="18"/>
      <c r="M138" s="20">
        <v>7.65287491613343E-3</v>
      </c>
      <c r="N138" s="18"/>
      <c r="O138" s="20">
        <v>1.02254088152823E-2</v>
      </c>
      <c r="P138" s="18"/>
      <c r="Q138" s="20">
        <v>-4.8719863573797701E-4</v>
      </c>
      <c r="R138" s="18"/>
      <c r="S138" s="20">
        <v>4.6051540695006201E-5</v>
      </c>
      <c r="T138" s="18"/>
      <c r="U138" s="20">
        <v>-2.43636213342113E-4</v>
      </c>
      <c r="V138" s="18"/>
      <c r="W138" s="20">
        <v>-1.4300408067501101E-2</v>
      </c>
      <c r="X138" s="18"/>
      <c r="Y138" s="20">
        <v>-8.1775880965547496E-4</v>
      </c>
      <c r="Z138" s="18"/>
      <c r="AA138" s="20">
        <v>5.8989276257466504E-4</v>
      </c>
      <c r="AB138" s="18"/>
      <c r="AC138" s="20">
        <v>-5.9155707002158601E-4</v>
      </c>
      <c r="AD138" s="18"/>
      <c r="AE138" s="20">
        <v>-1.12011516625135E-3</v>
      </c>
      <c r="AF138" s="18"/>
      <c r="AG138" s="20">
        <v>2.8074451483139202E-3</v>
      </c>
      <c r="AH138" s="18"/>
      <c r="AI138" s="20">
        <v>7.3099937713186304E-4</v>
      </c>
      <c r="AJ138" s="18"/>
      <c r="AK138" s="20">
        <v>1.57323459330019E-3</v>
      </c>
      <c r="AL138" s="18"/>
      <c r="AM138" s="20">
        <v>4.1590270470894999E-3</v>
      </c>
      <c r="AN138" s="18"/>
      <c r="AO138" s="20">
        <v>8.5176486593803902E-4</v>
      </c>
      <c r="AP138" s="18"/>
      <c r="AQ138" s="20">
        <v>9.52520423919526E-4</v>
      </c>
      <c r="AR138" s="18"/>
      <c r="AS138" s="20">
        <v>6.75209647308337E-4</v>
      </c>
      <c r="AT138" s="18"/>
      <c r="AU138" s="20">
        <v>-2.2654678736898498E-3</v>
      </c>
      <c r="AV138" s="18"/>
      <c r="AW138" s="20">
        <v>3.6516920762148097E-4</v>
      </c>
      <c r="AX138" s="18"/>
      <c r="AY138" s="20">
        <v>-1.1879721484805901E-5</v>
      </c>
      <c r="AZ138" s="18"/>
      <c r="BA138" s="20">
        <v>-1.4771239296319601E-3</v>
      </c>
      <c r="BB138" s="18"/>
      <c r="BC138" s="20">
        <v>-2.19227778812588E-4</v>
      </c>
      <c r="BD138" s="18"/>
      <c r="BE138" s="20">
        <v>-1.2719572977529399E-3</v>
      </c>
      <c r="BF138" s="18"/>
      <c r="BG138" s="20"/>
      <c r="BH138" s="18"/>
    </row>
    <row r="139" spans="1:60" x14ac:dyDescent="0.2">
      <c r="A139" s="16">
        <v>2011</v>
      </c>
      <c r="B139" s="16">
        <v>4</v>
      </c>
      <c r="C139" s="20"/>
      <c r="D139" s="18"/>
      <c r="E139" s="20">
        <v>6.1313658826095199E-3</v>
      </c>
      <c r="F139" s="18"/>
      <c r="G139" s="20">
        <v>6.1321282595005599E-4</v>
      </c>
      <c r="H139" s="18"/>
      <c r="I139" s="20">
        <v>-6.7046347795866603E-6</v>
      </c>
      <c r="J139" s="18"/>
      <c r="K139" s="20">
        <v>1.31791111886033E-2</v>
      </c>
      <c r="L139" s="18"/>
      <c r="M139" s="20">
        <v>4.6196709786772497E-3</v>
      </c>
      <c r="N139" s="18"/>
      <c r="O139" s="20">
        <v>8.3394666918968092E-3</v>
      </c>
      <c r="P139" s="18"/>
      <c r="Q139" s="20">
        <v>-5.2575744673277302E-4</v>
      </c>
      <c r="R139" s="18"/>
      <c r="S139" s="20">
        <v>-5.9281651852155102E-5</v>
      </c>
      <c r="T139" s="18"/>
      <c r="U139" s="20">
        <v>-7.8211256591623896E-4</v>
      </c>
      <c r="V139" s="18"/>
      <c r="W139" s="20">
        <v>-1.02537146320181E-2</v>
      </c>
      <c r="X139" s="18"/>
      <c r="Y139" s="20">
        <v>4.18719590206321E-4</v>
      </c>
      <c r="Z139" s="18"/>
      <c r="AA139" s="20">
        <v>8.4850670850398504E-4</v>
      </c>
      <c r="AB139" s="18"/>
      <c r="AC139" s="20">
        <v>-5.7118675547202901E-4</v>
      </c>
      <c r="AD139" s="18"/>
      <c r="AE139" s="20">
        <v>-7.5509795360804402E-4</v>
      </c>
      <c r="AF139" s="18"/>
      <c r="AG139" s="20">
        <v>2.10705692771625E-4</v>
      </c>
      <c r="AH139" s="18"/>
      <c r="AI139" s="20">
        <v>-1.49777981242797E-3</v>
      </c>
      <c r="AJ139" s="18"/>
      <c r="AK139" s="20">
        <v>1.6182096557720801E-3</v>
      </c>
      <c r="AL139" s="18"/>
      <c r="AM139" s="20">
        <v>2.7122736024620701E-3</v>
      </c>
      <c r="AN139" s="18"/>
      <c r="AO139" s="20">
        <v>5.4644549666549801E-4</v>
      </c>
      <c r="AP139" s="18"/>
      <c r="AQ139" s="20">
        <v>4.3320366929363598E-4</v>
      </c>
      <c r="AR139" s="18"/>
      <c r="AS139" s="20">
        <v>8.7953652134923602E-4</v>
      </c>
      <c r="AT139" s="18"/>
      <c r="AU139" s="20">
        <v>-1.1691975263850699E-3</v>
      </c>
      <c r="AV139" s="18"/>
      <c r="AW139" s="20">
        <v>3.21635541643383E-4</v>
      </c>
      <c r="AX139" s="18"/>
      <c r="AY139" s="20">
        <v>4.0986721120097897E-5</v>
      </c>
      <c r="AZ139" s="18"/>
      <c r="BA139" s="20">
        <v>-1.5397740043703199E-3</v>
      </c>
      <c r="BB139" s="18"/>
      <c r="BC139" s="20">
        <v>-2.8267877063280802E-4</v>
      </c>
      <c r="BD139" s="18"/>
      <c r="BE139" s="20">
        <v>-1.32466982929328E-3</v>
      </c>
      <c r="BF139" s="18"/>
      <c r="BG139" s="20"/>
      <c r="BH139" s="18"/>
    </row>
    <row r="140" spans="1:60" x14ac:dyDescent="0.2">
      <c r="A140" s="16">
        <v>2012</v>
      </c>
      <c r="B140" s="16">
        <v>1</v>
      </c>
      <c r="C140" s="20"/>
      <c r="D140" s="18"/>
      <c r="E140" s="20">
        <v>9.8171322956477208E-3</v>
      </c>
      <c r="F140" s="18"/>
      <c r="G140" s="20">
        <v>1.11648446063917E-4</v>
      </c>
      <c r="H140" s="18"/>
      <c r="I140" s="20">
        <v>-5.7838556710772802E-5</v>
      </c>
      <c r="J140" s="18"/>
      <c r="K140" s="20">
        <v>2.34081955763324E-3</v>
      </c>
      <c r="L140" s="18"/>
      <c r="M140" s="20">
        <v>6.8510727725670003E-4</v>
      </c>
      <c r="N140" s="18"/>
      <c r="O140" s="20">
        <v>1.78891997476772E-3</v>
      </c>
      <c r="P140" s="18"/>
      <c r="Q140" s="20">
        <v>8.46672427266853E-4</v>
      </c>
      <c r="R140" s="18"/>
      <c r="S140" s="20">
        <v>-3.0063064173899698E-4</v>
      </c>
      <c r="T140" s="18"/>
      <c r="U140" s="20">
        <v>-2.0750797305140299E-4</v>
      </c>
      <c r="V140" s="18"/>
      <c r="W140" s="20">
        <v>-3.2870098679528899E-5</v>
      </c>
      <c r="X140" s="18"/>
      <c r="Y140" s="20">
        <v>1.64759774617871E-3</v>
      </c>
      <c r="Z140" s="18"/>
      <c r="AA140" s="20">
        <v>1.4373168753234701E-3</v>
      </c>
      <c r="AB140" s="18"/>
      <c r="AC140" s="20">
        <v>-1.0488710869650899E-3</v>
      </c>
      <c r="AD140" s="18"/>
      <c r="AE140" s="20">
        <v>2.4822011673547801E-4</v>
      </c>
      <c r="AF140" s="18"/>
      <c r="AG140" s="20">
        <v>1.76683406211285E-4</v>
      </c>
      <c r="AH140" s="18"/>
      <c r="AI140" s="20">
        <v>-1.09608725839962E-3</v>
      </c>
      <c r="AJ140" s="18"/>
      <c r="AK140" s="20">
        <v>1.3584618366899301E-3</v>
      </c>
      <c r="AL140" s="18"/>
      <c r="AM140" s="20">
        <v>2.6342717648578898E-3</v>
      </c>
      <c r="AN140" s="18"/>
      <c r="AO140" s="20">
        <v>5.8416243414300404E-4</v>
      </c>
      <c r="AP140" s="18"/>
      <c r="AQ140" s="20">
        <v>-2.6785464098698402E-4</v>
      </c>
      <c r="AR140" s="18"/>
      <c r="AS140" s="20">
        <v>2.4069666544216301E-3</v>
      </c>
      <c r="AT140" s="18"/>
      <c r="AU140" s="20">
        <v>4.4095710868389599E-4</v>
      </c>
      <c r="AV140" s="18"/>
      <c r="AW140" s="20">
        <v>1.3410644814873499E-4</v>
      </c>
      <c r="AX140" s="18"/>
      <c r="AY140" s="20">
        <v>1.13623463188502E-4</v>
      </c>
      <c r="AZ140" s="18"/>
      <c r="BA140" s="20">
        <v>-1.2917780111064399E-3</v>
      </c>
      <c r="BB140" s="18"/>
      <c r="BC140" s="20">
        <v>1.5324243604046599E-4</v>
      </c>
      <c r="BD140" s="18"/>
      <c r="BE140" s="20">
        <v>-1.3699846044529201E-3</v>
      </c>
      <c r="BF140" s="18"/>
      <c r="BG140" s="20"/>
      <c r="BH140" s="18"/>
    </row>
    <row r="141" spans="1:60" x14ac:dyDescent="0.2">
      <c r="A141" s="16">
        <v>2012</v>
      </c>
      <c r="B141" s="16">
        <v>2</v>
      </c>
      <c r="C141" s="20"/>
      <c r="D141" s="18"/>
      <c r="E141" s="20">
        <v>5.2996326117344004E-3</v>
      </c>
      <c r="F141" s="18"/>
      <c r="G141" s="20">
        <v>-1.85176114716169E-4</v>
      </c>
      <c r="H141" s="18"/>
      <c r="I141" s="20">
        <v>5.4279073666060102E-5</v>
      </c>
      <c r="J141" s="18"/>
      <c r="K141" s="20">
        <v>-5.3317287094877203E-3</v>
      </c>
      <c r="L141" s="18"/>
      <c r="M141" s="20">
        <v>-2.66902888764774E-3</v>
      </c>
      <c r="N141" s="18"/>
      <c r="O141" s="20">
        <v>-2.45122028261174E-3</v>
      </c>
      <c r="P141" s="18"/>
      <c r="Q141" s="20">
        <v>1.48816726686862E-3</v>
      </c>
      <c r="R141" s="18"/>
      <c r="S141" s="20">
        <v>-4.90162863907793E-4</v>
      </c>
      <c r="T141" s="18"/>
      <c r="U141" s="20">
        <v>2.70449310034905E-4</v>
      </c>
      <c r="V141" s="18"/>
      <c r="W141" s="20">
        <v>3.00754193628512E-3</v>
      </c>
      <c r="X141" s="18"/>
      <c r="Y141" s="20">
        <v>8.9118082592438898E-4</v>
      </c>
      <c r="Z141" s="18"/>
      <c r="AA141" s="20">
        <v>9.4484506754725299E-4</v>
      </c>
      <c r="AB141" s="18"/>
      <c r="AC141" s="20">
        <v>-1.0465562448799899E-3</v>
      </c>
      <c r="AD141" s="18"/>
      <c r="AE141" s="20">
        <v>5.0239700701806801E-4</v>
      </c>
      <c r="AF141" s="18"/>
      <c r="AG141" s="20">
        <v>1.18904188906006E-3</v>
      </c>
      <c r="AH141" s="18"/>
      <c r="AI141" s="20">
        <v>2.6411569025544399E-4</v>
      </c>
      <c r="AJ141" s="18"/>
      <c r="AK141" s="20">
        <v>1.3290912726615801E-3</v>
      </c>
      <c r="AL141" s="18"/>
      <c r="AM141" s="20">
        <v>1.0907077022653099E-3</v>
      </c>
      <c r="AN141" s="18"/>
      <c r="AO141" s="20">
        <v>3.6009514070725699E-4</v>
      </c>
      <c r="AP141" s="18"/>
      <c r="AQ141" s="20">
        <v>-4.7598547326361602E-4</v>
      </c>
      <c r="AR141" s="18"/>
      <c r="AS141" s="20">
        <v>2.5579464936822602E-3</v>
      </c>
      <c r="AT141" s="18"/>
      <c r="AU141" s="20">
        <v>1.4270063053011101E-3</v>
      </c>
      <c r="AV141" s="18"/>
      <c r="AW141" s="20">
        <v>-1.6456305242904399E-4</v>
      </c>
      <c r="AX141" s="18"/>
      <c r="AY141" s="20">
        <v>1.4194403999972499E-4</v>
      </c>
      <c r="AZ141" s="18"/>
      <c r="BA141" s="20">
        <v>-1.1178177944158E-3</v>
      </c>
      <c r="BB141" s="18"/>
      <c r="BC141" s="20">
        <v>8.3020448349738102E-5</v>
      </c>
      <c r="BD141" s="18"/>
      <c r="BE141" s="20">
        <v>-1.15897430377238E-3</v>
      </c>
      <c r="BF141" s="18"/>
      <c r="BG141" s="20"/>
      <c r="BH141" s="18"/>
    </row>
    <row r="142" spans="1:60" x14ac:dyDescent="0.2">
      <c r="A142" s="16">
        <v>2012</v>
      </c>
      <c r="B142" s="16">
        <v>3</v>
      </c>
      <c r="C142" s="20"/>
      <c r="D142" s="18"/>
      <c r="E142" s="20">
        <v>1.64971860383984E-2</v>
      </c>
      <c r="F142" s="18"/>
      <c r="G142" s="20">
        <v>-3.6938426346492701E-4</v>
      </c>
      <c r="H142" s="18"/>
      <c r="I142" s="20">
        <v>1.04950533122521E-4</v>
      </c>
      <c r="J142" s="18"/>
      <c r="K142" s="20">
        <v>-5.6708183354914499E-3</v>
      </c>
      <c r="L142" s="18"/>
      <c r="M142" s="20">
        <v>-1.3460341821862701E-3</v>
      </c>
      <c r="N142" s="18"/>
      <c r="O142" s="20">
        <v>-4.1682850207942204E-3</v>
      </c>
      <c r="P142" s="18"/>
      <c r="Q142" s="20">
        <v>1.2658792930790399E-3</v>
      </c>
      <c r="R142" s="18"/>
      <c r="S142" s="20">
        <v>-4.5007339508431601E-4</v>
      </c>
      <c r="T142" s="18"/>
      <c r="U142" s="20">
        <v>1.02476119157933E-3</v>
      </c>
      <c r="V142" s="18"/>
      <c r="W142" s="20">
        <v>8.0696628441645091E-3</v>
      </c>
      <c r="X142" s="18"/>
      <c r="Y142" s="20">
        <v>1.12612098823532E-3</v>
      </c>
      <c r="Z142" s="18"/>
      <c r="AA142" s="20">
        <v>1.66476714165676E-3</v>
      </c>
      <c r="AB142" s="18"/>
      <c r="AC142" s="20">
        <v>-7.4227974922921099E-4</v>
      </c>
      <c r="AD142" s="18"/>
      <c r="AE142" s="20">
        <v>1.14657604765254E-3</v>
      </c>
      <c r="AF142" s="18"/>
      <c r="AG142" s="20">
        <v>4.6805151279048999E-3</v>
      </c>
      <c r="AH142" s="18"/>
      <c r="AI142" s="20">
        <v>2.87815749080329E-3</v>
      </c>
      <c r="AJ142" s="18"/>
      <c r="AK142" s="20">
        <v>1.6441057527027E-3</v>
      </c>
      <c r="AL142" s="18"/>
      <c r="AM142" s="20">
        <v>5.6895109059113696E-4</v>
      </c>
      <c r="AN142" s="18"/>
      <c r="AO142" s="20">
        <v>3.2219233945975599E-4</v>
      </c>
      <c r="AP142" s="18"/>
      <c r="AQ142" s="20">
        <v>-6.9232067164073897E-4</v>
      </c>
      <c r="AR142" s="18"/>
      <c r="AS142" s="20">
        <v>3.13104769502822E-3</v>
      </c>
      <c r="AT142" s="18"/>
      <c r="AU142" s="20">
        <v>2.7411333265472998E-3</v>
      </c>
      <c r="AV142" s="18"/>
      <c r="AW142" s="20">
        <v>-2.31186101546039E-4</v>
      </c>
      <c r="AX142" s="18"/>
      <c r="AY142" s="20">
        <v>1.2977186394980001E-4</v>
      </c>
      <c r="AZ142" s="18"/>
      <c r="BA142" s="20">
        <v>-4.6024191718335602E-4</v>
      </c>
      <c r="BB142" s="18"/>
      <c r="BC142" s="20">
        <v>5.4595219009474598E-4</v>
      </c>
      <c r="BD142" s="18"/>
      <c r="BE142" s="20">
        <v>-9.9835510440078904E-4</v>
      </c>
      <c r="BF142" s="18"/>
      <c r="BG142" s="20"/>
      <c r="BH142" s="18"/>
    </row>
    <row r="143" spans="1:60" x14ac:dyDescent="0.2">
      <c r="A143" s="16">
        <v>2012</v>
      </c>
      <c r="B143" s="16">
        <v>4</v>
      </c>
      <c r="C143" s="20"/>
      <c r="D143" s="18"/>
      <c r="E143" s="20">
        <v>1.6412995934024701E-2</v>
      </c>
      <c r="F143" s="18"/>
      <c r="G143" s="20">
        <v>-4.73198440798623E-4</v>
      </c>
      <c r="H143" s="18"/>
      <c r="I143" s="20">
        <v>7.9917084189900196E-5</v>
      </c>
      <c r="J143" s="18"/>
      <c r="K143" s="20">
        <v>-5.1214893613692096E-3</v>
      </c>
      <c r="L143" s="18"/>
      <c r="M143" s="20">
        <v>8.51759191314596E-4</v>
      </c>
      <c r="N143" s="18"/>
      <c r="O143" s="20">
        <v>-6.3714803866124397E-3</v>
      </c>
      <c r="P143" s="18"/>
      <c r="Q143" s="20">
        <v>8.1361395702168903E-4</v>
      </c>
      <c r="R143" s="18"/>
      <c r="S143" s="20">
        <v>-2.6729513973736E-4</v>
      </c>
      <c r="T143" s="18"/>
      <c r="U143" s="20">
        <v>1.3706842834917E-3</v>
      </c>
      <c r="V143" s="18"/>
      <c r="W143" s="20">
        <v>8.7188140628205804E-3</v>
      </c>
      <c r="X143" s="18"/>
      <c r="Y143" s="20">
        <v>8.7163073403313601E-4</v>
      </c>
      <c r="Z143" s="18"/>
      <c r="AA143" s="20">
        <v>1.8062992777708299E-4</v>
      </c>
      <c r="AB143" s="18"/>
      <c r="AC143" s="20">
        <v>-2.1924363311727401E-4</v>
      </c>
      <c r="AD143" s="18"/>
      <c r="AE143" s="20">
        <v>7.4547374382941405E-4</v>
      </c>
      <c r="AF143" s="18"/>
      <c r="AG143" s="20">
        <v>5.8240487597973596E-3</v>
      </c>
      <c r="AH143" s="18"/>
      <c r="AI143" s="20">
        <v>3.4834889092138499E-3</v>
      </c>
      <c r="AJ143" s="18"/>
      <c r="AK143" s="20">
        <v>2.2132471463936301E-3</v>
      </c>
      <c r="AL143" s="18"/>
      <c r="AM143" s="20">
        <v>8.1214392681041897E-4</v>
      </c>
      <c r="AN143" s="18"/>
      <c r="AO143" s="20">
        <v>3.5417006187624502E-4</v>
      </c>
      <c r="AP143" s="18"/>
      <c r="AQ143" s="20">
        <v>-4.7980872684661498E-4</v>
      </c>
      <c r="AR143" s="18"/>
      <c r="AS143" s="20">
        <v>3.5264867998087402E-3</v>
      </c>
      <c r="AT143" s="18"/>
      <c r="AU143" s="20">
        <v>8.9240227083781597E-4</v>
      </c>
      <c r="AV143" s="18"/>
      <c r="AW143" s="20">
        <v>-1.4398633656701899E-4</v>
      </c>
      <c r="AX143" s="18"/>
      <c r="AY143" s="20">
        <v>6.6240420869282394E-5</v>
      </c>
      <c r="AZ143" s="18"/>
      <c r="BA143" s="20">
        <v>-3.2647900220152202E-4</v>
      </c>
      <c r="BB143" s="18"/>
      <c r="BC143" s="20">
        <v>4.2182319340476398E-4</v>
      </c>
      <c r="BD143" s="18"/>
      <c r="BE143" s="20">
        <v>-8.1491875279268299E-4</v>
      </c>
      <c r="BF143" s="18"/>
      <c r="BG143" s="20"/>
      <c r="BH143" s="18"/>
    </row>
    <row r="144" spans="1:60" x14ac:dyDescent="0.2">
      <c r="A144" s="16">
        <v>2013</v>
      </c>
      <c r="B144" s="16">
        <v>1</v>
      </c>
      <c r="C144" s="20"/>
      <c r="D144" s="18"/>
      <c r="E144" s="20">
        <v>1.16457487423345E-2</v>
      </c>
      <c r="F144" s="18"/>
      <c r="G144" s="20">
        <v>-5.7727537250981903E-4</v>
      </c>
      <c r="H144" s="18"/>
      <c r="I144" s="20">
        <v>4.9140492675872498E-5</v>
      </c>
      <c r="J144" s="18"/>
      <c r="K144" s="20">
        <v>-1.73344161772411E-3</v>
      </c>
      <c r="L144" s="18"/>
      <c r="M144" s="20">
        <v>2.0197777026470698E-3</v>
      </c>
      <c r="N144" s="18"/>
      <c r="O144" s="20">
        <v>-3.8307650164466698E-3</v>
      </c>
      <c r="P144" s="18"/>
      <c r="Q144" s="20">
        <v>9.9056874527750599E-4</v>
      </c>
      <c r="R144" s="18"/>
      <c r="S144" s="20">
        <v>1.4384232403536601E-4</v>
      </c>
      <c r="T144" s="18"/>
      <c r="U144" s="20">
        <v>9.0485528299157005E-4</v>
      </c>
      <c r="V144" s="18"/>
      <c r="W144" s="20">
        <v>5.6067920964450197E-4</v>
      </c>
      <c r="X144" s="18"/>
      <c r="Y144" s="20">
        <v>1.6019636411620101E-4</v>
      </c>
      <c r="Z144" s="18"/>
      <c r="AA144" s="20">
        <v>-1.5628478531516E-3</v>
      </c>
      <c r="AB144" s="18"/>
      <c r="AC144" s="20">
        <v>7.8909625927198296E-5</v>
      </c>
      <c r="AD144" s="18"/>
      <c r="AE144" s="20">
        <v>1.5079260683892701E-3</v>
      </c>
      <c r="AF144" s="18"/>
      <c r="AG144" s="20">
        <v>7.8156219880174908E-3</v>
      </c>
      <c r="AH144" s="18"/>
      <c r="AI144" s="20">
        <v>4.3643245297924002E-3</v>
      </c>
      <c r="AJ144" s="18"/>
      <c r="AK144" s="20">
        <v>3.2126270314582202E-3</v>
      </c>
      <c r="AL144" s="18"/>
      <c r="AM144" s="20">
        <v>7.5885477724134496E-4</v>
      </c>
      <c r="AN144" s="18"/>
      <c r="AO144" s="20">
        <v>5.8004555890560805E-4</v>
      </c>
      <c r="AP144" s="18"/>
      <c r="AQ144" s="20">
        <v>5.6167781913263601E-5</v>
      </c>
      <c r="AR144" s="18"/>
      <c r="AS144" s="20">
        <v>3.3865493814244601E-3</v>
      </c>
      <c r="AT144" s="18"/>
      <c r="AU144" s="20">
        <v>-1.3440694510235399E-3</v>
      </c>
      <c r="AV144" s="18"/>
      <c r="AW144" s="20">
        <v>8.7734856699558106E-5</v>
      </c>
      <c r="AX144" s="18"/>
      <c r="AY144" s="20">
        <v>-3.5477070979448799E-5</v>
      </c>
      <c r="AZ144" s="18"/>
      <c r="BA144" s="20">
        <v>-4.0149078273761599E-4</v>
      </c>
      <c r="BB144" s="18"/>
      <c r="BC144" s="20">
        <v>-4.0764860970002098E-5</v>
      </c>
      <c r="BD144" s="18"/>
      <c r="BE144" s="20">
        <v>-3.2123465183835401E-4</v>
      </c>
      <c r="BF144" s="18"/>
      <c r="BG144" s="20"/>
      <c r="BH144" s="18"/>
    </row>
    <row r="145" spans="1:60" x14ac:dyDescent="0.2">
      <c r="A145" s="16">
        <v>2013</v>
      </c>
      <c r="B145" s="16">
        <v>2</v>
      </c>
      <c r="C145" s="20"/>
      <c r="D145" s="18"/>
      <c r="E145" s="20">
        <v>2.07641856253519E-2</v>
      </c>
      <c r="F145" s="18"/>
      <c r="G145" s="20">
        <v>-5.4387990305180297E-4</v>
      </c>
      <c r="H145" s="18"/>
      <c r="I145" s="20">
        <v>4.9298769406194099E-5</v>
      </c>
      <c r="J145" s="18"/>
      <c r="K145" s="20">
        <v>5.2120925321665502E-3</v>
      </c>
      <c r="L145" s="18"/>
      <c r="M145" s="20">
        <v>5.0836324823828397E-3</v>
      </c>
      <c r="N145" s="18"/>
      <c r="O145" s="20">
        <v>1.76200793183321E-4</v>
      </c>
      <c r="P145" s="18"/>
      <c r="Q145" s="20">
        <v>1.07450022467272E-4</v>
      </c>
      <c r="R145" s="18"/>
      <c r="S145" s="20">
        <v>4.2924770041455199E-4</v>
      </c>
      <c r="T145" s="18"/>
      <c r="U145" s="20">
        <v>1.11940644896708E-3</v>
      </c>
      <c r="V145" s="18"/>
      <c r="W145" s="20">
        <v>2.1905055048627802E-3</v>
      </c>
      <c r="X145" s="18"/>
      <c r="Y145" s="20">
        <v>1.2087993202696201E-3</v>
      </c>
      <c r="Z145" s="18"/>
      <c r="AA145" s="20">
        <v>-1.47770747940262E-3</v>
      </c>
      <c r="AB145" s="18"/>
      <c r="AC145" s="20">
        <v>2.2081581328054999E-4</v>
      </c>
      <c r="AD145" s="18"/>
      <c r="AE145" s="20">
        <v>1.4429991208596601E-3</v>
      </c>
      <c r="AF145" s="18"/>
      <c r="AG145" s="20">
        <v>8.6522273039705E-3</v>
      </c>
      <c r="AH145" s="18"/>
      <c r="AI145" s="20">
        <v>4.6162394355778397E-3</v>
      </c>
      <c r="AJ145" s="18"/>
      <c r="AK145" s="20">
        <v>3.4813306115020798E-3</v>
      </c>
      <c r="AL145" s="18"/>
      <c r="AM145" s="20">
        <v>1.3962016612740101E-3</v>
      </c>
      <c r="AN145" s="18"/>
      <c r="AO145" s="20">
        <v>6.0425684749353201E-4</v>
      </c>
      <c r="AP145" s="18"/>
      <c r="AQ145" s="20">
        <v>7.9693711859862802E-5</v>
      </c>
      <c r="AR145" s="18"/>
      <c r="AS145" s="20">
        <v>3.3350811914088E-3</v>
      </c>
      <c r="AT145" s="18"/>
      <c r="AU145" s="20">
        <v>-2.30752322417462E-3</v>
      </c>
      <c r="AV145" s="18"/>
      <c r="AW145" s="20">
        <v>3.6467615835997599E-4</v>
      </c>
      <c r="AX145" s="18"/>
      <c r="AY145" s="20">
        <v>-8.8098231081721001E-5</v>
      </c>
      <c r="AZ145" s="18"/>
      <c r="BA145" s="20">
        <v>2.0239897701999199E-4</v>
      </c>
      <c r="BB145" s="18"/>
      <c r="BC145" s="20">
        <v>2.2435092817218801E-4</v>
      </c>
      <c r="BD145" s="18"/>
      <c r="BE145" s="20">
        <v>-2.4725319885853E-5</v>
      </c>
      <c r="BF145" s="18"/>
      <c r="BG145" s="20"/>
      <c r="BH145" s="18"/>
    </row>
    <row r="146" spans="1:60" x14ac:dyDescent="0.2">
      <c r="A146" s="16">
        <v>2013</v>
      </c>
      <c r="B146" s="16">
        <v>3</v>
      </c>
      <c r="C146" s="20"/>
      <c r="D146" s="18"/>
      <c r="E146" s="20">
        <v>2.0186682722598302E-2</v>
      </c>
      <c r="F146" s="18"/>
      <c r="G146" s="20">
        <v>-4.0329320569742702E-4</v>
      </c>
      <c r="H146" s="18"/>
      <c r="I146" s="20">
        <v>2.0061181718842302E-5</v>
      </c>
      <c r="J146" s="18"/>
      <c r="K146" s="20">
        <v>7.4074727564356398E-3</v>
      </c>
      <c r="L146" s="18"/>
      <c r="M146" s="20">
        <v>4.1820936341546797E-3</v>
      </c>
      <c r="N146" s="18"/>
      <c r="O146" s="20">
        <v>3.2106759244468598E-3</v>
      </c>
      <c r="P146" s="18"/>
      <c r="Q146" s="20">
        <v>-5.9810962304985996E-4</v>
      </c>
      <c r="R146" s="18"/>
      <c r="S146" s="20">
        <v>5.1945229603280298E-4</v>
      </c>
      <c r="T146" s="18"/>
      <c r="U146" s="20">
        <v>6.3941644413924401E-4</v>
      </c>
      <c r="V146" s="18"/>
      <c r="W146" s="20">
        <v>2.4614868081900298E-3</v>
      </c>
      <c r="X146" s="18"/>
      <c r="Y146" s="20">
        <v>1.1334465209501599E-3</v>
      </c>
      <c r="Z146" s="18"/>
      <c r="AA146" s="20">
        <v>-1.76202481150389E-3</v>
      </c>
      <c r="AB146" s="18"/>
      <c r="AC146" s="20">
        <v>7.1451122103266497E-4</v>
      </c>
      <c r="AD146" s="18"/>
      <c r="AE146" s="20">
        <v>8.0668171037086495E-4</v>
      </c>
      <c r="AF146" s="18"/>
      <c r="AG146" s="20">
        <v>6.48801650227378E-3</v>
      </c>
      <c r="AH146" s="18"/>
      <c r="AI146" s="20">
        <v>2.9313819574148798E-3</v>
      </c>
      <c r="AJ146" s="18"/>
      <c r="AK146" s="20">
        <v>3.15303004507141E-3</v>
      </c>
      <c r="AL146" s="18"/>
      <c r="AM146" s="20">
        <v>2.23740580139531E-3</v>
      </c>
      <c r="AN146" s="18"/>
      <c r="AO146" s="20">
        <v>9.7004843446018803E-4</v>
      </c>
      <c r="AP146" s="18"/>
      <c r="AQ146" s="20">
        <v>7.5162093533914396E-4</v>
      </c>
      <c r="AR146" s="18"/>
      <c r="AS146" s="20">
        <v>3.0147158564484901E-3</v>
      </c>
      <c r="AT146" s="18"/>
      <c r="AU146" s="20">
        <v>-3.3504955298292402E-3</v>
      </c>
      <c r="AV146" s="18"/>
      <c r="AW146" s="20">
        <v>2.09129896476067E-4</v>
      </c>
      <c r="AX146" s="18"/>
      <c r="AY146" s="20">
        <v>-9.2497865693408606E-5</v>
      </c>
      <c r="AZ146" s="18"/>
      <c r="BA146" s="20">
        <v>3.0387259999420298E-4</v>
      </c>
      <c r="BB146" s="18"/>
      <c r="BC146" s="20">
        <v>1.80940392930358E-4</v>
      </c>
      <c r="BD146" s="18"/>
      <c r="BE146" s="20">
        <v>1.4862237030910399E-4</v>
      </c>
      <c r="BF146" s="18"/>
      <c r="BG146" s="20"/>
      <c r="BH146" s="18"/>
    </row>
    <row r="147" spans="1:60" x14ac:dyDescent="0.2">
      <c r="A147" s="16">
        <v>2013</v>
      </c>
      <c r="B147" s="16">
        <v>4</v>
      </c>
      <c r="C147" s="20"/>
      <c r="D147" s="18"/>
      <c r="E147" s="20">
        <v>2.0049032396006999E-2</v>
      </c>
      <c r="F147" s="18"/>
      <c r="G147" s="20">
        <v>-9.3779111289493501E-5</v>
      </c>
      <c r="H147" s="18"/>
      <c r="I147" s="20">
        <v>1.34426976559056E-5</v>
      </c>
      <c r="J147" s="18"/>
      <c r="K147" s="20">
        <v>5.8093196092629104E-3</v>
      </c>
      <c r="L147" s="18"/>
      <c r="M147" s="20">
        <v>2.2847273141804701E-3</v>
      </c>
      <c r="N147" s="18"/>
      <c r="O147" s="20">
        <v>3.5696582667446102E-3</v>
      </c>
      <c r="P147" s="18"/>
      <c r="Q147" s="20">
        <v>-5.9330409932314596E-4</v>
      </c>
      <c r="R147" s="18"/>
      <c r="S147" s="20">
        <v>5.0417124933270301E-4</v>
      </c>
      <c r="T147" s="18"/>
      <c r="U147" s="20">
        <v>7.7813691139469595E-4</v>
      </c>
      <c r="V147" s="18"/>
      <c r="W147" s="20">
        <v>3.0472342600472899E-3</v>
      </c>
      <c r="X147" s="18"/>
      <c r="Y147" s="20">
        <v>1.7454333666343E-3</v>
      </c>
      <c r="Z147" s="18"/>
      <c r="AA147" s="20">
        <v>-1.4584663808802801E-3</v>
      </c>
      <c r="AB147" s="18"/>
      <c r="AC147" s="20">
        <v>3.7137041107330998E-4</v>
      </c>
      <c r="AD147" s="18"/>
      <c r="AE147" s="20">
        <v>3.8225419611739002E-4</v>
      </c>
      <c r="AF147" s="18"/>
      <c r="AG147" s="20">
        <v>4.4714878883697897E-3</v>
      </c>
      <c r="AH147" s="18"/>
      <c r="AI147" s="20">
        <v>2.0037225992992399E-3</v>
      </c>
      <c r="AJ147" s="18"/>
      <c r="AK147" s="20">
        <v>2.1559296737312401E-3</v>
      </c>
      <c r="AL147" s="18"/>
      <c r="AM147" s="20">
        <v>2.5811943033389301E-3</v>
      </c>
      <c r="AN147" s="18"/>
      <c r="AO147" s="20">
        <v>1.24144568163279E-3</v>
      </c>
      <c r="AP147" s="18"/>
      <c r="AQ147" s="20">
        <v>8.2922151002570005E-4</v>
      </c>
      <c r="AR147" s="18"/>
      <c r="AS147" s="20">
        <v>2.8614137213767098E-3</v>
      </c>
      <c r="AT147" s="18"/>
      <c r="AU147" s="20">
        <v>-4.9920761280024901E-4</v>
      </c>
      <c r="AV147" s="18"/>
      <c r="AW147" s="20">
        <v>9.2668791730777104E-5</v>
      </c>
      <c r="AX147" s="18"/>
      <c r="AY147" s="20">
        <v>-4.5394512560678599E-5</v>
      </c>
      <c r="AZ147" s="18"/>
      <c r="BA147" s="20">
        <v>4.68969521463762E-4</v>
      </c>
      <c r="BB147" s="18"/>
      <c r="BC147" s="20">
        <v>1.6687247014942E-4</v>
      </c>
      <c r="BD147" s="18"/>
      <c r="BE147" s="20">
        <v>3.1984819862830198E-4</v>
      </c>
      <c r="BF147" s="18"/>
      <c r="BG147" s="20"/>
      <c r="BH147" s="18"/>
    </row>
    <row r="148" spans="1:60" x14ac:dyDescent="0.2">
      <c r="A148" s="16">
        <v>2014</v>
      </c>
      <c r="B148" s="16">
        <v>1</v>
      </c>
      <c r="C148" s="20"/>
      <c r="D148" s="18"/>
      <c r="E148" s="20">
        <v>2.4289288752109402E-2</v>
      </c>
      <c r="F148" s="18"/>
      <c r="G148" s="20">
        <v>6.41366826425243E-4</v>
      </c>
      <c r="H148" s="18"/>
      <c r="I148" s="20">
        <v>3.0687122708451601E-5</v>
      </c>
      <c r="J148" s="18"/>
      <c r="K148" s="20">
        <v>7.0327553262619904E-3</v>
      </c>
      <c r="L148" s="18"/>
      <c r="M148" s="20">
        <v>1.83097891719001E-3</v>
      </c>
      <c r="N148" s="18"/>
      <c r="O148" s="20">
        <v>5.2238524315160696E-3</v>
      </c>
      <c r="P148" s="18"/>
      <c r="Q148" s="20">
        <v>-2.6879276405478501E-3</v>
      </c>
      <c r="R148" s="18"/>
      <c r="S148" s="20">
        <v>4.5765327727238401E-4</v>
      </c>
      <c r="T148" s="18"/>
      <c r="U148" s="20">
        <v>1.39588353235116E-3</v>
      </c>
      <c r="V148" s="18"/>
      <c r="W148" s="20">
        <v>3.2960442116904101E-3</v>
      </c>
      <c r="X148" s="18"/>
      <c r="Y148" s="20">
        <v>8.3080725208068405E-4</v>
      </c>
      <c r="Z148" s="18"/>
      <c r="AA148" s="20">
        <v>1.07140981654122E-3</v>
      </c>
      <c r="AB148" s="18"/>
      <c r="AC148" s="20">
        <v>1.9730857580192501E-4</v>
      </c>
      <c r="AD148" s="18"/>
      <c r="AE148" s="20">
        <v>-1.23557941908697E-4</v>
      </c>
      <c r="AF148" s="18"/>
      <c r="AG148" s="20">
        <v>5.8072366644945205E-4</v>
      </c>
      <c r="AH148" s="18"/>
      <c r="AI148" s="20">
        <v>-1.18443463456648E-4</v>
      </c>
      <c r="AJ148" s="18"/>
      <c r="AK148" s="20">
        <v>6.73303930939301E-4</v>
      </c>
      <c r="AL148" s="18"/>
      <c r="AM148" s="20">
        <v>3.6961368121638202E-3</v>
      </c>
      <c r="AN148" s="18"/>
      <c r="AO148" s="20">
        <v>1.0703692580483601E-3</v>
      </c>
      <c r="AP148" s="18"/>
      <c r="AQ148" s="20">
        <v>9.9471719763508299E-4</v>
      </c>
      <c r="AR148" s="18"/>
      <c r="AS148" s="20">
        <v>3.1911388775547399E-3</v>
      </c>
      <c r="AT148" s="18"/>
      <c r="AU148" s="20">
        <v>3.4078542485309199E-3</v>
      </c>
      <c r="AV148" s="18"/>
      <c r="AW148" s="20">
        <v>-1.9045457456451999E-4</v>
      </c>
      <c r="AX148" s="18"/>
      <c r="AY148" s="20">
        <v>4.8576990955394101E-5</v>
      </c>
      <c r="AZ148" s="18"/>
      <c r="BA148" s="20">
        <v>6.2482640042282596E-4</v>
      </c>
      <c r="BB148" s="18"/>
      <c r="BC148" s="20">
        <v>4.23095320682054E-4</v>
      </c>
      <c r="BD148" s="18"/>
      <c r="BE148" s="20">
        <v>1.8776785273616199E-4</v>
      </c>
      <c r="BF148" s="18"/>
      <c r="BG148" s="20"/>
      <c r="BH148" s="18"/>
    </row>
    <row r="149" spans="1:60" x14ac:dyDescent="0.2">
      <c r="A149" s="16">
        <v>2014</v>
      </c>
      <c r="B149" s="16">
        <v>2</v>
      </c>
      <c r="C149" s="20"/>
      <c r="D149" s="18"/>
      <c r="E149" s="20">
        <v>2.2702839730650699E-2</v>
      </c>
      <c r="F149" s="18"/>
      <c r="G149" s="20">
        <v>8.8599762274330801E-4</v>
      </c>
      <c r="H149" s="18"/>
      <c r="I149" s="20">
        <v>-7.1135724438454906E-5</v>
      </c>
      <c r="J149" s="18"/>
      <c r="K149" s="20">
        <v>2.1889087668722699E-3</v>
      </c>
      <c r="L149" s="18"/>
      <c r="M149" s="20">
        <v>1.19630087707943E-4</v>
      </c>
      <c r="N149" s="18"/>
      <c r="O149" s="20">
        <v>2.0930404039634998E-3</v>
      </c>
      <c r="P149" s="18"/>
      <c r="Q149" s="20">
        <v>-2.4498196208261099E-3</v>
      </c>
      <c r="R149" s="18"/>
      <c r="S149" s="20">
        <v>3.2322886738193901E-4</v>
      </c>
      <c r="T149" s="18"/>
      <c r="U149" s="20">
        <v>8.6944414381905403E-4</v>
      </c>
      <c r="V149" s="18"/>
      <c r="W149" s="20">
        <v>5.4407768403359896E-3</v>
      </c>
      <c r="X149" s="18"/>
      <c r="Y149" s="20">
        <v>1.0890101806417299E-3</v>
      </c>
      <c r="Z149" s="18"/>
      <c r="AA149" s="20">
        <v>1.19436880795778E-3</v>
      </c>
      <c r="AB149" s="18"/>
      <c r="AC149" s="20">
        <v>9.7690526418671398E-5</v>
      </c>
      <c r="AD149" s="18"/>
      <c r="AE149" s="20">
        <v>1.3028593684858299E-3</v>
      </c>
      <c r="AF149" s="18"/>
      <c r="AG149" s="20">
        <v>-1.42152882128556E-3</v>
      </c>
      <c r="AH149" s="18"/>
      <c r="AI149" s="20">
        <v>-1.21544674531963E-3</v>
      </c>
      <c r="AJ149" s="18"/>
      <c r="AK149" s="20">
        <v>-1.51159259960037E-4</v>
      </c>
      <c r="AL149" s="18"/>
      <c r="AM149" s="20">
        <v>4.3959089308298303E-3</v>
      </c>
      <c r="AN149" s="18"/>
      <c r="AO149" s="20">
        <v>1.00579822615874E-3</v>
      </c>
      <c r="AP149" s="18"/>
      <c r="AQ149" s="20">
        <v>1.09478432044606E-3</v>
      </c>
      <c r="AR149" s="18"/>
      <c r="AS149" s="20">
        <v>2.1967839816709801E-3</v>
      </c>
      <c r="AT149" s="18"/>
      <c r="AU149" s="20">
        <v>5.6584421306900001E-3</v>
      </c>
      <c r="AV149" s="18"/>
      <c r="AW149" s="20">
        <v>-8.5293462158224801E-5</v>
      </c>
      <c r="AX149" s="18"/>
      <c r="AY149" s="20">
        <v>1.05895317300824E-4</v>
      </c>
      <c r="AZ149" s="18"/>
      <c r="BA149" s="20">
        <v>5.7416956719596004E-4</v>
      </c>
      <c r="BB149" s="18"/>
      <c r="BC149" s="20">
        <v>4.7590356345522498E-4</v>
      </c>
      <c r="BD149" s="18"/>
      <c r="BE149" s="20">
        <v>8.4501415299447904E-5</v>
      </c>
      <c r="BF149" s="18"/>
      <c r="BG149" s="20"/>
      <c r="BH149" s="18"/>
    </row>
    <row r="150" spans="1:60" x14ac:dyDescent="0.2">
      <c r="A150" s="16">
        <v>2014</v>
      </c>
      <c r="B150" s="16">
        <v>3</v>
      </c>
      <c r="C150" s="20"/>
      <c r="D150" s="18"/>
      <c r="E150" s="20">
        <v>2.2913351590990502E-2</v>
      </c>
      <c r="F150" s="18"/>
      <c r="G150" s="20">
        <v>8.5724954481733895E-4</v>
      </c>
      <c r="H150" s="18"/>
      <c r="I150" s="20">
        <v>-1.0481778694488E-4</v>
      </c>
      <c r="J150" s="18"/>
      <c r="K150" s="20">
        <v>2.6332376541435098E-3</v>
      </c>
      <c r="L150" s="18"/>
      <c r="M150" s="20">
        <v>2.4735010172449402E-3</v>
      </c>
      <c r="N150" s="18"/>
      <c r="O150" s="20">
        <v>1.6698578426208599E-4</v>
      </c>
      <c r="P150" s="18"/>
      <c r="Q150" s="20">
        <v>-2.1050907372968499E-3</v>
      </c>
      <c r="R150" s="18"/>
      <c r="S150" s="20">
        <v>2.5409262431794698E-4</v>
      </c>
      <c r="T150" s="18"/>
      <c r="U150" s="20">
        <v>7.1212739723803804E-4</v>
      </c>
      <c r="V150" s="18"/>
      <c r="W150" s="20">
        <v>6.2401335436213503E-3</v>
      </c>
      <c r="X150" s="18"/>
      <c r="Y150" s="20">
        <v>6.1333930782150404E-4</v>
      </c>
      <c r="Z150" s="18"/>
      <c r="AA150" s="20">
        <v>1.20396333746027E-3</v>
      </c>
      <c r="AB150" s="18"/>
      <c r="AC150" s="20">
        <v>-1.5647259505837999E-5</v>
      </c>
      <c r="AD150" s="18"/>
      <c r="AE150" s="20">
        <v>1.6974968397018299E-3</v>
      </c>
      <c r="AF150" s="18"/>
      <c r="AG150" s="20">
        <v>-8.1852347290716995E-4</v>
      </c>
      <c r="AH150" s="18"/>
      <c r="AI150" s="20">
        <v>-4.2706657508462497E-4</v>
      </c>
      <c r="AJ150" s="18"/>
      <c r="AK150" s="20">
        <v>-3.2021725753707102E-4</v>
      </c>
      <c r="AL150" s="18"/>
      <c r="AM150" s="20">
        <v>4.3691798880419403E-3</v>
      </c>
      <c r="AN150" s="18"/>
      <c r="AO150" s="20">
        <v>7.3812005680339704E-4</v>
      </c>
      <c r="AP150" s="18"/>
      <c r="AQ150" s="20">
        <v>6.9031942804815899E-4</v>
      </c>
      <c r="AR150" s="18"/>
      <c r="AS150" s="20">
        <v>2.8882111012182498E-3</v>
      </c>
      <c r="AT150" s="18"/>
      <c r="AU150" s="20">
        <v>3.6973194483233898E-3</v>
      </c>
      <c r="AV150" s="18"/>
      <c r="AW150" s="20">
        <v>-1.8947781397326299E-4</v>
      </c>
      <c r="AX150" s="18"/>
      <c r="AY150" s="20">
        <v>1.3514286647527401E-4</v>
      </c>
      <c r="AZ150" s="18"/>
      <c r="BA150" s="20">
        <v>6.8318958100440296E-4</v>
      </c>
      <c r="BB150" s="18"/>
      <c r="BC150" s="20">
        <v>7.4200889859871795E-4</v>
      </c>
      <c r="BD150" s="18"/>
      <c r="BE150" s="20">
        <v>-5.6976157128835501E-5</v>
      </c>
      <c r="BF150" s="18"/>
      <c r="BG150" s="20"/>
      <c r="BH150" s="18"/>
    </row>
    <row r="151" spans="1:60" x14ac:dyDescent="0.2">
      <c r="A151" s="16">
        <v>2014</v>
      </c>
      <c r="B151" s="16">
        <v>4</v>
      </c>
      <c r="C151" s="20"/>
      <c r="D151" s="18"/>
      <c r="E151" s="20">
        <v>2.8857043498028801E-2</v>
      </c>
      <c r="F151" s="18"/>
      <c r="G151" s="20">
        <v>4.9190162605614496E-4</v>
      </c>
      <c r="H151" s="18"/>
      <c r="I151" s="20">
        <v>-1.3841784400666401E-4</v>
      </c>
      <c r="J151" s="18"/>
      <c r="K151" s="20">
        <v>4.1905908769365998E-3</v>
      </c>
      <c r="L151" s="18"/>
      <c r="M151" s="20">
        <v>4.6599640866101799E-3</v>
      </c>
      <c r="N151" s="18"/>
      <c r="O151" s="20">
        <v>-5.5481054450679695E-4</v>
      </c>
      <c r="P151" s="18"/>
      <c r="Q151" s="20">
        <v>-1.65796303792323E-3</v>
      </c>
      <c r="R151" s="18"/>
      <c r="S151" s="20">
        <v>3.5013952790744998E-4</v>
      </c>
      <c r="T151" s="18"/>
      <c r="U151" s="20">
        <v>5.9223398784384602E-5</v>
      </c>
      <c r="V151" s="18"/>
      <c r="W151" s="20">
        <v>1.2054301634056601E-2</v>
      </c>
      <c r="X151" s="18"/>
      <c r="Y151" s="20">
        <v>4.6853485192501198E-4</v>
      </c>
      <c r="Z151" s="18"/>
      <c r="AA151" s="20">
        <v>6.8286175563948002E-4</v>
      </c>
      <c r="AB151" s="18"/>
      <c r="AC151" s="20">
        <v>-3.6875312754170003E-5</v>
      </c>
      <c r="AD151" s="18"/>
      <c r="AE151" s="20">
        <v>1.3853584147985501E-3</v>
      </c>
      <c r="AF151" s="18"/>
      <c r="AG151" s="20">
        <v>1.3166555420100999E-3</v>
      </c>
      <c r="AH151" s="18"/>
      <c r="AI151" s="20">
        <v>1.27815619232648E-3</v>
      </c>
      <c r="AJ151" s="18"/>
      <c r="AK151" s="20">
        <v>1.1132757583453199E-4</v>
      </c>
      <c r="AL151" s="18"/>
      <c r="AM151" s="20">
        <v>4.4070187412290603E-3</v>
      </c>
      <c r="AN151" s="18"/>
      <c r="AO151" s="20">
        <v>1.03307564109895E-3</v>
      </c>
      <c r="AP151" s="18"/>
      <c r="AQ151" s="20">
        <v>9.5466776476620802E-4</v>
      </c>
      <c r="AR151" s="18"/>
      <c r="AS151" s="20">
        <v>3.0624960084767801E-3</v>
      </c>
      <c r="AT151" s="18"/>
      <c r="AU151" s="20">
        <v>9.1938284276598401E-4</v>
      </c>
      <c r="AV151" s="18"/>
      <c r="AW151" s="20">
        <v>-2.1864547500635901E-4</v>
      </c>
      <c r="AX151" s="18"/>
      <c r="AY151" s="20">
        <v>1.3464079455174701E-4</v>
      </c>
      <c r="AZ151" s="18"/>
      <c r="BA151" s="20">
        <v>9.3212261001723396E-4</v>
      </c>
      <c r="BB151" s="18"/>
      <c r="BC151" s="20">
        <v>1.22996948857806E-3</v>
      </c>
      <c r="BD151" s="18"/>
      <c r="BE151" s="20">
        <v>-2.8009874997981501E-4</v>
      </c>
      <c r="BF151" s="18"/>
      <c r="BG151" s="20"/>
      <c r="BH151" s="18"/>
    </row>
    <row r="152" spans="1:60" x14ac:dyDescent="0.2">
      <c r="A152" s="16">
        <v>2015</v>
      </c>
      <c r="B152" s="16">
        <v>1</v>
      </c>
      <c r="C152" s="20"/>
      <c r="D152" s="18"/>
      <c r="E152" s="20">
        <v>1.7946113611700499E-2</v>
      </c>
      <c r="F152" s="18"/>
      <c r="G152" s="20">
        <v>-4.4029196504891799E-4</v>
      </c>
      <c r="H152" s="18"/>
      <c r="I152" s="20">
        <v>-1.9373686132447701E-4</v>
      </c>
      <c r="J152" s="18"/>
      <c r="K152" s="20">
        <v>4.3718038349871999E-4</v>
      </c>
      <c r="L152" s="18"/>
      <c r="M152" s="20">
        <v>6.9829151638163998E-3</v>
      </c>
      <c r="N152" s="18"/>
      <c r="O152" s="20">
        <v>-6.3522241692435602E-3</v>
      </c>
      <c r="P152" s="18"/>
      <c r="Q152" s="20">
        <v>-2.85467302699806E-4</v>
      </c>
      <c r="R152" s="18"/>
      <c r="S152" s="20">
        <v>6.28843220901998E-4</v>
      </c>
      <c r="T152" s="18"/>
      <c r="U152" s="20">
        <v>2.8738197485893298E-5</v>
      </c>
      <c r="V152" s="18"/>
      <c r="W152" s="20">
        <v>1.27944744967234E-2</v>
      </c>
      <c r="X152" s="18"/>
      <c r="Y152" s="20">
        <v>1.57306308982902E-4</v>
      </c>
      <c r="Z152" s="18"/>
      <c r="AA152" s="20">
        <v>-8.4454262811904104E-4</v>
      </c>
      <c r="AB152" s="18"/>
      <c r="AC152" s="20">
        <v>-6.20739307369084E-4</v>
      </c>
      <c r="AD152" s="18"/>
      <c r="AE152" s="20">
        <v>5.6490377516552396E-4</v>
      </c>
      <c r="AF152" s="18"/>
      <c r="AG152" s="20">
        <v>2.91555484699744E-3</v>
      </c>
      <c r="AH152" s="18"/>
      <c r="AI152" s="20">
        <v>1.9281125173548201E-3</v>
      </c>
      <c r="AJ152" s="18"/>
      <c r="AK152" s="20">
        <v>1.1291651205979801E-3</v>
      </c>
      <c r="AL152" s="18"/>
      <c r="AM152" s="20">
        <v>3.26068622354341E-3</v>
      </c>
      <c r="AN152" s="18"/>
      <c r="AO152" s="20">
        <v>1.10789709421706E-3</v>
      </c>
      <c r="AP152" s="18"/>
      <c r="AQ152" s="20">
        <v>4.3794031000474897E-4</v>
      </c>
      <c r="AR152" s="18"/>
      <c r="AS152" s="20">
        <v>1.68723612415381E-3</v>
      </c>
      <c r="AT152" s="18"/>
      <c r="AU152" s="20">
        <v>-3.42211228724693E-3</v>
      </c>
      <c r="AV152" s="18"/>
      <c r="AW152" s="20">
        <v>-6.7404778527573904E-5</v>
      </c>
      <c r="AX152" s="18"/>
      <c r="AY152" s="20">
        <v>1.09682319687766E-4</v>
      </c>
      <c r="AZ152" s="18"/>
      <c r="BA152" s="20">
        <v>5.88897498270543E-4</v>
      </c>
      <c r="BB152" s="18"/>
      <c r="BC152" s="20">
        <v>1.1563285590115201E-3</v>
      </c>
      <c r="BD152" s="18"/>
      <c r="BE152" s="20">
        <v>-5.5658584756223596E-4</v>
      </c>
      <c r="BF152" s="18"/>
      <c r="BG152" s="20"/>
      <c r="BH152" s="18"/>
    </row>
    <row r="153" spans="1:60" x14ac:dyDescent="0.2">
      <c r="A153" s="16">
        <v>2015</v>
      </c>
      <c r="B153" s="16">
        <v>2</v>
      </c>
      <c r="C153" s="20"/>
      <c r="D153" s="18"/>
      <c r="E153" s="20">
        <v>1.20888897926918E-2</v>
      </c>
      <c r="F153" s="18"/>
      <c r="G153" s="20">
        <v>-8.2729221148117999E-4</v>
      </c>
      <c r="H153" s="18"/>
      <c r="I153" s="20">
        <v>-2.10085468457256E-4</v>
      </c>
      <c r="J153" s="18"/>
      <c r="K153" s="20">
        <v>1.9152176983352901E-4</v>
      </c>
      <c r="L153" s="18"/>
      <c r="M153" s="20">
        <v>7.64403421237021E-3</v>
      </c>
      <c r="N153" s="18"/>
      <c r="O153" s="20">
        <v>-7.3166845103678499E-3</v>
      </c>
      <c r="P153" s="18"/>
      <c r="Q153" s="20">
        <v>2.6404018863263501E-4</v>
      </c>
      <c r="R153" s="18"/>
      <c r="S153" s="20">
        <v>6.7160151160197603E-4</v>
      </c>
      <c r="T153" s="18"/>
      <c r="U153" s="20">
        <v>-1.00418217971746E-3</v>
      </c>
      <c r="V153" s="18"/>
      <c r="W153" s="20">
        <v>1.32220625653857E-2</v>
      </c>
      <c r="X153" s="18"/>
      <c r="Y153" s="20">
        <v>1.66236594671838E-4</v>
      </c>
      <c r="Z153" s="18"/>
      <c r="AA153" s="20">
        <v>-1.1497885435175E-3</v>
      </c>
      <c r="AB153" s="18"/>
      <c r="AC153" s="20">
        <v>-5.9970719125869703E-4</v>
      </c>
      <c r="AD153" s="18"/>
      <c r="AE153" s="20">
        <v>-8.3915907164183506E-5</v>
      </c>
      <c r="AF153" s="18"/>
      <c r="AG153" s="20">
        <v>2.90363024628062E-3</v>
      </c>
      <c r="AH153" s="18"/>
      <c r="AI153" s="20">
        <v>1.2096136100393799E-3</v>
      </c>
      <c r="AJ153" s="18"/>
      <c r="AK153" s="20">
        <v>1.6143919308781399E-3</v>
      </c>
      <c r="AL153" s="18"/>
      <c r="AM153" s="20">
        <v>2.1253190670764599E-3</v>
      </c>
      <c r="AN153" s="18"/>
      <c r="AO153" s="20">
        <v>1.15139165892393E-3</v>
      </c>
      <c r="AP153" s="18"/>
      <c r="AQ153" s="20">
        <v>2.9359352681427301E-4</v>
      </c>
      <c r="AR153" s="18"/>
      <c r="AS153" s="20">
        <v>1.70897488210115E-3</v>
      </c>
      <c r="AT153" s="18"/>
      <c r="AU153" s="20">
        <v>-6.2591407234835203E-3</v>
      </c>
      <c r="AV153" s="18"/>
      <c r="AW153" s="20">
        <v>-2.5078514992336501E-4</v>
      </c>
      <c r="AX153" s="18"/>
      <c r="AY153" s="20">
        <v>9.09508758278283E-5</v>
      </c>
      <c r="AZ153" s="18"/>
      <c r="BA153" s="20">
        <v>3.435759594622E-4</v>
      </c>
      <c r="BB153" s="18"/>
      <c r="BC153" s="20">
        <v>1.0969232106316899E-3</v>
      </c>
      <c r="BD153" s="18"/>
      <c r="BE153" s="20">
        <v>-7.5227973011137903E-4</v>
      </c>
      <c r="BF153" s="18"/>
      <c r="BG153" s="20"/>
      <c r="BH153" s="18"/>
    </row>
    <row r="154" spans="1:60" x14ac:dyDescent="0.2">
      <c r="A154" s="16">
        <v>2015</v>
      </c>
      <c r="B154" s="16">
        <v>3</v>
      </c>
      <c r="C154" s="20"/>
      <c r="D154" s="18"/>
      <c r="E154" s="20">
        <v>1.2822101163149399E-2</v>
      </c>
      <c r="F154" s="18"/>
      <c r="G154" s="20">
        <v>-9.1826835614133796E-4</v>
      </c>
      <c r="H154" s="18"/>
      <c r="I154" s="20">
        <v>-1.9660150603246999E-4</v>
      </c>
      <c r="J154" s="18"/>
      <c r="K154" s="20">
        <v>8.8169237150717799E-4</v>
      </c>
      <c r="L154" s="18"/>
      <c r="M154" s="20">
        <v>8.5487928697610092E-3</v>
      </c>
      <c r="N154" s="18"/>
      <c r="O154" s="20">
        <v>-7.7496177042526201E-3</v>
      </c>
      <c r="P154" s="18"/>
      <c r="Q154" s="20">
        <v>-8.4061600829384302E-4</v>
      </c>
      <c r="R154" s="18"/>
      <c r="S154" s="20">
        <v>7.7013761222348605E-4</v>
      </c>
      <c r="T154" s="18"/>
      <c r="U154" s="20">
        <v>-1.24538953665179E-3</v>
      </c>
      <c r="V154" s="18"/>
      <c r="W154" s="20">
        <v>1.52611251600295E-2</v>
      </c>
      <c r="X154" s="18"/>
      <c r="Y154" s="20">
        <v>3.9649358331828797E-4</v>
      </c>
      <c r="Z154" s="18"/>
      <c r="AA154" s="20">
        <v>-1.4920163314092599E-3</v>
      </c>
      <c r="AB154" s="18"/>
      <c r="AC154" s="20">
        <v>-8.9708890990116102E-4</v>
      </c>
      <c r="AD154" s="18"/>
      <c r="AE154" s="20">
        <v>1.3761098532624299E-4</v>
      </c>
      <c r="AF154" s="18"/>
      <c r="AG154" s="20">
        <v>2.5303983766069098E-3</v>
      </c>
      <c r="AH154" s="18"/>
      <c r="AI154" s="20">
        <v>6.8206945882330898E-4</v>
      </c>
      <c r="AJ154" s="18"/>
      <c r="AK154" s="20">
        <v>1.67017484163701E-3</v>
      </c>
      <c r="AL154" s="18"/>
      <c r="AM154" s="20">
        <v>7.7833689394304396E-4</v>
      </c>
      <c r="AN154" s="18"/>
      <c r="AO154" s="20">
        <v>9.4047363169905195E-4</v>
      </c>
      <c r="AP154" s="18"/>
      <c r="AQ154" s="20">
        <v>-1.39806485075089E-5</v>
      </c>
      <c r="AR154" s="18"/>
      <c r="AS154" s="20">
        <v>1.6055802720423399E-3</v>
      </c>
      <c r="AT154" s="18"/>
      <c r="AU154" s="20">
        <v>-4.6201027857635203E-3</v>
      </c>
      <c r="AV154" s="18"/>
      <c r="AW154" s="20">
        <v>-1.7163825997139901E-4</v>
      </c>
      <c r="AX154" s="18"/>
      <c r="AY154" s="20">
        <v>8.8769454208076901E-5</v>
      </c>
      <c r="AZ154" s="18"/>
      <c r="BA154" s="20">
        <v>2.6307424760637E-4</v>
      </c>
      <c r="BB154" s="18"/>
      <c r="BC154" s="20">
        <v>1.2146275993418E-3</v>
      </c>
      <c r="BD154" s="18"/>
      <c r="BE154" s="20">
        <v>-9.3406418167419497E-4</v>
      </c>
      <c r="BF154" s="18"/>
      <c r="BG154" s="20"/>
      <c r="BH154" s="18"/>
    </row>
    <row r="155" spans="1:60" x14ac:dyDescent="0.2">
      <c r="A155" s="16">
        <v>2015</v>
      </c>
      <c r="B155" s="16">
        <v>4</v>
      </c>
      <c r="C155" s="20"/>
      <c r="D155" s="18"/>
      <c r="E155" s="20">
        <v>1.40019571198479E-2</v>
      </c>
      <c r="F155" s="18"/>
      <c r="G155" s="20">
        <v>-7.1279370083008903E-4</v>
      </c>
      <c r="H155" s="18"/>
      <c r="I155" s="20">
        <v>-1.2436497131175199E-4</v>
      </c>
      <c r="J155" s="18"/>
      <c r="K155" s="20">
        <v>2.2127896150908599E-3</v>
      </c>
      <c r="L155" s="18"/>
      <c r="M155" s="20">
        <v>1.11218089977914E-2</v>
      </c>
      <c r="N155" s="18"/>
      <c r="O155" s="20">
        <v>-9.2948989676993193E-3</v>
      </c>
      <c r="P155" s="18"/>
      <c r="Q155" s="20">
        <v>-1.8181660994352701E-3</v>
      </c>
      <c r="R155" s="18"/>
      <c r="S155" s="20">
        <v>8.5589983710068296E-4</v>
      </c>
      <c r="T155" s="18"/>
      <c r="U155" s="20">
        <v>-5.3420652573025595E-4</v>
      </c>
      <c r="V155" s="18"/>
      <c r="W155" s="20">
        <v>1.3372212825039901E-2</v>
      </c>
      <c r="X155" s="18"/>
      <c r="Y155" s="20">
        <v>4.7379413384528399E-5</v>
      </c>
      <c r="Z155" s="18"/>
      <c r="AA155" s="20">
        <v>-1.3331274043588001E-3</v>
      </c>
      <c r="AB155" s="18"/>
      <c r="AC155" s="20">
        <v>-4.7596153332397602E-4</v>
      </c>
      <c r="AD155" s="18"/>
      <c r="AE155" s="20">
        <v>1.2070928315623701E-3</v>
      </c>
      <c r="AF155" s="18"/>
      <c r="AG155" s="20">
        <v>1.6249961673790801E-3</v>
      </c>
      <c r="AH155" s="18"/>
      <c r="AI155" s="20">
        <v>6.5772298400184302E-5</v>
      </c>
      <c r="AJ155" s="18"/>
      <c r="AK155" s="20">
        <v>1.26311906689262E-3</v>
      </c>
      <c r="AL155" s="18"/>
      <c r="AM155" s="20">
        <v>2.3715626528722801E-4</v>
      </c>
      <c r="AN155" s="18"/>
      <c r="AO155" s="20">
        <v>5.3865201482743001E-4</v>
      </c>
      <c r="AP155" s="18"/>
      <c r="AQ155" s="20">
        <v>-1.9145952416078999E-4</v>
      </c>
      <c r="AR155" s="18"/>
      <c r="AS155" s="20">
        <v>1.02109050225776E-3</v>
      </c>
      <c r="AT155" s="18"/>
      <c r="AU155" s="20">
        <v>-2.11033425810219E-3</v>
      </c>
      <c r="AV155" s="18"/>
      <c r="AW155" s="20">
        <v>1.81868222334439E-5</v>
      </c>
      <c r="AX155" s="18"/>
      <c r="AY155" s="20">
        <v>9.0675094247179703E-5</v>
      </c>
      <c r="AZ155" s="18"/>
      <c r="BA155" s="20">
        <v>2.3858096736343099E-4</v>
      </c>
      <c r="BB155" s="18"/>
      <c r="BC155" s="20">
        <v>1.18627223372122E-3</v>
      </c>
      <c r="BD155" s="18"/>
      <c r="BE155" s="20">
        <v>-1.0031866260233201E-3</v>
      </c>
      <c r="BF155" s="18"/>
      <c r="BG155" s="20"/>
      <c r="BH155" s="18"/>
    </row>
    <row r="156" spans="1:60" x14ac:dyDescent="0.2">
      <c r="A156" s="16">
        <v>2016</v>
      </c>
      <c r="B156" s="16">
        <v>1</v>
      </c>
      <c r="C156" s="20"/>
      <c r="D156" s="18"/>
      <c r="E156" s="20">
        <v>2.1460353456469301E-2</v>
      </c>
      <c r="F156" s="18"/>
      <c r="G156" s="20">
        <v>-1.06459398724972E-4</v>
      </c>
      <c r="H156" s="18"/>
      <c r="I156" s="20">
        <v>-2.1421836507565998E-5</v>
      </c>
      <c r="J156" s="18"/>
      <c r="K156" s="20">
        <v>7.7895607873664698E-3</v>
      </c>
      <c r="L156" s="18"/>
      <c r="M156" s="20">
        <v>9.9106752411551504E-3</v>
      </c>
      <c r="N156" s="18"/>
      <c r="O156" s="20">
        <v>-2.2930252470110702E-3</v>
      </c>
      <c r="P156" s="18"/>
      <c r="Q156" s="20">
        <v>-2.9967404110752601E-3</v>
      </c>
      <c r="R156" s="18"/>
      <c r="S156" s="20">
        <v>5.5682614550684698E-4</v>
      </c>
      <c r="T156" s="18"/>
      <c r="U156" s="20">
        <v>-4.3735116319442102E-4</v>
      </c>
      <c r="V156" s="18"/>
      <c r="W156" s="20">
        <v>1.11309235291617E-2</v>
      </c>
      <c r="X156" s="18"/>
      <c r="Y156" s="20">
        <v>3.4011419250326201E-4</v>
      </c>
      <c r="Z156" s="18"/>
      <c r="AA156" s="20">
        <v>-1.7105987713371699E-3</v>
      </c>
      <c r="AB156" s="18"/>
      <c r="AC156" s="20">
        <v>-1.054764178012E-4</v>
      </c>
      <c r="AD156" s="18"/>
      <c r="AE156" s="20">
        <v>1.3418008854477099E-3</v>
      </c>
      <c r="AF156" s="18"/>
      <c r="AG156" s="20">
        <v>2.0987105923987899E-4</v>
      </c>
      <c r="AH156" s="18"/>
      <c r="AI156" s="20">
        <v>-5.9015538210058997E-4</v>
      </c>
      <c r="AJ156" s="18"/>
      <c r="AK156" s="20">
        <v>4.9889208368268504E-4</v>
      </c>
      <c r="AL156" s="18"/>
      <c r="AM156" s="20">
        <v>-3.0050400691392602E-4</v>
      </c>
      <c r="AN156" s="18"/>
      <c r="AO156" s="20">
        <v>5.0877006146248405E-4</v>
      </c>
      <c r="AP156" s="18"/>
      <c r="AQ156" s="20">
        <v>-5.6533594156803898E-5</v>
      </c>
      <c r="AR156" s="18"/>
      <c r="AS156" s="20">
        <v>2.9848353488854799E-3</v>
      </c>
      <c r="AT156" s="18"/>
      <c r="AU156" s="20">
        <v>1.8609408321059199E-3</v>
      </c>
      <c r="AV156" s="18"/>
      <c r="AW156" s="20">
        <v>-1.6473832701951099E-4</v>
      </c>
      <c r="AX156" s="18"/>
      <c r="AY156" s="20">
        <v>1.10616910214244E-4</v>
      </c>
      <c r="AZ156" s="18"/>
      <c r="BA156" s="20">
        <v>7.60871997211061E-4</v>
      </c>
      <c r="BB156" s="18"/>
      <c r="BC156" s="20">
        <v>1.6250259034721699E-3</v>
      </c>
      <c r="BD156" s="18"/>
      <c r="BE156" s="20">
        <v>-8.50780280011096E-4</v>
      </c>
      <c r="BF156" s="18"/>
      <c r="BG156" s="20"/>
      <c r="BH156" s="18"/>
    </row>
    <row r="157" spans="1:60" x14ac:dyDescent="0.2">
      <c r="A157" s="16">
        <v>2016</v>
      </c>
      <c r="B157" s="16">
        <v>2</v>
      </c>
      <c r="C157" s="20"/>
      <c r="D157" s="18"/>
      <c r="E157" s="20">
        <v>2.59954626922437E-2</v>
      </c>
      <c r="F157" s="18"/>
      <c r="G157" s="20">
        <v>1.5798547316678299E-4</v>
      </c>
      <c r="H157" s="18"/>
      <c r="I157" s="20">
        <v>3.2571204604663897E-5</v>
      </c>
      <c r="J157" s="18"/>
      <c r="K157" s="20">
        <v>9.2240470644844603E-3</v>
      </c>
      <c r="L157" s="18"/>
      <c r="M157" s="20">
        <v>1.06471097154094E-2</v>
      </c>
      <c r="N157" s="18"/>
      <c r="O157" s="20">
        <v>-1.43695441929014E-3</v>
      </c>
      <c r="P157" s="18"/>
      <c r="Q157" s="20">
        <v>-2.50051938724774E-3</v>
      </c>
      <c r="R157" s="18"/>
      <c r="S157" s="20">
        <v>1.73633343718463E-4</v>
      </c>
      <c r="T157" s="18"/>
      <c r="U157" s="20">
        <v>6.7882760917608199E-4</v>
      </c>
      <c r="V157" s="18"/>
      <c r="W157" s="20">
        <v>7.0439976968220902E-3</v>
      </c>
      <c r="X157" s="18"/>
      <c r="Y157" s="20">
        <v>-5.1001087110218698E-5</v>
      </c>
      <c r="Z157" s="18"/>
      <c r="AA157" s="20">
        <v>-2.2689412860122101E-4</v>
      </c>
      <c r="AB157" s="18"/>
      <c r="AC157" s="20">
        <v>-8.3931207929569294E-5</v>
      </c>
      <c r="AD157" s="18"/>
      <c r="AE157" s="20">
        <v>1.87115055881773E-3</v>
      </c>
      <c r="AF157" s="18"/>
      <c r="AG157" s="20">
        <v>2.9538167655845297E-4</v>
      </c>
      <c r="AH157" s="18"/>
      <c r="AI157" s="20">
        <v>4.34535061550302E-5</v>
      </c>
      <c r="AJ157" s="18"/>
      <c r="AK157" s="20">
        <v>-1.1077376145259001E-4</v>
      </c>
      <c r="AL157" s="18"/>
      <c r="AM157" s="20">
        <v>8.56279107764525E-4</v>
      </c>
      <c r="AN157" s="18"/>
      <c r="AO157" s="20">
        <v>4.8006832044121799E-4</v>
      </c>
      <c r="AP157" s="18"/>
      <c r="AQ157" s="20">
        <v>6.0104816665759702E-6</v>
      </c>
      <c r="AR157" s="18"/>
      <c r="AS157" s="20">
        <v>3.36361577190753E-3</v>
      </c>
      <c r="AT157" s="18"/>
      <c r="AU157" s="20">
        <v>4.3611922993991902E-3</v>
      </c>
      <c r="AV157" s="18"/>
      <c r="AW157" s="20">
        <v>-2.6838680506755398E-4</v>
      </c>
      <c r="AX157" s="18"/>
      <c r="AY157" s="20">
        <v>1.1647163737368601E-4</v>
      </c>
      <c r="AZ157" s="18"/>
      <c r="BA157" s="20">
        <v>1.11627080679572E-3</v>
      </c>
      <c r="BB157" s="18"/>
      <c r="BC157" s="20">
        <v>1.801193021852E-3</v>
      </c>
      <c r="BD157" s="18"/>
      <c r="BE157" s="20">
        <v>-6.8652828320931098E-4</v>
      </c>
      <c r="BF157" s="18"/>
      <c r="BG157" s="20"/>
      <c r="BH157" s="18"/>
    </row>
    <row r="158" spans="1:60" x14ac:dyDescent="0.2">
      <c r="A158" s="16">
        <v>2016</v>
      </c>
      <c r="B158" s="16">
        <v>3</v>
      </c>
      <c r="C158" s="20"/>
      <c r="D158" s="18"/>
      <c r="E158" s="20">
        <v>1.85481422883025E-2</v>
      </c>
      <c r="F158" s="18"/>
      <c r="G158" s="20">
        <v>2.5865575406883699E-4</v>
      </c>
      <c r="H158" s="18"/>
      <c r="I158" s="20">
        <v>4.8257613525951101E-5</v>
      </c>
      <c r="J158" s="18"/>
      <c r="K158" s="20">
        <v>8.5586486368376697E-3</v>
      </c>
      <c r="L158" s="18"/>
      <c r="M158" s="20">
        <v>8.9398050181931001E-3</v>
      </c>
      <c r="N158" s="18"/>
      <c r="O158" s="20">
        <v>-1.9501429198408299E-4</v>
      </c>
      <c r="P158" s="18"/>
      <c r="Q158" s="20">
        <v>-2.1862414646569698E-3</v>
      </c>
      <c r="R158" s="18"/>
      <c r="S158" s="20">
        <v>7.2829656237848096E-5</v>
      </c>
      <c r="T158" s="18"/>
      <c r="U158" s="20">
        <v>9.4720800777518203E-4</v>
      </c>
      <c r="V158" s="18"/>
      <c r="W158" s="20">
        <v>-2.4469806117491601E-3</v>
      </c>
      <c r="X158" s="18"/>
      <c r="Y158" s="20">
        <v>-3.74003482176374E-4</v>
      </c>
      <c r="Z158" s="18"/>
      <c r="AA158" s="20">
        <v>-1.98100401655986E-4</v>
      </c>
      <c r="AB158" s="18"/>
      <c r="AC158" s="20">
        <v>1.6051157957586699E-4</v>
      </c>
      <c r="AD158" s="18"/>
      <c r="AE158" s="20">
        <v>8.5765399590962603E-4</v>
      </c>
      <c r="AF158" s="18"/>
      <c r="AG158" s="20">
        <v>3.88553435192984E-4</v>
      </c>
      <c r="AH158" s="18"/>
      <c r="AI158" s="20">
        <v>2.23419881697702E-4</v>
      </c>
      <c r="AJ158" s="18"/>
      <c r="AK158" s="20">
        <v>-5.4581082698098302E-4</v>
      </c>
      <c r="AL158" s="18"/>
      <c r="AM158" s="20">
        <v>1.1311615955046099E-3</v>
      </c>
      <c r="AN158" s="18"/>
      <c r="AO158" s="20">
        <v>5.7391306368388196E-4</v>
      </c>
      <c r="AP158" s="18"/>
      <c r="AQ158" s="20">
        <v>8.9542865815753593E-6</v>
      </c>
      <c r="AR158" s="18"/>
      <c r="AS158" s="20">
        <v>3.6539520688573901E-3</v>
      </c>
      <c r="AT158" s="18"/>
      <c r="AU158" s="20">
        <v>6.6449104045815301E-3</v>
      </c>
      <c r="AV158" s="18"/>
      <c r="AW158" s="20">
        <v>-3.32975291245975E-5</v>
      </c>
      <c r="AX158" s="18"/>
      <c r="AY158" s="20">
        <v>1.1768076945563699E-4</v>
      </c>
      <c r="AZ158" s="18"/>
      <c r="BA158" s="20">
        <v>9.3086882961016903E-4</v>
      </c>
      <c r="BB158" s="18"/>
      <c r="BC158" s="20">
        <v>1.4710007492619299E-3</v>
      </c>
      <c r="BD158" s="18"/>
      <c r="BE158" s="20">
        <v>-5.3657278539422603E-4</v>
      </c>
      <c r="BF158" s="18"/>
      <c r="BG158" s="20"/>
      <c r="BH158" s="18"/>
    </row>
    <row r="159" spans="1:60" x14ac:dyDescent="0.2">
      <c r="A159" s="16">
        <v>2016</v>
      </c>
      <c r="B159" s="16">
        <v>4</v>
      </c>
      <c r="C159" s="20"/>
      <c r="D159" s="18"/>
      <c r="E159" s="20">
        <v>7.5007845725220002E-3</v>
      </c>
      <c r="F159" s="18"/>
      <c r="G159" s="20">
        <v>2.1032752002061401E-4</v>
      </c>
      <c r="H159" s="18"/>
      <c r="I159" s="20">
        <v>4.2058290071512101E-5</v>
      </c>
      <c r="J159" s="18"/>
      <c r="K159" s="20">
        <v>7.2967811245605403E-3</v>
      </c>
      <c r="L159" s="18"/>
      <c r="M159" s="20">
        <v>6.4260791022635504E-3</v>
      </c>
      <c r="N159" s="18"/>
      <c r="O159" s="20">
        <v>9.4850982820601402E-4</v>
      </c>
      <c r="P159" s="18"/>
      <c r="Q159" s="20">
        <v>-3.1043932973708601E-3</v>
      </c>
      <c r="R159" s="18"/>
      <c r="S159" s="20">
        <v>-3.1403322769858603E-4</v>
      </c>
      <c r="T159" s="18"/>
      <c r="U159" s="20">
        <v>7.2822235453788803E-4</v>
      </c>
      <c r="V159" s="18"/>
      <c r="W159" s="20">
        <v>-6.5990509191046903E-3</v>
      </c>
      <c r="X159" s="18"/>
      <c r="Y159" s="20">
        <v>2.1581505566595999E-4</v>
      </c>
      <c r="Z159" s="18"/>
      <c r="AA159" s="20">
        <v>1.92679654982114E-4</v>
      </c>
      <c r="AB159" s="18"/>
      <c r="AC159" s="20">
        <v>1.5314945432816199E-5</v>
      </c>
      <c r="AD159" s="18"/>
      <c r="AE159" s="20">
        <v>9.4559637770791295E-4</v>
      </c>
      <c r="AF159" s="18"/>
      <c r="AG159" s="20">
        <v>-9.4153445341529495E-4</v>
      </c>
      <c r="AH159" s="18"/>
      <c r="AI159" s="20">
        <v>-8.9900622357209795E-4</v>
      </c>
      <c r="AJ159" s="18"/>
      <c r="AK159" s="20">
        <v>-8.1027240208280901E-4</v>
      </c>
      <c r="AL159" s="18"/>
      <c r="AM159" s="20">
        <v>2.6531982581835798E-3</v>
      </c>
      <c r="AN159" s="18"/>
      <c r="AO159" s="20">
        <v>8.1450586340288899E-4</v>
      </c>
      <c r="AP159" s="18"/>
      <c r="AQ159" s="20">
        <v>1.5270884376773799E-4</v>
      </c>
      <c r="AR159" s="18"/>
      <c r="AS159" s="20">
        <v>4.1486233731250497E-3</v>
      </c>
      <c r="AT159" s="18"/>
      <c r="AU159" s="20">
        <v>3.2239945133100698E-3</v>
      </c>
      <c r="AV159" s="18"/>
      <c r="AW159" s="20">
        <v>-8.2840858557261905E-5</v>
      </c>
      <c r="AX159" s="18"/>
      <c r="AY159" s="20">
        <v>1.11240978054457E-4</v>
      </c>
      <c r="AZ159" s="18"/>
      <c r="BA159" s="20">
        <v>5.9859739623423702E-4</v>
      </c>
      <c r="BB159" s="18"/>
      <c r="BC159" s="20">
        <v>1.0786221606639301E-3</v>
      </c>
      <c r="BD159" s="18"/>
      <c r="BE159" s="20">
        <v>-4.8764331849703003E-4</v>
      </c>
      <c r="BF159" s="18"/>
      <c r="BG159" s="20"/>
      <c r="BH159" s="18"/>
    </row>
    <row r="160" spans="1:60" x14ac:dyDescent="0.2">
      <c r="A160" s="16">
        <v>2017</v>
      </c>
      <c r="B160" s="16">
        <v>1</v>
      </c>
      <c r="C160" s="20"/>
      <c r="D160" s="18"/>
      <c r="E160" s="20">
        <v>9.8542178170076301E-3</v>
      </c>
      <c r="F160" s="18"/>
      <c r="G160" s="20">
        <v>-1.19933698197097E-4</v>
      </c>
      <c r="H160" s="18"/>
      <c r="I160" s="20">
        <v>2.0226206489486899E-5</v>
      </c>
      <c r="J160" s="18"/>
      <c r="K160" s="20">
        <v>1.0390440460989799E-2</v>
      </c>
      <c r="L160" s="18"/>
      <c r="M160" s="20">
        <v>8.1569808413245494E-3</v>
      </c>
      <c r="N160" s="18"/>
      <c r="O160" s="20">
        <v>2.2552765795110898E-3</v>
      </c>
      <c r="P160" s="18"/>
      <c r="Q160" s="20">
        <v>-7.69080729575359E-4</v>
      </c>
      <c r="R160" s="18"/>
      <c r="S160" s="20">
        <v>-6.3417077253745304E-4</v>
      </c>
      <c r="T160" s="18"/>
      <c r="U160" s="20">
        <v>3.60463833887675E-4</v>
      </c>
      <c r="V160" s="18"/>
      <c r="W160" s="20">
        <v>-4.7835796789369401E-3</v>
      </c>
      <c r="X160" s="18"/>
      <c r="Y160" s="20">
        <v>1.3560651343358501E-4</v>
      </c>
      <c r="Z160" s="18"/>
      <c r="AA160" s="20">
        <v>2.3829222231932601E-4</v>
      </c>
      <c r="AB160" s="18"/>
      <c r="AC160" s="20">
        <v>-4.9334429070753698E-5</v>
      </c>
      <c r="AD160" s="18"/>
      <c r="AE160" s="20">
        <v>1.17672714484858E-4</v>
      </c>
      <c r="AF160" s="18"/>
      <c r="AG160" s="20">
        <v>-2.7242421539160101E-3</v>
      </c>
      <c r="AH160" s="18"/>
      <c r="AI160" s="20">
        <v>-3.1925641616602201E-3</v>
      </c>
      <c r="AJ160" s="18"/>
      <c r="AK160" s="20">
        <v>-9.8294621637646097E-4</v>
      </c>
      <c r="AL160" s="18"/>
      <c r="AM160" s="20">
        <v>3.5063142937187901E-3</v>
      </c>
      <c r="AN160" s="18"/>
      <c r="AO160" s="20">
        <v>1.13257667677138E-3</v>
      </c>
      <c r="AP160" s="18"/>
      <c r="AQ160" s="20">
        <v>2.7372615338734402E-4</v>
      </c>
      <c r="AR160" s="18"/>
      <c r="AS160" s="20">
        <v>3.5462798928539698E-3</v>
      </c>
      <c r="AT160" s="18"/>
      <c r="AU160" s="20">
        <v>-8.7837668976876201E-4</v>
      </c>
      <c r="AV160" s="18"/>
      <c r="AW160" s="20">
        <v>1.8564953782873901E-4</v>
      </c>
      <c r="AX160" s="18"/>
      <c r="AY160" s="20">
        <v>9.9246942198035105E-5</v>
      </c>
      <c r="AZ160" s="18"/>
      <c r="BA160" s="20">
        <v>8.6201815534686405E-4</v>
      </c>
      <c r="BB160" s="18"/>
      <c r="BC160" s="20">
        <v>1.4626629622542099E-3</v>
      </c>
      <c r="BD160" s="18"/>
      <c r="BE160" s="20">
        <v>-5.87820135226858E-4</v>
      </c>
      <c r="BF160" s="18"/>
      <c r="BG160" s="20"/>
      <c r="BH160" s="18"/>
    </row>
    <row r="161" spans="1:60" x14ac:dyDescent="0.2">
      <c r="A161" s="16">
        <v>2017</v>
      </c>
      <c r="B161" s="16">
        <v>2</v>
      </c>
      <c r="C161" s="20"/>
      <c r="D161" s="18"/>
      <c r="E161" s="20">
        <v>6.1876633821497098E-3</v>
      </c>
      <c r="F161" s="18"/>
      <c r="G161" s="20">
        <v>-1.8021176340205199E-4</v>
      </c>
      <c r="H161" s="18"/>
      <c r="I161" s="20">
        <v>1.61930781046971E-5</v>
      </c>
      <c r="J161" s="18"/>
      <c r="K161" s="20">
        <v>9.7090921855310999E-3</v>
      </c>
      <c r="L161" s="18"/>
      <c r="M161" s="20">
        <v>6.6675863989478397E-3</v>
      </c>
      <c r="N161" s="18"/>
      <c r="O161" s="20">
        <v>3.0446088244239899E-3</v>
      </c>
      <c r="P161" s="18"/>
      <c r="Q161" s="20">
        <v>3.8856332034614298E-4</v>
      </c>
      <c r="R161" s="18"/>
      <c r="S161" s="20">
        <v>-5.0305116072643804E-4</v>
      </c>
      <c r="T161" s="18"/>
      <c r="U161" s="20">
        <v>-6.2714575995795002E-5</v>
      </c>
      <c r="V161" s="18"/>
      <c r="W161" s="20">
        <v>-6.1732960600879199E-3</v>
      </c>
      <c r="X161" s="18"/>
      <c r="Y161" s="20">
        <v>-2.99547405938027E-4</v>
      </c>
      <c r="Z161" s="18"/>
      <c r="AA161" s="20">
        <v>3.0435541885397399E-4</v>
      </c>
      <c r="AB161" s="18"/>
      <c r="AC161" s="20">
        <v>5.2077382681269099E-4</v>
      </c>
      <c r="AD161" s="18"/>
      <c r="AE161" s="20">
        <v>-3.0456195460563999E-4</v>
      </c>
      <c r="AF161" s="18"/>
      <c r="AG161" s="20">
        <v>-1.89871637824864E-3</v>
      </c>
      <c r="AH161" s="18"/>
      <c r="AI161" s="20">
        <v>-2.8726499729154701E-3</v>
      </c>
      <c r="AJ161" s="18"/>
      <c r="AK161" s="20">
        <v>-8.7684616251758503E-4</v>
      </c>
      <c r="AL161" s="18"/>
      <c r="AM161" s="20">
        <v>2.9280253359779602E-3</v>
      </c>
      <c r="AN161" s="18"/>
      <c r="AO161" s="20">
        <v>1.2466976281835999E-3</v>
      </c>
      <c r="AP161" s="18"/>
      <c r="AQ161" s="20">
        <v>4.0095857512667097E-5</v>
      </c>
      <c r="AR161" s="18"/>
      <c r="AS161" s="20">
        <v>3.2404832935451601E-3</v>
      </c>
      <c r="AT161" s="18"/>
      <c r="AU161" s="20">
        <v>-3.0203119330284799E-3</v>
      </c>
      <c r="AV161" s="18"/>
      <c r="AW161" s="20">
        <v>-3.9311710517793198E-5</v>
      </c>
      <c r="AX161" s="18"/>
      <c r="AY161" s="20">
        <v>8.6976839479805998E-5</v>
      </c>
      <c r="AZ161" s="18"/>
      <c r="BA161" s="20">
        <v>4.9786357693880996E-4</v>
      </c>
      <c r="BB161" s="18"/>
      <c r="BC161" s="20">
        <v>1.1944689131748599E-3</v>
      </c>
      <c r="BD161" s="18"/>
      <c r="BE161" s="20">
        <v>-6.8761388386728601E-4</v>
      </c>
      <c r="BF161" s="18"/>
      <c r="BG161" s="20"/>
      <c r="BH161" s="18"/>
    </row>
    <row r="162" spans="1:60" x14ac:dyDescent="0.2">
      <c r="A162" s="16">
        <v>2017</v>
      </c>
      <c r="B162" s="16">
        <v>3</v>
      </c>
      <c r="C162" s="20"/>
      <c r="D162" s="18"/>
      <c r="E162" s="20">
        <v>1.30646579514959E-2</v>
      </c>
      <c r="F162" s="18"/>
      <c r="G162" s="20">
        <v>-1.29524601165404E-4</v>
      </c>
      <c r="H162" s="18"/>
      <c r="I162" s="20">
        <v>6.3951926288893405E-5</v>
      </c>
      <c r="J162" s="18"/>
      <c r="K162" s="20">
        <v>8.2061458390750904E-3</v>
      </c>
      <c r="L162" s="18"/>
      <c r="M162" s="20">
        <v>5.3158624420777296E-3</v>
      </c>
      <c r="N162" s="18"/>
      <c r="O162" s="20">
        <v>2.9298858283610799E-3</v>
      </c>
      <c r="P162" s="18"/>
      <c r="Q162" s="20">
        <v>2.28339534037843E-3</v>
      </c>
      <c r="R162" s="18"/>
      <c r="S162" s="20">
        <v>-5.8606243392695897E-4</v>
      </c>
      <c r="T162" s="18"/>
      <c r="U162" s="20">
        <v>-5.2182157461914401E-6</v>
      </c>
      <c r="V162" s="18"/>
      <c r="W162" s="20">
        <v>-9.3402641690034001E-4</v>
      </c>
      <c r="X162" s="18"/>
      <c r="Y162" s="20">
        <v>-3.9159239197087998E-4</v>
      </c>
      <c r="Z162" s="18"/>
      <c r="AA162" s="20">
        <v>2.8152335806093598E-4</v>
      </c>
      <c r="AB162" s="18"/>
      <c r="AC162" s="20">
        <v>6.2370548564929899E-4</v>
      </c>
      <c r="AD162" s="18"/>
      <c r="AE162" s="20">
        <v>1.34763416658195E-3</v>
      </c>
      <c r="AF162" s="18"/>
      <c r="AG162" s="20">
        <v>-2.3315996394228798E-3</v>
      </c>
      <c r="AH162" s="18"/>
      <c r="AI162" s="20">
        <v>-3.8042316642974798E-3</v>
      </c>
      <c r="AJ162" s="18"/>
      <c r="AK162" s="20">
        <v>-5.6700709432830104E-4</v>
      </c>
      <c r="AL162" s="18"/>
      <c r="AM162" s="20">
        <v>4.4369183187558401E-3</v>
      </c>
      <c r="AN162" s="18"/>
      <c r="AO162" s="20">
        <v>1.5256010908452501E-3</v>
      </c>
      <c r="AP162" s="18"/>
      <c r="AQ162" s="20">
        <v>1.6121567662741802E-5</v>
      </c>
      <c r="AR162" s="18"/>
      <c r="AS162" s="20">
        <v>2.63451265628422E-3</v>
      </c>
      <c r="AT162" s="18"/>
      <c r="AU162" s="20">
        <v>-4.9294186313161804E-3</v>
      </c>
      <c r="AV162" s="18"/>
      <c r="AW162" s="20">
        <v>2.4176121986707499E-4</v>
      </c>
      <c r="AX162" s="18"/>
      <c r="AY162" s="20">
        <v>7.6838188245921806E-5</v>
      </c>
      <c r="AZ162" s="18"/>
      <c r="BA162" s="20">
        <v>4.8767263257643901E-4</v>
      </c>
      <c r="BB162" s="18"/>
      <c r="BC162" s="20">
        <v>1.1118349363925201E-3</v>
      </c>
      <c r="BD162" s="18"/>
      <c r="BE162" s="20">
        <v>-6.1346054850136198E-4</v>
      </c>
      <c r="BF162" s="18"/>
      <c r="BG162" s="20"/>
      <c r="BH162" s="18"/>
    </row>
    <row r="163" spans="1:60" x14ac:dyDescent="0.2">
      <c r="A163" s="16">
        <v>2017</v>
      </c>
      <c r="B163" s="16">
        <v>4</v>
      </c>
      <c r="C163" s="20"/>
      <c r="D163" s="18"/>
      <c r="E163" s="20">
        <v>2.55145053191685E-2</v>
      </c>
      <c r="F163" s="18"/>
      <c r="G163" s="20">
        <v>2.12352114805869E-5</v>
      </c>
      <c r="H163" s="18"/>
      <c r="I163" s="20">
        <v>1.12449275273691E-4</v>
      </c>
      <c r="J163" s="18"/>
      <c r="K163" s="20">
        <v>9.5390127999820194E-3</v>
      </c>
      <c r="L163" s="18"/>
      <c r="M163" s="20">
        <v>4.4006943722748899E-3</v>
      </c>
      <c r="N163" s="18"/>
      <c r="O163" s="20">
        <v>5.1200476975559704E-3</v>
      </c>
      <c r="P163" s="18"/>
      <c r="Q163" s="20">
        <v>2.68641775796884E-3</v>
      </c>
      <c r="R163" s="18"/>
      <c r="S163" s="20">
        <v>-3.8484559208954903E-4</v>
      </c>
      <c r="T163" s="18"/>
      <c r="U163" s="20">
        <v>9.7242641955470302E-4</v>
      </c>
      <c r="V163" s="18"/>
      <c r="W163" s="20">
        <v>1.7518488465014901E-3</v>
      </c>
      <c r="X163" s="18"/>
      <c r="Y163" s="20">
        <v>-9.0262994270903796E-4</v>
      </c>
      <c r="Z163" s="18"/>
      <c r="AA163" s="20">
        <v>1.33447564907765E-3</v>
      </c>
      <c r="AB163" s="18"/>
      <c r="AC163" s="20">
        <v>6.5363243212717998E-4</v>
      </c>
      <c r="AD163" s="18"/>
      <c r="AE163" s="20">
        <v>1.8983066004803701E-3</v>
      </c>
      <c r="AF163" s="18"/>
      <c r="AG163" s="20">
        <v>6.1169115757579002E-4</v>
      </c>
      <c r="AH163" s="18"/>
      <c r="AI163" s="20">
        <v>-2.0546491553833702E-3</v>
      </c>
      <c r="AJ163" s="18"/>
      <c r="AK163" s="20">
        <v>-2.5327632169720499E-5</v>
      </c>
      <c r="AL163" s="18"/>
      <c r="AM163" s="20">
        <v>4.12427834660629E-3</v>
      </c>
      <c r="AN163" s="18"/>
      <c r="AO163" s="20">
        <v>1.6179452761529199E-3</v>
      </c>
      <c r="AP163" s="18"/>
      <c r="AQ163" s="20">
        <v>2.9765570958965301E-4</v>
      </c>
      <c r="AR163" s="18"/>
      <c r="AS163" s="20">
        <v>1.9358995882435301E-3</v>
      </c>
      <c r="AT163" s="18"/>
      <c r="AU163" s="20">
        <v>-1.7539633646197401E-3</v>
      </c>
      <c r="AV163" s="18"/>
      <c r="AW163" s="20">
        <v>8.4371780723174893E-5</v>
      </c>
      <c r="AX163" s="18"/>
      <c r="AY163" s="20">
        <v>6.9968859105939605E-5</v>
      </c>
      <c r="AZ163" s="18"/>
      <c r="BA163" s="20">
        <v>1.67015998753032E-4</v>
      </c>
      <c r="BB163" s="18"/>
      <c r="BC163" s="20">
        <v>7.5668818695771899E-4</v>
      </c>
      <c r="BD163" s="18"/>
      <c r="BE163" s="20">
        <v>-6.3864310533860995E-4</v>
      </c>
      <c r="BF163" s="18"/>
      <c r="BG163" s="20"/>
      <c r="BH163" s="18"/>
    </row>
    <row r="164" spans="1:60" x14ac:dyDescent="0.2">
      <c r="A164" s="16">
        <v>2018</v>
      </c>
      <c r="B164" s="16">
        <v>1</v>
      </c>
      <c r="C164" s="20"/>
      <c r="D164" s="18"/>
      <c r="E164" s="20">
        <v>3.6329158174975902E-2</v>
      </c>
      <c r="F164" s="18"/>
      <c r="G164" s="20">
        <v>3.6969568491824199E-4</v>
      </c>
      <c r="H164" s="18"/>
      <c r="I164" s="20">
        <v>1.6052244906560099E-4</v>
      </c>
      <c r="J164" s="18"/>
      <c r="K164" s="20">
        <v>7.7123455714645196E-3</v>
      </c>
      <c r="L164" s="18"/>
      <c r="M164" s="20">
        <v>6.3203325767816803E-3</v>
      </c>
      <c r="N164" s="18"/>
      <c r="O164" s="20">
        <v>1.4264728051591299E-3</v>
      </c>
      <c r="P164" s="18"/>
      <c r="Q164" s="20">
        <v>2.6599549449903498E-3</v>
      </c>
      <c r="R164" s="18"/>
      <c r="S164" s="20">
        <v>2.9045082797871499E-5</v>
      </c>
      <c r="T164" s="18"/>
      <c r="U164" s="20">
        <v>1.5647462552218099E-3</v>
      </c>
      <c r="V164" s="18"/>
      <c r="W164" s="20">
        <v>6.8648811486276401E-4</v>
      </c>
      <c r="X164" s="18"/>
      <c r="Y164" s="20">
        <v>-6.7650764330395895E-4</v>
      </c>
      <c r="Z164" s="18"/>
      <c r="AA164" s="20">
        <v>2.7271703929334901E-3</v>
      </c>
      <c r="AB164" s="18"/>
      <c r="AC164" s="20">
        <v>9.2422574326382005E-4</v>
      </c>
      <c r="AD164" s="18"/>
      <c r="AE164" s="20">
        <v>2.7094495789668702E-3</v>
      </c>
      <c r="AF164" s="18"/>
      <c r="AG164" s="20">
        <v>3.7128588813426198E-3</v>
      </c>
      <c r="AH164" s="18"/>
      <c r="AI164" s="20">
        <v>8.0351044707249096E-5</v>
      </c>
      <c r="AJ164" s="18"/>
      <c r="AK164" s="20">
        <v>7.41733917593538E-4</v>
      </c>
      <c r="AL164" s="18"/>
      <c r="AM164" s="20">
        <v>6.8044740781115203E-3</v>
      </c>
      <c r="AN164" s="18"/>
      <c r="AO164" s="20">
        <v>1.12134931529968E-3</v>
      </c>
      <c r="AP164" s="18"/>
      <c r="AQ164" s="20">
        <v>3.0411073884649702E-4</v>
      </c>
      <c r="AR164" s="18"/>
      <c r="AS164" s="20">
        <v>2.2134600541671699E-3</v>
      </c>
      <c r="AT164" s="18"/>
      <c r="AU164" s="20">
        <v>2.5453904410501901E-3</v>
      </c>
      <c r="AV164" s="18"/>
      <c r="AW164" s="20">
        <v>6.9607423641757606E-5</v>
      </c>
      <c r="AX164" s="18"/>
      <c r="AY164" s="20">
        <v>7.0491100455663305E-5</v>
      </c>
      <c r="AZ164" s="18"/>
      <c r="BA164" s="20">
        <v>-4.1527851946640001E-4</v>
      </c>
      <c r="BB164" s="18"/>
      <c r="BC164" s="20">
        <v>1.7712892101257599E-4</v>
      </c>
      <c r="BD164" s="18"/>
      <c r="BE164" s="20">
        <v>-5.7004049949802797E-4</v>
      </c>
      <c r="BF164" s="18"/>
      <c r="BG164" s="20"/>
      <c r="BH164" s="18"/>
    </row>
    <row r="165" spans="1:60" x14ac:dyDescent="0.2">
      <c r="A165" s="16">
        <v>2018</v>
      </c>
      <c r="B165" s="16">
        <v>2</v>
      </c>
      <c r="C165" s="20"/>
      <c r="D165" s="18"/>
      <c r="E165" s="20">
        <v>4.5165240610830097E-2</v>
      </c>
      <c r="F165" s="18"/>
      <c r="G165" s="20">
        <v>4.7507328617587402E-4</v>
      </c>
      <c r="H165" s="18"/>
      <c r="I165" s="20">
        <v>2.3514239889846299E-4</v>
      </c>
      <c r="J165" s="18"/>
      <c r="K165" s="20">
        <v>1.1445121834683001E-2</v>
      </c>
      <c r="L165" s="18"/>
      <c r="M165" s="20">
        <v>6.5874219851739203E-3</v>
      </c>
      <c r="N165" s="18"/>
      <c r="O165" s="20">
        <v>4.83239392139901E-3</v>
      </c>
      <c r="P165" s="18"/>
      <c r="Q165" s="20">
        <v>2.7157049566494799E-3</v>
      </c>
      <c r="R165" s="18"/>
      <c r="S165" s="20">
        <v>1.7734585257256599E-4</v>
      </c>
      <c r="T165" s="18"/>
      <c r="U165" s="20">
        <v>2.17832022054529E-3</v>
      </c>
      <c r="V165" s="18"/>
      <c r="W165" s="20">
        <v>8.5554855556808603E-4</v>
      </c>
      <c r="X165" s="18"/>
      <c r="Y165" s="20">
        <v>-2.5783836147038301E-4</v>
      </c>
      <c r="Z165" s="18"/>
      <c r="AA165" s="20">
        <v>1.02073423382082E-3</v>
      </c>
      <c r="AB165" s="18"/>
      <c r="AC165" s="20">
        <v>1.0485803596759801E-3</v>
      </c>
      <c r="AD165" s="18"/>
      <c r="AE165" s="20">
        <v>2.88069191561497E-3</v>
      </c>
      <c r="AF165" s="18"/>
      <c r="AG165" s="20">
        <v>4.2422574507146099E-3</v>
      </c>
      <c r="AH165" s="18"/>
      <c r="AI165" s="20">
        <v>6.04261211983465E-4</v>
      </c>
      <c r="AJ165" s="18"/>
      <c r="AK165" s="20">
        <v>1.11988242008226E-3</v>
      </c>
      <c r="AL165" s="18"/>
      <c r="AM165" s="20">
        <v>8.1373439575608796E-3</v>
      </c>
      <c r="AN165" s="18"/>
      <c r="AO165" s="20">
        <v>8.5184000428603602E-4</v>
      </c>
      <c r="AP165" s="18"/>
      <c r="AQ165" s="20">
        <v>5.11773260694994E-4</v>
      </c>
      <c r="AR165" s="18"/>
      <c r="AS165" s="20">
        <v>1.9700860736731299E-3</v>
      </c>
      <c r="AT165" s="18"/>
      <c r="AU165" s="20">
        <v>5.9850947313747401E-3</v>
      </c>
      <c r="AV165" s="18"/>
      <c r="AW165" s="20">
        <v>5.2021013725584504E-4</v>
      </c>
      <c r="AX165" s="18"/>
      <c r="AY165" s="20">
        <v>7.3891163901455506E-5</v>
      </c>
      <c r="AZ165" s="18"/>
      <c r="BA165" s="20">
        <v>-5.3426865499196102E-4</v>
      </c>
      <c r="BB165" s="18"/>
      <c r="BC165" s="20">
        <v>-1.07301730355296E-4</v>
      </c>
      <c r="BD165" s="18"/>
      <c r="BE165" s="20">
        <v>-4.7473162976589101E-4</v>
      </c>
      <c r="BF165" s="18"/>
      <c r="BG165" s="20"/>
      <c r="BH165" s="18"/>
    </row>
    <row r="166" spans="1:60" x14ac:dyDescent="0.2">
      <c r="A166" s="16">
        <v>2018</v>
      </c>
      <c r="B166" s="16">
        <v>3</v>
      </c>
      <c r="C166" s="20"/>
      <c r="D166" s="18"/>
      <c r="E166" s="20">
        <v>3.0691841557843599E-2</v>
      </c>
      <c r="F166" s="18"/>
      <c r="G166" s="20">
        <v>4.4930535804161301E-4</v>
      </c>
      <c r="H166" s="18"/>
      <c r="I166" s="20">
        <v>1.7163202959864001E-4</v>
      </c>
      <c r="J166" s="18"/>
      <c r="K166" s="20">
        <v>7.3023918030791302E-3</v>
      </c>
      <c r="L166" s="18"/>
      <c r="M166" s="20">
        <v>6.2728975862308897E-3</v>
      </c>
      <c r="N166" s="18"/>
      <c r="O166" s="20">
        <v>1.06809092925962E-3</v>
      </c>
      <c r="P166" s="18"/>
      <c r="Q166" s="20">
        <v>1.3177204980708999E-3</v>
      </c>
      <c r="R166" s="18"/>
      <c r="S166" s="20">
        <v>3.0166047610875201E-4</v>
      </c>
      <c r="T166" s="18"/>
      <c r="U166" s="20">
        <v>2.3519391803853E-3</v>
      </c>
      <c r="V166" s="18"/>
      <c r="W166" s="20">
        <v>-5.0345547465854403E-3</v>
      </c>
      <c r="X166" s="18"/>
      <c r="Y166" s="20">
        <v>-6.6000847356194195E-4</v>
      </c>
      <c r="Z166" s="18"/>
      <c r="AA166" s="20">
        <v>1.3008997850484599E-3</v>
      </c>
      <c r="AB166" s="18"/>
      <c r="AC166" s="20">
        <v>1.10151726254273E-3</v>
      </c>
      <c r="AD166" s="18"/>
      <c r="AE166" s="20">
        <v>1.93540284790365E-3</v>
      </c>
      <c r="AF166" s="18"/>
      <c r="AG166" s="20">
        <v>4.1851278032820696E-3</v>
      </c>
      <c r="AH166" s="18"/>
      <c r="AI166" s="20">
        <v>7.67797286890506E-4</v>
      </c>
      <c r="AJ166" s="18"/>
      <c r="AK166" s="20">
        <v>1.15685258319455E-3</v>
      </c>
      <c r="AL166" s="18"/>
      <c r="AM166" s="20">
        <v>8.5434023436588308E-3</v>
      </c>
      <c r="AN166" s="18"/>
      <c r="AO166" s="20">
        <v>5.5697857161487497E-4</v>
      </c>
      <c r="AP166" s="18"/>
      <c r="AQ166" s="20">
        <v>4.6819775388144501E-4</v>
      </c>
      <c r="AR166" s="18"/>
      <c r="AS166" s="20">
        <v>2.0237627538486299E-3</v>
      </c>
      <c r="AT166" s="18"/>
      <c r="AU166" s="20">
        <v>3.4602648842358601E-3</v>
      </c>
      <c r="AV166" s="18"/>
      <c r="AW166" s="20">
        <v>3.9489346816954399E-4</v>
      </c>
      <c r="AX166" s="18"/>
      <c r="AY166" s="20">
        <v>8.2308048179560803E-5</v>
      </c>
      <c r="AZ166" s="18"/>
      <c r="BA166" s="20">
        <v>-1.4270182507479399E-3</v>
      </c>
      <c r="BB166" s="18"/>
      <c r="BC166" s="20">
        <v>-8.2586633895313701E-4</v>
      </c>
      <c r="BD166" s="18"/>
      <c r="BE166" s="20">
        <v>-5.2661545752303402E-4</v>
      </c>
      <c r="BF166" s="18"/>
      <c r="BG166" s="20"/>
      <c r="BH166" s="18"/>
    </row>
    <row r="167" spans="1:60" x14ac:dyDescent="0.2">
      <c r="A167" s="16">
        <v>2018</v>
      </c>
      <c r="B167" s="16">
        <v>4</v>
      </c>
      <c r="C167" s="20"/>
      <c r="D167" s="18"/>
      <c r="E167" s="20">
        <v>2.4758258758666701E-2</v>
      </c>
      <c r="F167" s="18"/>
      <c r="G167" s="20">
        <v>2.8897999178337198E-4</v>
      </c>
      <c r="H167" s="18"/>
      <c r="I167" s="20">
        <v>1.1502687375291801E-4</v>
      </c>
      <c r="J167" s="18"/>
      <c r="K167" s="20">
        <v>1.28224368864178E-2</v>
      </c>
      <c r="L167" s="18"/>
      <c r="M167" s="20">
        <v>8.4785260101969892E-3</v>
      </c>
      <c r="N167" s="18"/>
      <c r="O167" s="20">
        <v>4.3138158765732596E-3</v>
      </c>
      <c r="P167" s="18"/>
      <c r="Q167" s="20">
        <v>1.34224882286114E-3</v>
      </c>
      <c r="R167" s="18"/>
      <c r="S167" s="20">
        <v>3.4448196456327501E-4</v>
      </c>
      <c r="T167" s="18"/>
      <c r="U167" s="20">
        <v>6.6343994678277896E-4</v>
      </c>
      <c r="V167" s="18"/>
      <c r="W167" s="20">
        <v>-5.5853899224671804E-3</v>
      </c>
      <c r="X167" s="18"/>
      <c r="Y167" s="20">
        <v>9.9349532016657698E-5</v>
      </c>
      <c r="Z167" s="18"/>
      <c r="AA167" s="20">
        <v>7.4057206340567199E-4</v>
      </c>
      <c r="AB167" s="18"/>
      <c r="AC167" s="20">
        <v>2.5953882403515101E-4</v>
      </c>
      <c r="AD167" s="18"/>
      <c r="AE167" s="20">
        <v>1.0017807436844899E-3</v>
      </c>
      <c r="AF167" s="18"/>
      <c r="AG167" s="20">
        <v>2.8907840090279202E-5</v>
      </c>
      <c r="AH167" s="18"/>
      <c r="AI167" s="20">
        <v>-1.8879493032179101E-3</v>
      </c>
      <c r="AJ167" s="18"/>
      <c r="AK167" s="20">
        <v>8.38316012908468E-4</v>
      </c>
      <c r="AL167" s="18"/>
      <c r="AM167" s="20">
        <v>7.6865863354197202E-3</v>
      </c>
      <c r="AN167" s="18"/>
      <c r="AO167" s="20">
        <v>3.1242657600483799E-4</v>
      </c>
      <c r="AP167" s="18"/>
      <c r="AQ167" s="20">
        <v>1.19214169085746E-4</v>
      </c>
      <c r="AR167" s="18"/>
      <c r="AS167" s="20">
        <v>2.4681605926675501E-3</v>
      </c>
      <c r="AT167" s="18"/>
      <c r="AU167" s="20">
        <v>1.1030674314209E-3</v>
      </c>
      <c r="AV167" s="18"/>
      <c r="AW167" s="20">
        <v>5.1134013442984095E-4</v>
      </c>
      <c r="AX167" s="18"/>
      <c r="AY167" s="20">
        <v>9.3840137445655507E-5</v>
      </c>
      <c r="AZ167" s="18"/>
      <c r="BA167" s="20">
        <v>-1.05593713608446E-3</v>
      </c>
      <c r="BB167" s="18"/>
      <c r="BC167" s="20">
        <v>-6.50492705892127E-4</v>
      </c>
      <c r="BD167" s="18"/>
      <c r="BE167" s="20">
        <v>-4.3292135911688202E-4</v>
      </c>
      <c r="BF167" s="18"/>
      <c r="BG167" s="20"/>
      <c r="BH167" s="18"/>
    </row>
    <row r="168" spans="1:60" x14ac:dyDescent="0.2">
      <c r="A168" s="16">
        <v>2019</v>
      </c>
      <c r="B168" s="16">
        <v>1</v>
      </c>
      <c r="C168" s="20"/>
      <c r="D168" s="18"/>
      <c r="E168" s="20">
        <v>1.26044056283158E-2</v>
      </c>
      <c r="F168" s="18"/>
      <c r="G168" s="20">
        <v>-3.0407719541859701E-5</v>
      </c>
      <c r="H168" s="18"/>
      <c r="I168" s="20">
        <v>5.36803708710605E-5</v>
      </c>
      <c r="J168" s="18"/>
      <c r="K168" s="20">
        <v>1.22282393154045E-2</v>
      </c>
      <c r="L168" s="18"/>
      <c r="M168" s="20">
        <v>5.4197616576351698E-3</v>
      </c>
      <c r="N168" s="18"/>
      <c r="O168" s="20">
        <v>6.8305396011185404E-3</v>
      </c>
      <c r="P168" s="18"/>
      <c r="Q168" s="20">
        <v>7.0517351273695599E-4</v>
      </c>
      <c r="R168" s="18"/>
      <c r="S168" s="20">
        <v>5.1780066903565698E-5</v>
      </c>
      <c r="T168" s="18"/>
      <c r="U168" s="20">
        <v>5.1114126422483895E-4</v>
      </c>
      <c r="V168" s="18"/>
      <c r="W168" s="20">
        <v>-9.2689468999361292E-3</v>
      </c>
      <c r="X168" s="18"/>
      <c r="Y168" s="20">
        <v>-1.52633607832314E-4</v>
      </c>
      <c r="Z168" s="18"/>
      <c r="AA168" s="20">
        <v>1.15975458143973E-3</v>
      </c>
      <c r="AB168" s="18"/>
      <c r="AC168" s="20">
        <v>-1.7960709370821199E-5</v>
      </c>
      <c r="AD168" s="18"/>
      <c r="AE168" s="20">
        <v>1.2314384335704E-4</v>
      </c>
      <c r="AF168" s="18"/>
      <c r="AG168" s="20">
        <v>-6.6129671919491501E-4</v>
      </c>
      <c r="AH168" s="18"/>
      <c r="AI168" s="20">
        <v>-1.0520894870135601E-3</v>
      </c>
      <c r="AJ168" s="18"/>
      <c r="AK168" s="20">
        <v>1.9982176025722901E-4</v>
      </c>
      <c r="AL168" s="18"/>
      <c r="AM168" s="20">
        <v>5.49422898926589E-3</v>
      </c>
      <c r="AN168" s="18"/>
      <c r="AO168" s="20">
        <v>7.5348901450693697E-4</v>
      </c>
      <c r="AP168" s="18"/>
      <c r="AQ168" s="20">
        <v>-1.30614693403524E-4</v>
      </c>
      <c r="AR168" s="18"/>
      <c r="AS168" s="20">
        <v>2.9843187147689E-3</v>
      </c>
      <c r="AT168" s="18"/>
      <c r="AU168" s="20">
        <v>-2.02734207590015E-3</v>
      </c>
      <c r="AV168" s="18"/>
      <c r="AW168" s="20">
        <v>6.8694850353165696E-4</v>
      </c>
      <c r="AX168" s="18"/>
      <c r="AY168" s="20">
        <v>1.15146500519927E-4</v>
      </c>
      <c r="AZ168" s="18"/>
      <c r="BA168" s="20">
        <v>-6.9740192752216405E-4</v>
      </c>
      <c r="BB168" s="18"/>
      <c r="BC168" s="20">
        <v>-4.7428413848667401E-4</v>
      </c>
      <c r="BD168" s="18"/>
      <c r="BE168" s="20">
        <v>-2.7193665428387802E-4</v>
      </c>
      <c r="BF168" s="18"/>
      <c r="BG168" s="20"/>
      <c r="BH168" s="18"/>
    </row>
    <row r="169" spans="1:60" x14ac:dyDescent="0.2">
      <c r="A169" s="16">
        <v>2019</v>
      </c>
      <c r="B169" s="16">
        <v>2</v>
      </c>
      <c r="C169" s="20"/>
      <c r="D169" s="18"/>
      <c r="E169" s="20">
        <v>4.6170014761791299E-3</v>
      </c>
      <c r="F169" s="18"/>
      <c r="G169" s="20">
        <v>-1.81933631982969E-4</v>
      </c>
      <c r="H169" s="18"/>
      <c r="I169" s="20">
        <v>-3.2648006321186402E-5</v>
      </c>
      <c r="J169" s="18"/>
      <c r="K169" s="20">
        <v>9.5998904826195101E-3</v>
      </c>
      <c r="L169" s="18"/>
      <c r="M169" s="20">
        <v>5.8562232824679204E-3</v>
      </c>
      <c r="N169" s="18"/>
      <c r="O169" s="20">
        <v>3.7784343563877902E-3</v>
      </c>
      <c r="P169" s="18"/>
      <c r="Q169" s="20">
        <v>-8.2647814770608603E-4</v>
      </c>
      <c r="R169" s="18"/>
      <c r="S169" s="20">
        <v>-1.7576280448258099E-4</v>
      </c>
      <c r="T169" s="18"/>
      <c r="U169" s="20">
        <v>2.7792896239982102E-5</v>
      </c>
      <c r="V169" s="18"/>
      <c r="W169" s="20">
        <v>-6.9123666718865001E-3</v>
      </c>
      <c r="X169" s="18"/>
      <c r="Y169" s="20">
        <v>4.56629380230873E-4</v>
      </c>
      <c r="Z169" s="18"/>
      <c r="AA169" s="20">
        <v>1.52909590372723E-3</v>
      </c>
      <c r="AB169" s="18"/>
      <c r="AC169" s="20">
        <v>2.6503197422296499E-4</v>
      </c>
      <c r="AD169" s="18"/>
      <c r="AE169" s="20">
        <v>-1.5777292975884501E-4</v>
      </c>
      <c r="AF169" s="18"/>
      <c r="AG169" s="20">
        <v>-8.8844991370005098E-4</v>
      </c>
      <c r="AH169" s="18"/>
      <c r="AI169" s="20">
        <v>-7.9322200604123002E-4</v>
      </c>
      <c r="AJ169" s="18"/>
      <c r="AK169" s="20">
        <v>-1.15550998692208E-4</v>
      </c>
      <c r="AL169" s="18"/>
      <c r="AM169" s="20">
        <v>2.8593308260553099E-3</v>
      </c>
      <c r="AN169" s="18"/>
      <c r="AO169" s="20">
        <v>8.0597230576754796E-4</v>
      </c>
      <c r="AP169" s="18"/>
      <c r="AQ169" s="20">
        <v>-1.7203410241133801E-4</v>
      </c>
      <c r="AR169" s="18"/>
      <c r="AS169" s="20">
        <v>3.1258940420312701E-3</v>
      </c>
      <c r="AT169" s="18"/>
      <c r="AU169" s="20">
        <v>-4.87967181487153E-3</v>
      </c>
      <c r="AV169" s="18"/>
      <c r="AW169" s="20">
        <v>5.5280470879013699E-4</v>
      </c>
      <c r="AX169" s="18"/>
      <c r="AY169" s="20">
        <v>1.09120513003922E-4</v>
      </c>
      <c r="AZ169" s="18"/>
      <c r="BA169" s="20">
        <v>-5.41771852048761E-4</v>
      </c>
      <c r="BB169" s="18"/>
      <c r="BC169" s="20">
        <v>-2.38831928949402E-4</v>
      </c>
      <c r="BD169" s="18"/>
      <c r="BE169" s="20">
        <v>-2.79840495294228E-4</v>
      </c>
      <c r="BF169" s="18"/>
      <c r="BG169" s="20"/>
      <c r="BH169" s="18"/>
    </row>
    <row r="170" spans="1:60" x14ac:dyDescent="0.2">
      <c r="A170" s="16">
        <v>2019</v>
      </c>
      <c r="B170" s="16">
        <v>3</v>
      </c>
      <c r="C170" s="20"/>
      <c r="D170" s="18"/>
      <c r="E170" s="20">
        <v>1.53256393955736E-2</v>
      </c>
      <c r="F170" s="18"/>
      <c r="G170" s="20">
        <v>-2.4653221056462101E-4</v>
      </c>
      <c r="H170" s="18"/>
      <c r="I170" s="20">
        <v>-3.6484914630186602E-5</v>
      </c>
      <c r="J170" s="18"/>
      <c r="K170" s="20">
        <v>1.4091922203612601E-2</v>
      </c>
      <c r="L170" s="18"/>
      <c r="M170" s="20">
        <v>8.8230356786704305E-3</v>
      </c>
      <c r="N170" s="18"/>
      <c r="O170" s="20">
        <v>5.2513448145200502E-3</v>
      </c>
      <c r="P170" s="18"/>
      <c r="Q170" s="20">
        <v>1.6958268803824101E-3</v>
      </c>
      <c r="R170" s="18"/>
      <c r="S170" s="20">
        <v>-2.05166575492767E-4</v>
      </c>
      <c r="T170" s="18"/>
      <c r="U170" s="20">
        <v>-1.31950570771667E-4</v>
      </c>
      <c r="V170" s="18"/>
      <c r="W170" s="20">
        <v>-3.3233143423474E-3</v>
      </c>
      <c r="X170" s="18"/>
      <c r="Y170" s="20">
        <v>6.3700872070457598E-4</v>
      </c>
      <c r="Z170" s="18"/>
      <c r="AA170" s="20">
        <v>1.5902373231083699E-3</v>
      </c>
      <c r="AB170" s="18"/>
      <c r="AC170" s="20">
        <v>1.2793897211753401E-4</v>
      </c>
      <c r="AD170" s="18"/>
      <c r="AE170" s="20">
        <v>9.99911211414378E-4</v>
      </c>
      <c r="AF170" s="18"/>
      <c r="AG170" s="20">
        <v>-3.0476040679184999E-4</v>
      </c>
      <c r="AH170" s="18"/>
      <c r="AI170" s="20">
        <v>-2.1163138784997201E-5</v>
      </c>
      <c r="AJ170" s="18"/>
      <c r="AK170" s="20">
        <v>-7.7717680602087006E-5</v>
      </c>
      <c r="AL170" s="18"/>
      <c r="AM170" s="20">
        <v>1.22266267896546E-3</v>
      </c>
      <c r="AN170" s="18"/>
      <c r="AO170" s="20">
        <v>1.13361935577551E-3</v>
      </c>
      <c r="AP170" s="18"/>
      <c r="AQ170" s="20">
        <v>-2.7323696100296899E-4</v>
      </c>
      <c r="AR170" s="18"/>
      <c r="AS170" s="20">
        <v>1.9621056825336598E-3</v>
      </c>
      <c r="AT170" s="18"/>
      <c r="AU170" s="20">
        <v>-2.7965313848027102E-3</v>
      </c>
      <c r="AV170" s="18"/>
      <c r="AW170" s="20">
        <v>-2.1565214693041901E-6</v>
      </c>
      <c r="AX170" s="18"/>
      <c r="AY170" s="20">
        <v>8.9069163258624498E-5</v>
      </c>
      <c r="AZ170" s="18"/>
      <c r="BA170" s="20">
        <v>1.4020688664373001E-4</v>
      </c>
      <c r="BB170" s="18"/>
      <c r="BC170" s="20">
        <v>5.0202168019483097E-4</v>
      </c>
      <c r="BD170" s="18"/>
      <c r="BE170" s="20">
        <v>-3.53277337112261E-4</v>
      </c>
      <c r="BF170" s="18"/>
      <c r="BG170" s="20"/>
      <c r="BH170" s="18"/>
    </row>
    <row r="171" spans="1:60" x14ac:dyDescent="0.2">
      <c r="A171" s="16">
        <v>2019</v>
      </c>
      <c r="B171" s="16">
        <v>4</v>
      </c>
      <c r="C171" s="20"/>
      <c r="D171" s="18"/>
      <c r="E171" s="20">
        <v>1.3145670311143699E-2</v>
      </c>
      <c r="F171" s="18"/>
      <c r="G171" s="20">
        <v>-2.1883402376614099E-4</v>
      </c>
      <c r="H171" s="18"/>
      <c r="I171" s="20">
        <v>-4.7386539966933298E-5</v>
      </c>
      <c r="J171" s="18"/>
      <c r="K171" s="20">
        <v>2.6300897339294701E-3</v>
      </c>
      <c r="L171" s="18"/>
      <c r="M171" s="20">
        <v>4.0166787854236299E-3</v>
      </c>
      <c r="N171" s="18"/>
      <c r="O171" s="20">
        <v>-1.4526448063034499E-3</v>
      </c>
      <c r="P171" s="18"/>
      <c r="Q171" s="20">
        <v>1.3307074425020801E-3</v>
      </c>
      <c r="R171" s="18"/>
      <c r="S171" s="20">
        <v>-1.5855699922072099E-4</v>
      </c>
      <c r="T171" s="18"/>
      <c r="U171" s="20">
        <v>6.5586817343735605E-4</v>
      </c>
      <c r="V171" s="18"/>
      <c r="W171" s="20">
        <v>-9.7019682349388104E-4</v>
      </c>
      <c r="X171" s="18"/>
      <c r="Y171" s="20">
        <v>3.2051750039455298E-4</v>
      </c>
      <c r="Z171" s="18"/>
      <c r="AA171" s="20">
        <v>1.5753659406486E-3</v>
      </c>
      <c r="AB171" s="18"/>
      <c r="AC171" s="20">
        <v>7.9198115034574397E-4</v>
      </c>
      <c r="AD171" s="18"/>
      <c r="AE171" s="20">
        <v>1.0192973136670001E-3</v>
      </c>
      <c r="AF171" s="18"/>
      <c r="AG171" s="20">
        <v>4.0989658418405196E-3</v>
      </c>
      <c r="AH171" s="18"/>
      <c r="AI171" s="20">
        <v>3.42101836885621E-3</v>
      </c>
      <c r="AJ171" s="18"/>
      <c r="AK171" s="20">
        <v>3.0809681985942102E-4</v>
      </c>
      <c r="AL171" s="18"/>
      <c r="AM171" s="20">
        <v>1.2256891153653901E-3</v>
      </c>
      <c r="AN171" s="18"/>
      <c r="AO171" s="20">
        <v>1.3707643269392799E-3</v>
      </c>
      <c r="AP171" s="18"/>
      <c r="AQ171" s="20">
        <v>-9.6760691470649594E-6</v>
      </c>
      <c r="AR171" s="18"/>
      <c r="AS171" s="20">
        <v>8.6379401333645496E-4</v>
      </c>
      <c r="AT171" s="18"/>
      <c r="AU171" s="20">
        <v>-1.01691486319806E-3</v>
      </c>
      <c r="AV171" s="18"/>
      <c r="AW171" s="20">
        <v>-2.1594017835711699E-4</v>
      </c>
      <c r="AX171" s="18"/>
      <c r="AY171" s="20">
        <v>4.6593673205657201E-5</v>
      </c>
      <c r="AZ171" s="18"/>
      <c r="BA171" s="20">
        <v>1.07939236484878E-4</v>
      </c>
      <c r="BB171" s="18"/>
      <c r="BC171" s="20">
        <v>5.3592516582331203E-4</v>
      </c>
      <c r="BD171" s="18"/>
      <c r="BE171" s="20">
        <v>-4.3129444380262001E-4</v>
      </c>
      <c r="BF171" s="18"/>
      <c r="BG171" s="20"/>
      <c r="BH171" s="18"/>
    </row>
    <row r="172" spans="1:60" x14ac:dyDescent="0.2">
      <c r="A172" s="16">
        <v>2020</v>
      </c>
      <c r="B172" s="16">
        <v>1</v>
      </c>
      <c r="C172" s="20"/>
      <c r="D172" s="18"/>
      <c r="E172" s="20">
        <v>8.5138595705421005E-4</v>
      </c>
      <c r="F172" s="18"/>
      <c r="G172" s="20">
        <v>-6.6241573230900604E-5</v>
      </c>
      <c r="H172" s="18"/>
      <c r="I172" s="20">
        <v>-3.1359745272485302E-5</v>
      </c>
      <c r="J172" s="18"/>
      <c r="K172" s="20">
        <v>-2.0587216939966699E-4</v>
      </c>
      <c r="L172" s="18"/>
      <c r="M172" s="20">
        <v>6.32313595599031E-3</v>
      </c>
      <c r="N172" s="18"/>
      <c r="O172" s="20">
        <v>-6.3953186253378402E-3</v>
      </c>
      <c r="P172" s="18"/>
      <c r="Q172" s="20">
        <v>2.70911607635527E-4</v>
      </c>
      <c r="R172" s="18"/>
      <c r="S172" s="20">
        <v>4.1831792633112303E-5</v>
      </c>
      <c r="T172" s="18"/>
      <c r="U172" s="20">
        <v>-9.4892720175691E-5</v>
      </c>
      <c r="V172" s="18"/>
      <c r="W172" s="20">
        <v>2.26060576842518E-3</v>
      </c>
      <c r="X172" s="18"/>
      <c r="Y172" s="20">
        <v>-8.2484521447349099E-4</v>
      </c>
      <c r="Z172" s="18"/>
      <c r="AA172" s="20">
        <v>-2.6511771766098602E-3</v>
      </c>
      <c r="AB172" s="18"/>
      <c r="AC172" s="20">
        <v>-3.2274543755913998E-3</v>
      </c>
      <c r="AD172" s="18"/>
      <c r="AE172" s="20">
        <v>6.9408279574746505E-4</v>
      </c>
      <c r="AF172" s="18"/>
      <c r="AG172" s="20">
        <v>6.2446451219356196E-3</v>
      </c>
      <c r="AH172" s="18"/>
      <c r="AI172" s="20">
        <v>4.41415727607135E-3</v>
      </c>
      <c r="AJ172" s="18"/>
      <c r="AK172" s="20">
        <v>1.0508997394129799E-3</v>
      </c>
      <c r="AL172" s="18"/>
      <c r="AM172" s="20">
        <v>-2.20698709890818E-4</v>
      </c>
      <c r="AN172" s="18"/>
      <c r="AO172" s="20">
        <v>1.9598872729246E-3</v>
      </c>
      <c r="AP172" s="18"/>
      <c r="AQ172" s="20">
        <v>7.0918672157492795E-4</v>
      </c>
      <c r="AR172" s="18"/>
      <c r="AS172" s="20">
        <v>-1.7569745130030501E-3</v>
      </c>
      <c r="AT172" s="18"/>
      <c r="AU172" s="20">
        <v>-1.42364999939435E-3</v>
      </c>
      <c r="AV172" s="18"/>
      <c r="AW172" s="20">
        <v>-1.2889796892177499E-3</v>
      </c>
      <c r="AX172" s="18"/>
      <c r="AY172" s="20">
        <v>-2.2903963195921399E-4</v>
      </c>
      <c r="AZ172" s="18"/>
      <c r="BA172" s="20">
        <v>-8.8159351267956304E-4</v>
      </c>
      <c r="BB172" s="18"/>
      <c r="BC172" s="20">
        <v>1.3208746237463299E-4</v>
      </c>
      <c r="BD172" s="18"/>
      <c r="BE172" s="20">
        <v>-9.3354909663989204E-4</v>
      </c>
      <c r="BF172" s="18"/>
      <c r="BG172" s="20"/>
      <c r="BH172" s="18"/>
    </row>
    <row r="173" spans="1:60" x14ac:dyDescent="0.2">
      <c r="A173" s="16">
        <v>2020</v>
      </c>
      <c r="B173" s="16">
        <v>2</v>
      </c>
      <c r="C173" s="20"/>
      <c r="D173" s="18"/>
      <c r="E173" s="20">
        <v>-6.6128256395021706E-2</v>
      </c>
      <c r="F173" s="18"/>
      <c r="G173" s="20">
        <v>-2.0248848406244099E-5</v>
      </c>
      <c r="H173" s="18"/>
      <c r="I173" s="20">
        <v>-1.9769407670867499E-5</v>
      </c>
      <c r="J173" s="18"/>
      <c r="K173" s="20">
        <v>-2.0891334661544199E-2</v>
      </c>
      <c r="L173" s="18"/>
      <c r="M173" s="20">
        <v>4.9089823816652898E-3</v>
      </c>
      <c r="N173" s="18"/>
      <c r="O173" s="20">
        <v>-2.5670465454607199E-2</v>
      </c>
      <c r="P173" s="18"/>
      <c r="Q173" s="20">
        <v>-6.2009261699891901E-4</v>
      </c>
      <c r="R173" s="18"/>
      <c r="S173" s="20">
        <v>3.03091143116444E-4</v>
      </c>
      <c r="T173" s="18"/>
      <c r="U173" s="20">
        <v>-3.5351658368874802E-3</v>
      </c>
      <c r="V173" s="18"/>
      <c r="W173" s="20">
        <v>-2.04725388116197E-3</v>
      </c>
      <c r="X173" s="18"/>
      <c r="Y173" s="20">
        <v>-1.80337941493128E-3</v>
      </c>
      <c r="Z173" s="18"/>
      <c r="AA173" s="20">
        <v>-1.0812992996569E-2</v>
      </c>
      <c r="AB173" s="18"/>
      <c r="AC173" s="20">
        <v>-1.39443531965481E-2</v>
      </c>
      <c r="AD173" s="18"/>
      <c r="AE173" s="20">
        <v>3.5075131381832799E-4</v>
      </c>
      <c r="AF173" s="18"/>
      <c r="AG173" s="20">
        <v>3.8867722875204399E-3</v>
      </c>
      <c r="AH173" s="18"/>
      <c r="AI173" s="20">
        <v>2.23085416757959E-3</v>
      </c>
      <c r="AJ173" s="18"/>
      <c r="AK173" s="20">
        <v>1.0771678523626E-3</v>
      </c>
      <c r="AL173" s="18"/>
      <c r="AM173" s="20">
        <v>-8.4561699139655295E-3</v>
      </c>
      <c r="AN173" s="18"/>
      <c r="AO173" s="20">
        <v>1.7409245122369701E-3</v>
      </c>
      <c r="AP173" s="18"/>
      <c r="AQ173" s="20">
        <v>-4.1945994474895898E-4</v>
      </c>
      <c r="AR173" s="18"/>
      <c r="AS173" s="20">
        <v>-4.1567929324217504E-3</v>
      </c>
      <c r="AT173" s="18"/>
      <c r="AU173" s="20">
        <v>-3.7011067329345399E-3</v>
      </c>
      <c r="AV173" s="18"/>
      <c r="AW173" s="20">
        <v>-2.4439460977182101E-3</v>
      </c>
      <c r="AX173" s="18"/>
      <c r="AY173" s="20">
        <v>-1.10952937378254E-3</v>
      </c>
      <c r="AZ173" s="18"/>
      <c r="BA173" s="20">
        <v>-3.4137148252011201E-3</v>
      </c>
      <c r="BB173" s="18"/>
      <c r="BC173" s="20">
        <v>-2.6888267734439001E-3</v>
      </c>
      <c r="BD173" s="18"/>
      <c r="BE173" s="20">
        <v>-7.8751843114504704E-4</v>
      </c>
      <c r="BF173" s="18"/>
      <c r="BG173" s="20"/>
      <c r="BH173" s="18"/>
    </row>
    <row r="174" spans="1:60" x14ac:dyDescent="0.2">
      <c r="A174" s="16">
        <v>2020</v>
      </c>
      <c r="B174" s="16">
        <v>3</v>
      </c>
      <c r="C174" s="20"/>
      <c r="D174" s="18"/>
      <c r="E174" s="20">
        <v>-1.2729952191240901E-2</v>
      </c>
      <c r="F174" s="18"/>
      <c r="G174" s="20">
        <v>-4.2011157646981103E-5</v>
      </c>
      <c r="H174" s="18"/>
      <c r="I174" s="20">
        <v>-1.2280586822543499E-5</v>
      </c>
      <c r="J174" s="18"/>
      <c r="K174" s="20">
        <v>-8.6217185418864303E-3</v>
      </c>
      <c r="L174" s="18"/>
      <c r="M174" s="20">
        <v>2.3770537682446801E-4</v>
      </c>
      <c r="N174" s="18"/>
      <c r="O174" s="20">
        <v>-8.7755689923603893E-3</v>
      </c>
      <c r="P174" s="18"/>
      <c r="Q174" s="20">
        <v>-2.6106865179592498E-3</v>
      </c>
      <c r="R174" s="18"/>
      <c r="S174" s="20">
        <v>3.3464553268187599E-4</v>
      </c>
      <c r="T174" s="18"/>
      <c r="U174" s="20">
        <v>-7.8049458628963797E-5</v>
      </c>
      <c r="V174" s="18"/>
      <c r="W174" s="20">
        <v>6.1765347373570799E-3</v>
      </c>
      <c r="X174" s="18"/>
      <c r="Y174" s="20">
        <v>-9.5544798473085504E-6</v>
      </c>
      <c r="Z174" s="18"/>
      <c r="AA174" s="20">
        <v>-5.8018225390564998E-3</v>
      </c>
      <c r="AB174" s="18"/>
      <c r="AC174" s="20">
        <v>-5.8429278183300499E-3</v>
      </c>
      <c r="AD174" s="18"/>
      <c r="AE174" s="20">
        <v>1.5214323635312E-4</v>
      </c>
      <c r="AF174" s="18"/>
      <c r="AG174" s="20">
        <v>4.3580515806644696E-3</v>
      </c>
      <c r="AH174" s="18"/>
      <c r="AI174" s="20">
        <v>2.9080770853422999E-3</v>
      </c>
      <c r="AJ174" s="18"/>
      <c r="AK174" s="20">
        <v>4.76391174615852E-4</v>
      </c>
      <c r="AL174" s="18"/>
      <c r="AM174" s="20">
        <v>2.6146576846908102E-4</v>
      </c>
      <c r="AN174" s="18"/>
      <c r="AO174" s="20">
        <v>1.3387018227179099E-3</v>
      </c>
      <c r="AP174" s="18"/>
      <c r="AQ174" s="20">
        <v>2.1269102515968701E-4</v>
      </c>
      <c r="AR174" s="18"/>
      <c r="AS174" s="20">
        <v>1.05514333924456E-4</v>
      </c>
      <c r="AT174" s="18"/>
      <c r="AU174" s="20">
        <v>-1.8842597448020301E-3</v>
      </c>
      <c r="AV174" s="18"/>
      <c r="AW174" s="20">
        <v>-6.6254637269842298E-4</v>
      </c>
      <c r="AX174" s="18"/>
      <c r="AY174" s="20">
        <v>-3.6112188905542802E-4</v>
      </c>
      <c r="AZ174" s="18"/>
      <c r="BA174" s="20">
        <v>-1.3529943281348901E-3</v>
      </c>
      <c r="BB174" s="18"/>
      <c r="BC174" s="20">
        <v>-6.0754611327387003E-4</v>
      </c>
      <c r="BD174" s="18"/>
      <c r="BE174" s="20">
        <v>-7.7346802548604397E-4</v>
      </c>
      <c r="BF174" s="18"/>
      <c r="BG174" s="20"/>
      <c r="BH174" s="18"/>
    </row>
    <row r="175" spans="1:60" x14ac:dyDescent="0.2">
      <c r="A175" s="16">
        <v>2020</v>
      </c>
      <c r="B175" s="16">
        <v>4</v>
      </c>
      <c r="C175" s="20"/>
      <c r="D175" s="18"/>
      <c r="E175" s="20">
        <v>-5.46888860968013E-3</v>
      </c>
      <c r="F175" s="18"/>
      <c r="G175" s="20">
        <v>-1.5897668301694101E-4</v>
      </c>
      <c r="H175" s="18"/>
      <c r="I175" s="20">
        <v>-1.5832034622054701E-5</v>
      </c>
      <c r="J175" s="18"/>
      <c r="K175" s="20">
        <v>3.1264111719192301E-3</v>
      </c>
      <c r="L175" s="18"/>
      <c r="M175" s="20">
        <v>4.8809560854600901E-3</v>
      </c>
      <c r="N175" s="18"/>
      <c r="O175" s="20">
        <v>-1.9045197781224999E-3</v>
      </c>
      <c r="P175" s="18"/>
      <c r="Q175" s="20">
        <v>-2.22729590111008E-3</v>
      </c>
      <c r="R175" s="18"/>
      <c r="S175" s="20">
        <v>1.49735421932915E-4</v>
      </c>
      <c r="T175" s="18"/>
      <c r="U175" s="20">
        <v>-2.8681672570210199E-4</v>
      </c>
      <c r="V175" s="18"/>
      <c r="W175" s="20">
        <v>1.15140003747938E-3</v>
      </c>
      <c r="X175" s="18"/>
      <c r="Y175" s="20">
        <v>6.8460847641550705E-4</v>
      </c>
      <c r="Z175" s="18"/>
      <c r="AA175" s="20">
        <v>-5.7581961300118903E-3</v>
      </c>
      <c r="AB175" s="18"/>
      <c r="AC175" s="20">
        <v>-8.5279289322483902E-3</v>
      </c>
      <c r="AD175" s="18"/>
      <c r="AE175" s="20">
        <v>2.7584202899014298E-3</v>
      </c>
      <c r="AF175" s="18"/>
      <c r="AG175" s="20">
        <v>3.01759448611362E-3</v>
      </c>
      <c r="AH175" s="18"/>
      <c r="AI175" s="20">
        <v>2.8020459314628998E-3</v>
      </c>
      <c r="AJ175" s="18"/>
      <c r="AK175" s="20">
        <v>-7.22701452359329E-4</v>
      </c>
      <c r="AL175" s="18"/>
      <c r="AM175" s="20">
        <v>1.3344380801573099E-3</v>
      </c>
      <c r="AN175" s="18"/>
      <c r="AO175" s="20">
        <v>1.1130490578901799E-3</v>
      </c>
      <c r="AP175" s="18"/>
      <c r="AQ175" s="20">
        <v>1.62066785485112E-4</v>
      </c>
      <c r="AR175" s="18"/>
      <c r="AS175" s="20">
        <v>1.2876291956981599E-3</v>
      </c>
      <c r="AT175" s="18"/>
      <c r="AU175" s="20">
        <v>-1.7258498981152701E-3</v>
      </c>
      <c r="AV175" s="18"/>
      <c r="AW175" s="20">
        <v>-4.0319752852433502E-4</v>
      </c>
      <c r="AX175" s="18"/>
      <c r="AY175" s="20">
        <v>-3.6191364486426502E-4</v>
      </c>
      <c r="AZ175" s="18"/>
      <c r="BA175" s="20">
        <v>-1.09967113849926E-3</v>
      </c>
      <c r="BB175" s="18"/>
      <c r="BC175" s="20">
        <v>-5.5876086778248102E-4</v>
      </c>
      <c r="BD175" s="18"/>
      <c r="BE175" s="20">
        <v>-5.6526666580262596E-4</v>
      </c>
      <c r="BF175" s="18"/>
      <c r="BG175" s="20"/>
      <c r="BH175" s="18"/>
    </row>
    <row r="176" spans="1:60" x14ac:dyDescent="0.2">
      <c r="A176" s="16">
        <v>2021</v>
      </c>
      <c r="B176" s="16">
        <v>1</v>
      </c>
      <c r="C176" s="20"/>
      <c r="D176" s="18"/>
      <c r="E176" s="20">
        <v>1.0927998838404399E-2</v>
      </c>
      <c r="F176" s="18"/>
      <c r="G176" s="20">
        <v>-5.4555288310638005E-4</v>
      </c>
      <c r="H176" s="18"/>
      <c r="I176" s="20">
        <v>-2.2830862180057E-5</v>
      </c>
      <c r="J176" s="18"/>
      <c r="K176" s="20">
        <v>2.1714619027439899E-2</v>
      </c>
      <c r="L176" s="18"/>
      <c r="M176" s="20">
        <v>1.26401371016054E-2</v>
      </c>
      <c r="N176" s="18"/>
      <c r="O176" s="20">
        <v>9.09866726577091E-3</v>
      </c>
      <c r="P176" s="18"/>
      <c r="Q176" s="20">
        <v>-2.77786991981322E-3</v>
      </c>
      <c r="R176" s="18"/>
      <c r="S176" s="20">
        <v>-5.4465061716844601E-5</v>
      </c>
      <c r="T176" s="18"/>
      <c r="U176" s="20">
        <v>2.7022438007940697E-4</v>
      </c>
      <c r="V176" s="18"/>
      <c r="W176" s="20">
        <v>-6.9417027377974604E-3</v>
      </c>
      <c r="X176" s="18"/>
      <c r="Y176" s="20">
        <v>9.1464202062466204E-4</v>
      </c>
      <c r="Z176" s="18"/>
      <c r="AA176" s="20">
        <v>-4.0569920881370599E-3</v>
      </c>
      <c r="AB176" s="18"/>
      <c r="AC176" s="20">
        <v>-1.0552676809864299E-2</v>
      </c>
      <c r="AD176" s="18"/>
      <c r="AE176" s="20">
        <v>2.8846850292957899E-3</v>
      </c>
      <c r="AF176" s="18"/>
      <c r="AG176" s="20">
        <v>2.9757660742220798E-3</v>
      </c>
      <c r="AH176" s="18"/>
      <c r="AI176" s="20">
        <v>4.3050883183401601E-3</v>
      </c>
      <c r="AJ176" s="18"/>
      <c r="AK176" s="20">
        <v>-2.5855733372764401E-3</v>
      </c>
      <c r="AL176" s="18"/>
      <c r="AM176" s="20">
        <v>4.04887680038856E-3</v>
      </c>
      <c r="AN176" s="18"/>
      <c r="AO176" s="20">
        <v>7.6580633198940803E-4</v>
      </c>
      <c r="AP176" s="18"/>
      <c r="AQ176" s="20">
        <v>-3.05961652148223E-4</v>
      </c>
      <c r="AR176" s="18"/>
      <c r="AS176" s="20">
        <v>3.2678184741835401E-3</v>
      </c>
      <c r="AT176" s="18"/>
      <c r="AU176" s="20">
        <v>8.4797190890478603E-5</v>
      </c>
      <c r="AV176" s="18"/>
      <c r="AW176" s="20">
        <v>4.4147801362629901E-4</v>
      </c>
      <c r="AX176" s="18"/>
      <c r="AY176" s="20">
        <v>-3.72769256585893E-4</v>
      </c>
      <c r="AZ176" s="18"/>
      <c r="BA176" s="20">
        <v>-7.9911859026363899E-4</v>
      </c>
      <c r="BB176" s="18"/>
      <c r="BC176" s="20">
        <v>-3.6048864233103798E-4</v>
      </c>
      <c r="BD176" s="18"/>
      <c r="BE176" s="20">
        <v>-4.0003497810984102E-4</v>
      </c>
      <c r="BF176" s="18"/>
      <c r="BG176" s="20"/>
      <c r="BH176" s="18"/>
    </row>
    <row r="177" spans="1:60" x14ac:dyDescent="0.2">
      <c r="A177" s="16">
        <v>2021</v>
      </c>
      <c r="B177" s="16">
        <v>2</v>
      </c>
      <c r="C177" s="20"/>
      <c r="D177" s="18"/>
      <c r="E177" s="20">
        <v>0.107912519893769</v>
      </c>
      <c r="F177" s="18"/>
      <c r="G177" s="20">
        <v>-6.1593409060780202E-4</v>
      </c>
      <c r="H177" s="18"/>
      <c r="I177" s="20">
        <v>-1.49697317097626E-5</v>
      </c>
      <c r="J177" s="18"/>
      <c r="K177" s="20">
        <v>5.5380572800768503E-2</v>
      </c>
      <c r="L177" s="18"/>
      <c r="M177" s="20">
        <v>2.13103501721729E-2</v>
      </c>
      <c r="N177" s="18"/>
      <c r="O177" s="20">
        <v>3.4569028704317599E-2</v>
      </c>
      <c r="P177" s="18"/>
      <c r="Q177" s="20">
        <v>-3.43116848923852E-3</v>
      </c>
      <c r="R177" s="18"/>
      <c r="S177" s="20">
        <v>-2.2753707343699101E-4</v>
      </c>
      <c r="T177" s="18"/>
      <c r="U177" s="20">
        <v>4.3314154113318097E-3</v>
      </c>
      <c r="V177" s="18"/>
      <c r="W177" s="20">
        <v>-3.5226411664268402E-3</v>
      </c>
      <c r="X177" s="18"/>
      <c r="Y177" s="20">
        <v>3.5688748148163698E-3</v>
      </c>
      <c r="Z177" s="18"/>
      <c r="AA177" s="20">
        <v>6.4793603281952401E-3</v>
      </c>
      <c r="AB177" s="18"/>
      <c r="AC177" s="20">
        <v>4.4201333796782798E-3</v>
      </c>
      <c r="AD177" s="18"/>
      <c r="AE177" s="20">
        <v>3.0620248337220502E-3</v>
      </c>
      <c r="AF177" s="18"/>
      <c r="AG177" s="20">
        <v>6.7603942360898997E-3</v>
      </c>
      <c r="AH177" s="18"/>
      <c r="AI177" s="20">
        <v>7.7606846944757099E-3</v>
      </c>
      <c r="AJ177" s="18"/>
      <c r="AK177" s="20">
        <v>-3.2840247182998601E-3</v>
      </c>
      <c r="AL177" s="18"/>
      <c r="AM177" s="20">
        <v>1.8364871311119899E-2</v>
      </c>
      <c r="AN177" s="18"/>
      <c r="AO177" s="20">
        <v>6.0972823356583998E-4</v>
      </c>
      <c r="AP177" s="18"/>
      <c r="AQ177" s="20">
        <v>6.4654864968211002E-4</v>
      </c>
      <c r="AR177" s="18"/>
      <c r="AS177" s="20">
        <v>7.9447250683174295E-3</v>
      </c>
      <c r="AT177" s="18"/>
      <c r="AU177" s="20">
        <v>5.6890403662790898E-3</v>
      </c>
      <c r="AV177" s="18"/>
      <c r="AW177" s="20">
        <v>2.4144667945530402E-3</v>
      </c>
      <c r="AX177" s="18"/>
      <c r="AY177" s="20">
        <v>8.29882738214663E-4</v>
      </c>
      <c r="AZ177" s="18"/>
      <c r="BA177" s="20">
        <v>3.1644213751143599E-3</v>
      </c>
      <c r="BB177" s="18"/>
      <c r="BC177" s="20">
        <v>3.4675918010313601E-3</v>
      </c>
      <c r="BD177" s="18"/>
      <c r="BE177" s="20">
        <v>-2.7623682655742398E-4</v>
      </c>
      <c r="BF177" s="18"/>
      <c r="BG177" s="20"/>
      <c r="BH177" s="18"/>
    </row>
    <row r="178" spans="1:60" x14ac:dyDescent="0.2">
      <c r="A178" s="16">
        <v>2021</v>
      </c>
      <c r="B178" s="16">
        <v>3</v>
      </c>
      <c r="C178" s="20"/>
      <c r="D178" s="18"/>
      <c r="E178" s="20">
        <v>6.52421675899863E-2</v>
      </c>
      <c r="F178" s="18"/>
      <c r="G178" s="20">
        <v>-4.4858743432520299E-4</v>
      </c>
      <c r="H178" s="18"/>
      <c r="I178" s="20">
        <v>-3.1054983768946999E-5</v>
      </c>
      <c r="J178" s="18"/>
      <c r="K178" s="20">
        <v>4.5553979345128802E-2</v>
      </c>
      <c r="L178" s="18"/>
      <c r="M178" s="20">
        <v>2.6960598193888002E-2</v>
      </c>
      <c r="N178" s="18"/>
      <c r="O178" s="20">
        <v>1.84672615653446E-2</v>
      </c>
      <c r="P178" s="18"/>
      <c r="Q178" s="20">
        <v>-2.04659710600677E-3</v>
      </c>
      <c r="R178" s="18"/>
      <c r="S178" s="20">
        <v>-2.8234154555109998E-4</v>
      </c>
      <c r="T178" s="18"/>
      <c r="U178" s="20">
        <v>7.1766300910088704E-4</v>
      </c>
      <c r="V178" s="18"/>
      <c r="W178" s="20">
        <v>-1.8679981685161499E-2</v>
      </c>
      <c r="X178" s="18"/>
      <c r="Y178" s="20">
        <v>5.7304818572977395E-4</v>
      </c>
      <c r="Z178" s="18"/>
      <c r="AA178" s="20">
        <v>3.7681431536492299E-3</v>
      </c>
      <c r="AB178" s="18"/>
      <c r="AC178" s="20">
        <v>8.8480888692042095E-4</v>
      </c>
      <c r="AD178" s="18"/>
      <c r="AE178" s="20">
        <v>2.8346590420417601E-3</v>
      </c>
      <c r="AF178" s="18"/>
      <c r="AG178" s="20">
        <v>7.1338455769970697E-3</v>
      </c>
      <c r="AH178" s="18"/>
      <c r="AI178" s="20">
        <v>6.8453006695132698E-3</v>
      </c>
      <c r="AJ178" s="18"/>
      <c r="AK178" s="20">
        <v>-2.3846433608540399E-3</v>
      </c>
      <c r="AL178" s="18"/>
      <c r="AM178" s="20">
        <v>1.2362646742734001E-2</v>
      </c>
      <c r="AN178" s="18"/>
      <c r="AO178" s="20">
        <v>8.3497953655721404E-4</v>
      </c>
      <c r="AP178" s="18"/>
      <c r="AQ178" s="20">
        <v>1.4404600742512399E-4</v>
      </c>
      <c r="AR178" s="18"/>
      <c r="AS178" s="20">
        <v>4.4943653867184604E-3</v>
      </c>
      <c r="AT178" s="18"/>
      <c r="AU178" s="20">
        <v>6.2155718894378598E-3</v>
      </c>
      <c r="AV178" s="18"/>
      <c r="AW178" s="20">
        <v>1.3377392478127401E-3</v>
      </c>
      <c r="AX178" s="18"/>
      <c r="AY178" s="20">
        <v>1.7698340650856501E-4</v>
      </c>
      <c r="AZ178" s="18"/>
      <c r="BA178" s="20">
        <v>1.6589156370023E-3</v>
      </c>
      <c r="BB178" s="18"/>
      <c r="BC178" s="20">
        <v>1.7775817896677299E-3</v>
      </c>
      <c r="BD178" s="18"/>
      <c r="BE178" s="20">
        <v>-1.3883914806948701E-4</v>
      </c>
      <c r="BF178" s="18"/>
      <c r="BG178" s="20"/>
      <c r="BH178" s="18"/>
    </row>
    <row r="179" spans="1:60" x14ac:dyDescent="0.2">
      <c r="A179" s="16">
        <v>2021</v>
      </c>
      <c r="B179" s="16">
        <v>4</v>
      </c>
      <c r="C179" s="20"/>
      <c r="D179" s="18"/>
      <c r="E179" s="20">
        <v>5.9935670378626099E-2</v>
      </c>
      <c r="F179" s="18"/>
      <c r="G179" s="20">
        <v>-1.2211551097371899E-4</v>
      </c>
      <c r="H179" s="18"/>
      <c r="I179" s="20">
        <v>-5.5743479784849997E-5</v>
      </c>
      <c r="J179" s="18"/>
      <c r="K179" s="20">
        <v>4.3225097087439601E-2</v>
      </c>
      <c r="L179" s="18"/>
      <c r="M179" s="20">
        <v>2.6790449174178398E-2</v>
      </c>
      <c r="N179" s="18"/>
      <c r="O179" s="20">
        <v>1.5928538304725098E-2</v>
      </c>
      <c r="P179" s="18"/>
      <c r="Q179" s="20">
        <v>-2.3840445934940799E-3</v>
      </c>
      <c r="R179" s="18"/>
      <c r="S179" s="20">
        <v>-1.15915276911794E-4</v>
      </c>
      <c r="T179" s="18"/>
      <c r="U179" s="20">
        <v>-8.9558191851456297E-5</v>
      </c>
      <c r="V179" s="18"/>
      <c r="W179" s="20">
        <v>-1.9670615977856201E-2</v>
      </c>
      <c r="X179" s="18"/>
      <c r="Y179" s="20">
        <v>1.30114540797832E-3</v>
      </c>
      <c r="Z179" s="18"/>
      <c r="AA179" s="20">
        <v>4.1315080782054203E-3</v>
      </c>
      <c r="AB179" s="18"/>
      <c r="AC179" s="20">
        <v>4.2506534376117802E-3</v>
      </c>
      <c r="AD179" s="18"/>
      <c r="AE179" s="20">
        <v>1.44238887350219E-3</v>
      </c>
      <c r="AF179" s="18"/>
      <c r="AG179" s="20">
        <v>5.7674589966560897E-3</v>
      </c>
      <c r="AH179" s="18"/>
      <c r="AI179" s="20">
        <v>3.49083070305361E-3</v>
      </c>
      <c r="AJ179" s="18"/>
      <c r="AK179" s="20">
        <v>-4.4217771811479298E-4</v>
      </c>
      <c r="AL179" s="18"/>
      <c r="AM179" s="20">
        <v>1.20886837748764E-2</v>
      </c>
      <c r="AN179" s="18"/>
      <c r="AO179" s="20">
        <v>8.3868546741753202E-4</v>
      </c>
      <c r="AP179" s="18"/>
      <c r="AQ179" s="20">
        <v>5.4695813246062598E-5</v>
      </c>
      <c r="AR179" s="18"/>
      <c r="AS179" s="20">
        <v>4.19907460166433E-3</v>
      </c>
      <c r="AT179" s="18"/>
      <c r="AU179" s="20">
        <v>3.73035675453322E-3</v>
      </c>
      <c r="AV179" s="18"/>
      <c r="AW179" s="20">
        <v>1.35306882383169E-3</v>
      </c>
      <c r="AX179" s="18"/>
      <c r="AY179" s="20">
        <v>2.0016500192405199E-4</v>
      </c>
      <c r="AZ179" s="18"/>
      <c r="BA179" s="20">
        <v>1.5701774809751001E-3</v>
      </c>
      <c r="BB179" s="18"/>
      <c r="BC179" s="20">
        <v>1.9231302810901001E-3</v>
      </c>
      <c r="BD179" s="18"/>
      <c r="BE179" s="20">
        <v>-3.0804821196416102E-4</v>
      </c>
      <c r="BF179" s="18"/>
      <c r="BG179" s="20"/>
      <c r="BH179" s="18"/>
    </row>
    <row r="180" spans="1:60" x14ac:dyDescent="0.2">
      <c r="A180" s="16">
        <v>2022</v>
      </c>
      <c r="B180" s="16">
        <v>1</v>
      </c>
      <c r="C180" s="20"/>
      <c r="D180" s="18"/>
      <c r="E180" s="20">
        <v>6.0959336067079199E-2</v>
      </c>
      <c r="F180" s="18"/>
      <c r="G180" s="20">
        <v>5.2667588781890899E-4</v>
      </c>
      <c r="H180" s="18"/>
      <c r="I180" s="20">
        <v>-6.7374323356313794E-5</v>
      </c>
      <c r="J180" s="18"/>
      <c r="K180" s="20">
        <v>2.97022119201188E-2</v>
      </c>
      <c r="L180" s="18"/>
      <c r="M180" s="20">
        <v>1.7026027106002699E-2</v>
      </c>
      <c r="N180" s="18"/>
      <c r="O180" s="20">
        <v>1.27103585007095E-2</v>
      </c>
      <c r="P180" s="18"/>
      <c r="Q180" s="20">
        <v>6.4493053115796998E-4</v>
      </c>
      <c r="R180" s="18"/>
      <c r="S180" s="20">
        <v>7.0738320984289901E-5</v>
      </c>
      <c r="T180" s="18"/>
      <c r="U180" s="20">
        <v>-4.6890623773500199E-4</v>
      </c>
      <c r="V180" s="18"/>
      <c r="W180" s="20">
        <v>-1.4630245668482599E-2</v>
      </c>
      <c r="X180" s="18"/>
      <c r="Y180" s="20">
        <v>1.0508369954234E-3</v>
      </c>
      <c r="Z180" s="18"/>
      <c r="AA180" s="20">
        <v>5.9797039686978202E-3</v>
      </c>
      <c r="AB180" s="18"/>
      <c r="AC180" s="20">
        <v>1.0439564589086301E-2</v>
      </c>
      <c r="AD180" s="18"/>
      <c r="AE180" s="20">
        <v>1.93967895583473E-3</v>
      </c>
      <c r="AF180" s="18"/>
      <c r="AG180" s="20">
        <v>6.0857046806560601E-3</v>
      </c>
      <c r="AH180" s="18"/>
      <c r="AI180" s="20">
        <v>9.2082297550363996E-4</v>
      </c>
      <c r="AJ180" s="18"/>
      <c r="AK180" s="20">
        <v>2.75905320466613E-3</v>
      </c>
      <c r="AL180" s="18"/>
      <c r="AM180" s="20">
        <v>1.0413964923611199E-2</v>
      </c>
      <c r="AN180" s="18"/>
      <c r="AO180" s="20">
        <v>9.0196076704619603E-4</v>
      </c>
      <c r="AP180" s="18"/>
      <c r="AQ180" s="20">
        <v>3.24883956835141E-4</v>
      </c>
      <c r="AR180" s="18"/>
      <c r="AS180" s="20">
        <v>4.7389384192683204E-3</v>
      </c>
      <c r="AT180" s="18"/>
      <c r="AU180" s="20">
        <v>3.7089818559012501E-3</v>
      </c>
      <c r="AV180" s="18"/>
      <c r="AW180" s="20">
        <v>1.4852074458057199E-3</v>
      </c>
      <c r="AX180" s="18"/>
      <c r="AY180" s="20">
        <v>4.3627470455519002E-4</v>
      </c>
      <c r="AZ180" s="18"/>
      <c r="BA180" s="20">
        <v>2.2625217529173998E-3</v>
      </c>
      <c r="BB180" s="18"/>
      <c r="BC180" s="20">
        <v>2.7418096883256101E-3</v>
      </c>
      <c r="BD180" s="18"/>
      <c r="BE180" s="20">
        <v>-5.5158152284626399E-4</v>
      </c>
      <c r="BF180" s="18"/>
      <c r="BG180" s="20"/>
      <c r="BH180" s="18"/>
    </row>
    <row r="181" spans="1:60" x14ac:dyDescent="0.2">
      <c r="A181" s="16">
        <v>2022</v>
      </c>
      <c r="B181" s="16">
        <v>2</v>
      </c>
      <c r="C181" s="20"/>
      <c r="D181" s="18"/>
      <c r="E181" s="20">
        <v>3.8825171309987201E-2</v>
      </c>
      <c r="F181" s="18"/>
      <c r="G181" s="20">
        <v>7.8352235526840002E-4</v>
      </c>
      <c r="H181" s="18"/>
      <c r="I181" s="20">
        <v>-1.2717450894314899E-4</v>
      </c>
      <c r="J181" s="18"/>
      <c r="K181" s="20">
        <v>1.6906267292056201E-2</v>
      </c>
      <c r="L181" s="18"/>
      <c r="M181" s="20">
        <v>5.9967059858434899E-3</v>
      </c>
      <c r="N181" s="18"/>
      <c r="O181" s="20">
        <v>1.08838282730078E-2</v>
      </c>
      <c r="P181" s="18"/>
      <c r="Q181" s="20">
        <v>2.4325414583814698E-3</v>
      </c>
      <c r="R181" s="18"/>
      <c r="S181" s="20">
        <v>1.54775647999065E-4</v>
      </c>
      <c r="T181" s="18"/>
      <c r="U181" s="20">
        <v>-1.9360528993124101E-3</v>
      </c>
      <c r="V181" s="18"/>
      <c r="W181" s="20">
        <v>-1.6586448088661401E-2</v>
      </c>
      <c r="X181" s="18"/>
      <c r="Y181" s="20">
        <v>-6.3563968195837304E-4</v>
      </c>
      <c r="Z181" s="18"/>
      <c r="AA181" s="20">
        <v>4.6013086906883903E-3</v>
      </c>
      <c r="AB181" s="18"/>
      <c r="AC181" s="20">
        <v>8.6751554735637892E-3</v>
      </c>
      <c r="AD181" s="18"/>
      <c r="AE181" s="20">
        <v>3.2099831087654801E-3</v>
      </c>
      <c r="AF181" s="18"/>
      <c r="AG181" s="20">
        <v>4.2184570803581404E-3</v>
      </c>
      <c r="AH181" s="18"/>
      <c r="AI181" s="20">
        <v>-1.8207287374252699E-3</v>
      </c>
      <c r="AJ181" s="18"/>
      <c r="AK181" s="20">
        <v>4.5034407690695303E-3</v>
      </c>
      <c r="AL181" s="18"/>
      <c r="AM181" s="20">
        <v>6.34230375082464E-3</v>
      </c>
      <c r="AN181" s="18"/>
      <c r="AO181" s="20">
        <v>1.01901165180984E-3</v>
      </c>
      <c r="AP181" s="18"/>
      <c r="AQ181" s="20">
        <v>6.8157702964555397E-4</v>
      </c>
      <c r="AR181" s="18"/>
      <c r="AS181" s="20">
        <v>3.3048025607469401E-3</v>
      </c>
      <c r="AT181" s="18"/>
      <c r="AU181" s="20">
        <v>3.7306487275873398E-3</v>
      </c>
      <c r="AV181" s="18"/>
      <c r="AW181" s="20">
        <v>9.8871035081406406E-4</v>
      </c>
      <c r="AX181" s="18"/>
      <c r="AY181" s="20">
        <v>2.2857010907957501E-4</v>
      </c>
      <c r="AZ181" s="18"/>
      <c r="BA181" s="20">
        <v>1.23028073351793E-3</v>
      </c>
      <c r="BB181" s="18"/>
      <c r="BC181" s="20">
        <v>2.0161001910028401E-3</v>
      </c>
      <c r="BD181" s="18"/>
      <c r="BE181" s="20">
        <v>-7.8839993842894096E-4</v>
      </c>
      <c r="BF181" s="18"/>
      <c r="BG181" s="20"/>
      <c r="BH181" s="18"/>
    </row>
    <row r="182" spans="1:60" x14ac:dyDescent="0.2">
      <c r="A182" s="16">
        <v>2022</v>
      </c>
      <c r="B182" s="16">
        <v>3</v>
      </c>
      <c r="C182" s="20"/>
      <c r="D182" s="18"/>
      <c r="E182" s="20">
        <v>2.2311481408215199E-2</v>
      </c>
      <c r="F182" s="18"/>
      <c r="G182" s="20">
        <v>8.0997241291958595E-4</v>
      </c>
      <c r="H182" s="18"/>
      <c r="I182" s="20">
        <v>-1.42764637510017E-4</v>
      </c>
      <c r="J182" s="18"/>
      <c r="K182" s="20">
        <v>7.5999724885231004E-3</v>
      </c>
      <c r="L182" s="18"/>
      <c r="M182" s="20">
        <v>1.33575224721291E-3</v>
      </c>
      <c r="N182" s="18"/>
      <c r="O182" s="20">
        <v>6.3273759164687096E-3</v>
      </c>
      <c r="P182" s="18"/>
      <c r="Q182" s="20">
        <v>2.18903020613173E-3</v>
      </c>
      <c r="R182" s="18"/>
      <c r="S182" s="20">
        <v>3.8160718108107901E-4</v>
      </c>
      <c r="T182" s="18"/>
      <c r="U182" s="20">
        <v>-3.23370082342653E-3</v>
      </c>
      <c r="V182" s="18"/>
      <c r="W182" s="20">
        <v>-7.1173281557648802E-3</v>
      </c>
      <c r="X182" s="18"/>
      <c r="Y182" s="20">
        <v>3.0609095187962701E-4</v>
      </c>
      <c r="Z182" s="18"/>
      <c r="AA182" s="20">
        <v>1.6604042770436301E-3</v>
      </c>
      <c r="AB182" s="18"/>
      <c r="AC182" s="20">
        <v>4.3645390188842498E-3</v>
      </c>
      <c r="AD182" s="18"/>
      <c r="AE182" s="20">
        <v>4.0345209937707599E-3</v>
      </c>
      <c r="AF182" s="18"/>
      <c r="AG182" s="20">
        <v>2.3081679054051301E-3</v>
      </c>
      <c r="AH182" s="18"/>
      <c r="AI182" s="20">
        <v>-3.4256068001408801E-3</v>
      </c>
      <c r="AJ182" s="18"/>
      <c r="AK182" s="20">
        <v>5.0910115540087697E-3</v>
      </c>
      <c r="AL182" s="18"/>
      <c r="AM182" s="20">
        <v>3.5712225889748699E-3</v>
      </c>
      <c r="AN182" s="18"/>
      <c r="AO182" s="20">
        <v>9.6774394330011702E-4</v>
      </c>
      <c r="AP182" s="18"/>
      <c r="AQ182" s="20">
        <v>1.1922552069548E-3</v>
      </c>
      <c r="AR182" s="18"/>
      <c r="AS182" s="20">
        <v>3.1523317557299001E-3</v>
      </c>
      <c r="AT182" s="18"/>
      <c r="AU182" s="20">
        <v>1.7325579864289099E-3</v>
      </c>
      <c r="AV182" s="18"/>
      <c r="AW182" s="20">
        <v>3.9811520414634999E-4</v>
      </c>
      <c r="AX182" s="18"/>
      <c r="AY182" s="20">
        <v>8.7586543958522795E-5</v>
      </c>
      <c r="AZ182" s="18"/>
      <c r="BA182" s="20">
        <v>7.13313046334221E-4</v>
      </c>
      <c r="BB182" s="18"/>
      <c r="BC182" s="20">
        <v>1.3524386645127401E-3</v>
      </c>
      <c r="BD182" s="18"/>
      <c r="BE182" s="20">
        <v>-6.2947408105347197E-4</v>
      </c>
      <c r="BF182" s="18"/>
      <c r="BG182" s="20"/>
      <c r="BH182" s="18"/>
    </row>
    <row r="183" spans="1:60" x14ac:dyDescent="0.2">
      <c r="A183" s="16">
        <v>2022</v>
      </c>
      <c r="B183" s="16">
        <v>4</v>
      </c>
      <c r="C183" s="20"/>
      <c r="D183" s="18"/>
      <c r="E183" s="20">
        <v>1.71890328538153E-2</v>
      </c>
      <c r="F183" s="18"/>
      <c r="G183" s="20">
        <v>6.2137658786142499E-4</v>
      </c>
      <c r="H183" s="18"/>
      <c r="I183" s="20">
        <v>-1.11897033000072E-4</v>
      </c>
      <c r="J183" s="18"/>
      <c r="K183" s="20">
        <v>-1.21020636844463E-3</v>
      </c>
      <c r="L183" s="18"/>
      <c r="M183" s="20">
        <v>-3.1704212091531901E-3</v>
      </c>
      <c r="N183" s="18"/>
      <c r="O183" s="20">
        <v>2.0397541475331302E-3</v>
      </c>
      <c r="P183" s="18"/>
      <c r="Q183" s="20">
        <v>2.4112033755212302E-3</v>
      </c>
      <c r="R183" s="18"/>
      <c r="S183" s="20">
        <v>3.8100806073798399E-4</v>
      </c>
      <c r="T183" s="18"/>
      <c r="U183" s="20">
        <v>-2.23362034305012E-3</v>
      </c>
      <c r="V183" s="18"/>
      <c r="W183" s="20">
        <v>-5.0184173994869598E-3</v>
      </c>
      <c r="X183" s="18"/>
      <c r="Y183" s="20">
        <v>-9.1784539433132002E-4</v>
      </c>
      <c r="Z183" s="18"/>
      <c r="AA183" s="20">
        <v>1.60061735724704E-3</v>
      </c>
      <c r="AB183" s="18"/>
      <c r="AC183" s="20">
        <v>3.7702776642109799E-3</v>
      </c>
      <c r="AD183" s="18"/>
      <c r="AE183" s="20">
        <v>3.2288999589085402E-3</v>
      </c>
      <c r="AF183" s="18"/>
      <c r="AG183" s="20">
        <v>2.4971293668320398E-3</v>
      </c>
      <c r="AH183" s="18"/>
      <c r="AI183" s="20">
        <v>-2.48650956319918E-3</v>
      </c>
      <c r="AJ183" s="18"/>
      <c r="AK183" s="20">
        <v>4.4588305431090304E-3</v>
      </c>
      <c r="AL183" s="18"/>
      <c r="AM183" s="20">
        <v>1.6037517133349799E-3</v>
      </c>
      <c r="AN183" s="18"/>
      <c r="AO183" s="20">
        <v>7.3827273133260395E-4</v>
      </c>
      <c r="AP183" s="18"/>
      <c r="AQ183" s="20">
        <v>1.4614456803851701E-3</v>
      </c>
      <c r="AR183" s="18"/>
      <c r="AS183" s="20">
        <v>2.4659961250040698E-3</v>
      </c>
      <c r="AT183" s="18"/>
      <c r="AU183" s="20">
        <v>4.1548749156022297E-3</v>
      </c>
      <c r="AV183" s="18"/>
      <c r="AW183" s="20">
        <v>2.39821956506402E-4</v>
      </c>
      <c r="AX183" s="18"/>
      <c r="AY183" s="20">
        <v>1.1414535592421E-4</v>
      </c>
      <c r="AZ183" s="18"/>
      <c r="BA183" s="20">
        <v>1.07611216057078E-4</v>
      </c>
      <c r="BB183" s="18"/>
      <c r="BC183" s="20">
        <v>7.0385526404304001E-4</v>
      </c>
      <c r="BD183" s="18"/>
      <c r="BE183" s="20">
        <v>-5.9230731341415599E-4</v>
      </c>
      <c r="BF183" s="18"/>
      <c r="BG183" s="20"/>
      <c r="BH183" s="18"/>
    </row>
    <row r="184" spans="1:60" x14ac:dyDescent="0.2">
      <c r="A184" s="16">
        <v>2023</v>
      </c>
      <c r="B184" s="16">
        <v>1</v>
      </c>
      <c r="C184" s="20"/>
      <c r="D184" s="18"/>
      <c r="E184" s="20">
        <v>1.81143624868874E-2</v>
      </c>
      <c r="F184" s="18"/>
      <c r="G184" s="20">
        <v>2.7894437754541501E-4</v>
      </c>
      <c r="H184" s="18"/>
      <c r="I184" s="20">
        <v>-3.8536827626719197E-5</v>
      </c>
      <c r="J184" s="18"/>
      <c r="K184" s="20">
        <v>-6.7127676006693403E-4</v>
      </c>
      <c r="L184" s="18"/>
      <c r="M184" s="20">
        <v>-7.4615503127899402E-4</v>
      </c>
      <c r="N184" s="18"/>
      <c r="O184" s="20">
        <v>1.9319436839656601E-4</v>
      </c>
      <c r="P184" s="18"/>
      <c r="Q184" s="20">
        <v>-4.8226502043774297E-4</v>
      </c>
      <c r="R184" s="18"/>
      <c r="S184" s="20">
        <v>4.8875110494521403E-4</v>
      </c>
      <c r="T184" s="18"/>
      <c r="U184" s="20">
        <v>-8.2770741888519E-4</v>
      </c>
      <c r="V184" s="18"/>
      <c r="W184" s="20">
        <v>5.6597846155282501E-3</v>
      </c>
      <c r="X184" s="18"/>
      <c r="Y184" s="20">
        <v>-4.7753815992953799E-4</v>
      </c>
      <c r="Z184" s="18"/>
      <c r="AA184" s="20">
        <v>2.5197368589050602E-3</v>
      </c>
      <c r="AB184" s="18"/>
      <c r="AC184" s="20">
        <v>3.0614276631826102E-3</v>
      </c>
      <c r="AD184" s="18"/>
      <c r="AE184" s="20">
        <v>3.2225939093998299E-3</v>
      </c>
      <c r="AF184" s="18"/>
      <c r="AG184" s="20">
        <v>-6.3216227605093799E-4</v>
      </c>
      <c r="AH184" s="18"/>
      <c r="AI184" s="20">
        <v>-4.0549512136143703E-3</v>
      </c>
      <c r="AJ184" s="18"/>
      <c r="AK184" s="20">
        <v>2.91810779644786E-3</v>
      </c>
      <c r="AL184" s="18"/>
      <c r="AM184" s="20">
        <v>2.67081977434161E-3</v>
      </c>
      <c r="AN184" s="18"/>
      <c r="AO184" s="20">
        <v>2.32223187659296E-4</v>
      </c>
      <c r="AP184" s="18"/>
      <c r="AQ184" s="20">
        <v>1.6679628901312799E-3</v>
      </c>
      <c r="AR184" s="18"/>
      <c r="AS184" s="20">
        <v>1.4741489463269901E-3</v>
      </c>
      <c r="AT184" s="18"/>
      <c r="AU184" s="20">
        <v>-6.4010856419391296E-4</v>
      </c>
      <c r="AV184" s="18"/>
      <c r="AW184" s="20">
        <v>4.2391934895571402E-4</v>
      </c>
      <c r="AX184" s="18"/>
      <c r="AY184" s="20">
        <v>1.83930757033472E-4</v>
      </c>
      <c r="AZ184" s="18"/>
      <c r="BA184" s="20">
        <v>-1.01676099449368E-4</v>
      </c>
      <c r="BB184" s="18"/>
      <c r="BC184" s="20">
        <v>5.0447907051872699E-4</v>
      </c>
      <c r="BD184" s="18"/>
      <c r="BE184" s="20">
        <v>-5.5831661687968796E-4</v>
      </c>
      <c r="BF184" s="18"/>
      <c r="BG184" s="20"/>
      <c r="BH184" s="18"/>
    </row>
    <row r="185" spans="1:60" x14ac:dyDescent="0.2">
      <c r="A185" s="16">
        <v>2023</v>
      </c>
      <c r="B185" s="16">
        <v>2</v>
      </c>
      <c r="C185" s="20"/>
      <c r="D185" s="18"/>
      <c r="E185" s="20">
        <v>6.4603096414572701E-3</v>
      </c>
      <c r="F185" s="18"/>
      <c r="G185" s="20">
        <v>5.4568198834920998E-5</v>
      </c>
      <c r="H185" s="18"/>
      <c r="I185" s="20">
        <v>-8.4965340861514707E-6</v>
      </c>
      <c r="J185" s="18"/>
      <c r="K185" s="20">
        <v>-5.9501895658332004E-3</v>
      </c>
      <c r="L185" s="18"/>
      <c r="M185" s="20">
        <v>1.0307867588672101E-3</v>
      </c>
      <c r="N185" s="18"/>
      <c r="O185" s="20">
        <v>-6.9819871297806301E-3</v>
      </c>
      <c r="P185" s="18"/>
      <c r="Q185" s="20">
        <v>-1.6311792898471001E-3</v>
      </c>
      <c r="R185" s="18"/>
      <c r="S185" s="20">
        <v>5.5744550159560799E-4</v>
      </c>
      <c r="T185" s="18"/>
      <c r="U185" s="20">
        <v>-7.0905633756660304E-4</v>
      </c>
      <c r="V185" s="18"/>
      <c r="W185" s="20">
        <v>7.7726829774439803E-3</v>
      </c>
      <c r="X185" s="18"/>
      <c r="Y185" s="20">
        <v>-4.2457659493724597E-4</v>
      </c>
      <c r="Z185" s="18"/>
      <c r="AA185" s="20">
        <v>1.9396649738935999E-3</v>
      </c>
      <c r="AB185" s="18"/>
      <c r="AC185" s="20">
        <v>1.15335471054171E-3</v>
      </c>
      <c r="AD185" s="18"/>
      <c r="AE185" s="20">
        <v>2.3127508997440602E-3</v>
      </c>
      <c r="AF185" s="18"/>
      <c r="AG185" s="20">
        <v>-1.7471718927600101E-3</v>
      </c>
      <c r="AH185" s="18"/>
      <c r="AI185" s="20">
        <v>-4.4536083412825E-3</v>
      </c>
      <c r="AJ185" s="18"/>
      <c r="AK185" s="20">
        <v>1.8742871993484699E-3</v>
      </c>
      <c r="AL185" s="18"/>
      <c r="AM185" s="20">
        <v>3.4665910782970002E-3</v>
      </c>
      <c r="AN185" s="18"/>
      <c r="AO185" s="20">
        <v>-1.9727533857486499E-4</v>
      </c>
      <c r="AP185" s="18"/>
      <c r="AQ185" s="20">
        <v>1.3538291035782499E-3</v>
      </c>
      <c r="AR185" s="18"/>
      <c r="AS185" s="20">
        <v>1.25578385905313E-3</v>
      </c>
      <c r="AT185" s="18"/>
      <c r="AU185" s="20">
        <v>-3.2020702654899399E-3</v>
      </c>
      <c r="AV185" s="18"/>
      <c r="AW185" s="20">
        <v>3.1413331475611703E-4</v>
      </c>
      <c r="AX185" s="18"/>
      <c r="AY185" s="20">
        <v>1.58867127914512E-4</v>
      </c>
      <c r="AZ185" s="18"/>
      <c r="BA185" s="20">
        <v>-8.4303987600095804E-4</v>
      </c>
      <c r="BB185" s="18"/>
      <c r="BC185" s="20">
        <v>-2.16380860233217E-4</v>
      </c>
      <c r="BD185" s="18"/>
      <c r="BE185" s="20">
        <v>-6.0249463011713595E-4</v>
      </c>
      <c r="BF185" s="18"/>
      <c r="BG185" s="20"/>
      <c r="BH185" s="18"/>
    </row>
    <row r="186" spans="1:60" x14ac:dyDescent="0.2">
      <c r="A186" s="16">
        <v>2023</v>
      </c>
      <c r="B186" s="16">
        <v>3</v>
      </c>
      <c r="C186" s="20"/>
      <c r="D186" s="18"/>
      <c r="E186" s="20">
        <v>4.1648722446376903E-3</v>
      </c>
      <c r="F186" s="18"/>
      <c r="G186" s="20">
        <v>-7.6186139478262306E-5</v>
      </c>
      <c r="H186" s="18"/>
      <c r="I186" s="20">
        <v>1.26924962440682E-5</v>
      </c>
      <c r="J186" s="18"/>
      <c r="K186" s="20">
        <v>-4.3406855246194403E-3</v>
      </c>
      <c r="L186" s="18"/>
      <c r="M186" s="20">
        <v>4.0594996665753004E-3</v>
      </c>
      <c r="N186" s="18"/>
      <c r="O186" s="20">
        <v>-8.4909638428228192E-3</v>
      </c>
      <c r="P186" s="18"/>
      <c r="Q186" s="20">
        <v>-1.3850635537314799E-3</v>
      </c>
      <c r="R186" s="18"/>
      <c r="S186" s="20">
        <v>4.2248025131821199E-4</v>
      </c>
      <c r="T186" s="18"/>
      <c r="U186" s="20">
        <v>-2.34671801922437E-4</v>
      </c>
      <c r="V186" s="18"/>
      <c r="W186" s="20">
        <v>7.1293699010145199E-3</v>
      </c>
      <c r="X186" s="18"/>
      <c r="Y186" s="20">
        <v>-4.7394574616593902E-4</v>
      </c>
      <c r="Z186" s="18"/>
      <c r="AA186" s="20">
        <v>1.5502696731813899E-3</v>
      </c>
      <c r="AB186" s="18"/>
      <c r="AC186" s="20">
        <v>6.3845727828711497E-4</v>
      </c>
      <c r="AD186" s="18"/>
      <c r="AE186" s="20">
        <v>1.6320435923126301E-3</v>
      </c>
      <c r="AF186" s="18"/>
      <c r="AG186" s="20">
        <v>-2.0167612932819501E-3</v>
      </c>
      <c r="AH186" s="18"/>
      <c r="AI186" s="20">
        <v>-4.2127761073336E-3</v>
      </c>
      <c r="AJ186" s="18"/>
      <c r="AK186" s="20">
        <v>1.43026794969087E-3</v>
      </c>
      <c r="AL186" s="18"/>
      <c r="AM186" s="20">
        <v>2.76370258063208E-3</v>
      </c>
      <c r="AN186" s="18"/>
      <c r="AO186" s="20">
        <v>-1.5243761199210701E-4</v>
      </c>
      <c r="AP186" s="18"/>
      <c r="AQ186" s="20">
        <v>9.6741424733845602E-4</v>
      </c>
      <c r="AR186" s="18"/>
      <c r="AS186" s="20">
        <v>1.44256245791307E-3</v>
      </c>
      <c r="AT186" s="18"/>
      <c r="AU186" s="20">
        <v>-3.64511488946038E-3</v>
      </c>
      <c r="AV186" s="18"/>
      <c r="AW186" s="20">
        <v>2.8601138888771399E-4</v>
      </c>
      <c r="AX186" s="18"/>
      <c r="AY186" s="20">
        <v>1.2183823344746999E-4</v>
      </c>
      <c r="AZ186" s="18"/>
      <c r="BA186" s="20">
        <v>-9.1424951346818497E-4</v>
      </c>
      <c r="BB186" s="18"/>
      <c r="BC186" s="20">
        <v>-3.9619107394999598E-4</v>
      </c>
      <c r="BD186" s="18"/>
      <c r="BE186" s="20">
        <v>-5.27050221889656E-4</v>
      </c>
      <c r="BF186" s="18"/>
      <c r="BG186" s="20"/>
      <c r="BH186" s="18"/>
    </row>
    <row r="187" spans="1:60" x14ac:dyDescent="0.2">
      <c r="A187" s="16">
        <v>2023</v>
      </c>
      <c r="B187" s="16">
        <v>4</v>
      </c>
      <c r="C187" s="20"/>
      <c r="D187" s="18"/>
      <c r="E187" s="20">
        <v>7.12534345407602E-3</v>
      </c>
      <c r="F187" s="18"/>
      <c r="G187" s="20">
        <v>-1.2665331613944601E-4</v>
      </c>
      <c r="H187" s="18"/>
      <c r="I187" s="20">
        <v>3.0281169553482701E-5</v>
      </c>
      <c r="J187" s="18"/>
      <c r="K187" s="20">
        <v>-2.45385546959981E-3</v>
      </c>
      <c r="L187" s="18"/>
      <c r="M187" s="20">
        <v>3.5460179810313098E-3</v>
      </c>
      <c r="N187" s="18"/>
      <c r="O187" s="20">
        <v>-6.2539194972966597E-3</v>
      </c>
      <c r="P187" s="18"/>
      <c r="Q187" s="20">
        <v>-2.0766898240899101E-3</v>
      </c>
      <c r="R187" s="18"/>
      <c r="S187" s="20">
        <v>2.9878672756808699E-4</v>
      </c>
      <c r="T187" s="18"/>
      <c r="U187" s="20">
        <v>-3.9559360730175502E-4</v>
      </c>
      <c r="V187" s="18"/>
      <c r="W187" s="20">
        <v>4.4875922097250397E-3</v>
      </c>
      <c r="X187" s="18"/>
      <c r="Y187" s="20">
        <v>-3.6379084490099098E-4</v>
      </c>
      <c r="Z187" s="18"/>
      <c r="AA187" s="20">
        <v>4.92263254277466E-4</v>
      </c>
      <c r="AB187" s="18"/>
      <c r="AC187" s="20">
        <v>8.6267770923801799E-5</v>
      </c>
      <c r="AD187" s="18"/>
      <c r="AE187" s="20">
        <v>2.6397124948166102E-3</v>
      </c>
      <c r="AF187" s="18"/>
      <c r="AG187" s="20">
        <v>-2.55277370578374E-3</v>
      </c>
      <c r="AH187" s="18"/>
      <c r="AI187" s="20">
        <v>-4.3594452235358903E-3</v>
      </c>
      <c r="AJ187" s="18"/>
      <c r="AK187" s="20">
        <v>1.48240335969813E-3</v>
      </c>
      <c r="AL187" s="18"/>
      <c r="AM187" s="20">
        <v>4.8179309841509402E-3</v>
      </c>
      <c r="AN187" s="18"/>
      <c r="AO187" s="20">
        <v>1.8153168209237601E-4</v>
      </c>
      <c r="AP187" s="18"/>
      <c r="AQ187" s="20">
        <v>9.5247105323251397E-4</v>
      </c>
      <c r="AR187" s="18"/>
      <c r="AS187" s="20">
        <v>2.7199971655740502E-3</v>
      </c>
      <c r="AT187" s="18"/>
      <c r="AU187" s="20">
        <v>-3.84967198198828E-3</v>
      </c>
      <c r="AV187" s="18"/>
      <c r="AW187" s="20">
        <v>1.7337662665348601E-4</v>
      </c>
      <c r="AX187" s="18"/>
      <c r="AY187" s="20">
        <v>5.3222483415444603E-5</v>
      </c>
      <c r="AZ187" s="18"/>
      <c r="BA187" s="20">
        <v>-7.0766000341159299E-4</v>
      </c>
      <c r="BB187" s="18"/>
      <c r="BC187" s="20">
        <v>-1.51957163854345E-4</v>
      </c>
      <c r="BD187" s="18"/>
      <c r="BE187" s="20">
        <v>-6.6088599335018601E-4</v>
      </c>
      <c r="BF187" s="18"/>
      <c r="BG187" s="20"/>
      <c r="BH187" s="18"/>
    </row>
    <row r="188" spans="1:60" x14ac:dyDescent="0.2">
      <c r="A188" s="16">
        <v>2024</v>
      </c>
      <c r="B188" s="16">
        <v>1</v>
      </c>
      <c r="C188" s="20"/>
      <c r="D188" s="18"/>
      <c r="E188" s="20">
        <v>2.9041067839161998E-3</v>
      </c>
      <c r="F188" s="18"/>
      <c r="G188" s="20">
        <v>-1.3317295441209699E-4</v>
      </c>
      <c r="H188" s="18"/>
      <c r="I188" s="20">
        <v>2.29388359161123E-5</v>
      </c>
      <c r="J188" s="18"/>
      <c r="K188" s="20">
        <v>-5.9690514692185004E-3</v>
      </c>
      <c r="L188" s="18"/>
      <c r="M188" s="20">
        <v>5.7086391905952502E-3</v>
      </c>
      <c r="N188" s="18"/>
      <c r="O188" s="20">
        <v>-1.14083837858521E-2</v>
      </c>
      <c r="P188" s="18"/>
      <c r="Q188" s="20">
        <v>-3.1022482756398301E-3</v>
      </c>
      <c r="R188" s="18"/>
      <c r="S188" s="20">
        <v>1.4205597932624299E-4</v>
      </c>
      <c r="T188" s="18"/>
      <c r="U188" s="20">
        <v>-4.1506324051102897E-4</v>
      </c>
      <c r="V188" s="18"/>
      <c r="W188" s="20">
        <v>-2.3752437881950799E-4</v>
      </c>
      <c r="X188" s="18"/>
      <c r="Y188" s="20">
        <v>1.09133663479425E-3</v>
      </c>
      <c r="Z188" s="18"/>
      <c r="AA188" s="20">
        <v>-6.04730510147931E-4</v>
      </c>
      <c r="AB188" s="18"/>
      <c r="AC188" s="20">
        <v>3.0216444732055598E-4</v>
      </c>
      <c r="AD188" s="18"/>
      <c r="AE188" s="20">
        <v>2.3745311408210502E-3</v>
      </c>
      <c r="AF188" s="18"/>
      <c r="AG188" s="20">
        <v>-6.1685194807803E-4</v>
      </c>
      <c r="AH188" s="18"/>
      <c r="AI188" s="20">
        <v>-2.7225238287587402E-3</v>
      </c>
      <c r="AJ188" s="18"/>
      <c r="AK188" s="20">
        <v>2.1352551637486001E-3</v>
      </c>
      <c r="AL188" s="18"/>
      <c r="AM188" s="20">
        <v>4.6586132278992201E-3</v>
      </c>
      <c r="AN188" s="18"/>
      <c r="AO188" s="20">
        <v>3.6798833012815498E-4</v>
      </c>
      <c r="AP188" s="18"/>
      <c r="AQ188" s="20">
        <v>5.4631603238396403E-4</v>
      </c>
      <c r="AR188" s="18"/>
      <c r="AS188" s="20">
        <v>3.9039502213386798E-3</v>
      </c>
      <c r="AT188" s="18"/>
      <c r="AU188" s="20">
        <v>1.4108254734260901E-3</v>
      </c>
      <c r="AV188" s="18"/>
      <c r="AW188" s="20">
        <v>-8.5242784913546399E-5</v>
      </c>
      <c r="AX188" s="18"/>
      <c r="AY188" s="20">
        <v>-5.9343513261743502E-5</v>
      </c>
      <c r="AZ188" s="18"/>
      <c r="BA188" s="20">
        <v>-1.1457697897032299E-3</v>
      </c>
      <c r="BB188" s="18"/>
      <c r="BC188" s="20">
        <v>-3.4187675972707001E-4</v>
      </c>
      <c r="BD188" s="18"/>
      <c r="BE188" s="20">
        <v>-6.9399064409880295E-4</v>
      </c>
      <c r="BF188" s="18"/>
      <c r="BG188" s="20"/>
      <c r="BH188" s="18"/>
    </row>
    <row r="189" spans="1:60" x14ac:dyDescent="0.2">
      <c r="A189" s="16">
        <v>2024</v>
      </c>
      <c r="B189" s="16">
        <v>2</v>
      </c>
      <c r="C189" s="20"/>
      <c r="D189" s="18"/>
      <c r="E189" s="20">
        <v>1.8987962811218201E-2</v>
      </c>
      <c r="F189" s="18"/>
      <c r="G189" s="20">
        <v>-1.2740441242992801E-4</v>
      </c>
      <c r="H189" s="18"/>
      <c r="I189" s="20">
        <v>1.1529235289444399E-5</v>
      </c>
      <c r="J189" s="18"/>
      <c r="K189" s="20">
        <v>6.9209770106105004E-3</v>
      </c>
      <c r="L189" s="18"/>
      <c r="M189" s="20">
        <v>1.13246159236413E-2</v>
      </c>
      <c r="N189" s="18"/>
      <c r="O189" s="20">
        <v>-4.5738171569652203E-3</v>
      </c>
      <c r="P189" s="18"/>
      <c r="Q189" s="20">
        <v>-3.6189972242838099E-3</v>
      </c>
      <c r="R189" s="18"/>
      <c r="S189" s="20">
        <v>1.05677248843391E-5</v>
      </c>
      <c r="T189" s="18"/>
      <c r="U189" s="20">
        <v>-2.18828402915661E-4</v>
      </c>
      <c r="V189" s="18"/>
      <c r="W189" s="20">
        <v>-2.21101577583884E-3</v>
      </c>
      <c r="X189" s="18"/>
      <c r="Y189" s="20">
        <v>6.5764599021288098E-4</v>
      </c>
      <c r="Z189" s="18"/>
      <c r="AA189" s="20">
        <v>4.1530359189701302E-5</v>
      </c>
      <c r="AB189" s="18"/>
      <c r="AC189" s="20">
        <v>-1.0031400207600099E-4</v>
      </c>
      <c r="AD189" s="18"/>
      <c r="AE189" s="20">
        <v>3.16437171421386E-3</v>
      </c>
      <c r="AF189" s="18"/>
      <c r="AG189" s="20">
        <v>1.19209171686535E-3</v>
      </c>
      <c r="AH189" s="18"/>
      <c r="AI189" s="20">
        <v>-8.7350107397177396E-4</v>
      </c>
      <c r="AJ189" s="18"/>
      <c r="AK189" s="20">
        <v>2.3621978813899501E-3</v>
      </c>
      <c r="AL189" s="18"/>
      <c r="AM189" s="20">
        <v>5.1546978671875802E-3</v>
      </c>
      <c r="AN189" s="18"/>
      <c r="AO189" s="20">
        <v>6.72403727713408E-4</v>
      </c>
      <c r="AP189" s="18"/>
      <c r="AQ189" s="20">
        <v>5.2055807833029598E-4</v>
      </c>
      <c r="AR189" s="18"/>
      <c r="AS189" s="20">
        <v>4.721168556804E-3</v>
      </c>
      <c r="AT189" s="18"/>
      <c r="AU189" s="20">
        <v>3.3452976691780399E-3</v>
      </c>
      <c r="AV189" s="18"/>
      <c r="AW189" s="20">
        <v>-3.4022003137125398E-4</v>
      </c>
      <c r="AX189" s="18"/>
      <c r="AY189" s="20">
        <v>-1.2333584441295601E-4</v>
      </c>
      <c r="AZ189" s="18"/>
      <c r="BA189" s="20">
        <v>-2.1418744838488601E-4</v>
      </c>
      <c r="BB189" s="18"/>
      <c r="BC189" s="20">
        <v>4.8557887867214098E-4</v>
      </c>
      <c r="BD189" s="18"/>
      <c r="BE189" s="20">
        <v>-6.8971715040804698E-4</v>
      </c>
      <c r="BF189" s="18"/>
      <c r="BG189" s="20"/>
      <c r="BH189" s="18"/>
    </row>
    <row r="190" spans="1:60" x14ac:dyDescent="0.2">
      <c r="A190" s="16">
        <v>2024</v>
      </c>
      <c r="B190" s="16">
        <v>3</v>
      </c>
      <c r="C190" s="20"/>
      <c r="D190" s="18"/>
      <c r="E190" s="20">
        <v>2.0334955449340001E-2</v>
      </c>
      <c r="F190" s="18"/>
      <c r="G190" s="20">
        <v>-1.2866280346244101E-4</v>
      </c>
      <c r="H190" s="18"/>
      <c r="I190" s="20">
        <v>1.3815491996438601E-5</v>
      </c>
      <c r="J190" s="18"/>
      <c r="K190" s="20">
        <v>1.76481996877741E-3</v>
      </c>
      <c r="L190" s="18"/>
      <c r="M190" s="20">
        <v>9.3435218166110796E-3</v>
      </c>
      <c r="N190" s="18"/>
      <c r="O190" s="20">
        <v>-7.4620295021621801E-3</v>
      </c>
      <c r="P190" s="18"/>
      <c r="Q190" s="20">
        <v>-2.4049729927305302E-3</v>
      </c>
      <c r="R190" s="18"/>
      <c r="S190" s="20">
        <v>-7.5791951894853502E-5</v>
      </c>
      <c r="T190" s="18"/>
      <c r="U190" s="20">
        <v>6.3731888364592997E-4</v>
      </c>
      <c r="V190" s="18"/>
      <c r="W190" s="20">
        <v>-1.6530906695791201E-3</v>
      </c>
      <c r="X190" s="18"/>
      <c r="Y190" s="20">
        <v>1.4642551701797601E-3</v>
      </c>
      <c r="Z190" s="18"/>
      <c r="AA190" s="20">
        <v>7.2899016213697496E-4</v>
      </c>
      <c r="AB190" s="18"/>
      <c r="AC190" s="20">
        <v>-5.8095362382397701E-4</v>
      </c>
      <c r="AD190" s="18"/>
      <c r="AE190" s="20">
        <v>3.11135533402175E-3</v>
      </c>
      <c r="AF190" s="18"/>
      <c r="AG190" s="20">
        <v>1.58230095913627E-3</v>
      </c>
      <c r="AH190" s="18"/>
      <c r="AI190" s="20">
        <v>-6.0442388496130105E-4</v>
      </c>
      <c r="AJ190" s="18"/>
      <c r="AK190" s="20">
        <v>2.1989639163591999E-3</v>
      </c>
      <c r="AL190" s="18"/>
      <c r="AM190" s="20">
        <v>5.9084192578333699E-3</v>
      </c>
      <c r="AN190" s="18"/>
      <c r="AO190" s="20">
        <v>8.1834456433550697E-4</v>
      </c>
      <c r="AP190" s="18"/>
      <c r="AQ190" s="20">
        <v>5.5626778386716404E-4</v>
      </c>
      <c r="AR190" s="18"/>
      <c r="AS190" s="20">
        <v>4.5598474745295603E-3</v>
      </c>
      <c r="AT190" s="18"/>
      <c r="AU190" s="20">
        <v>4.9164695254132196E-3</v>
      </c>
      <c r="AV190" s="18"/>
      <c r="AW190" s="20">
        <v>-1.5707625620786899E-4</v>
      </c>
      <c r="AX190" s="18"/>
      <c r="AY190" s="20">
        <v>-1.3570117201597E-4</v>
      </c>
      <c r="AZ190" s="18"/>
      <c r="BA190" s="20">
        <v>-3.8254381318418899E-4</v>
      </c>
      <c r="BB190" s="18"/>
      <c r="BC190" s="20">
        <v>6.0895055363815195E-4</v>
      </c>
      <c r="BD190" s="18"/>
      <c r="BE190" s="20">
        <v>-9.8243049288821794E-4</v>
      </c>
      <c r="BF190" s="18"/>
      <c r="BG190" s="20"/>
      <c r="BH190" s="18"/>
    </row>
    <row r="191" spans="1:60" x14ac:dyDescent="0.2">
      <c r="A191" s="16">
        <v>2024</v>
      </c>
      <c r="B191" s="16">
        <v>4</v>
      </c>
      <c r="C191" s="20"/>
      <c r="D191" s="18"/>
      <c r="E191" s="20">
        <v>1.50382848978337E-2</v>
      </c>
      <c r="F191" s="18"/>
      <c r="G191" s="20">
        <v>-1.3086073512188299E-4</v>
      </c>
      <c r="H191" s="18"/>
      <c r="I191" s="20">
        <v>2.2980198437375601E-5</v>
      </c>
      <c r="J191" s="18"/>
      <c r="K191" s="20">
        <v>4.5283516455988798E-3</v>
      </c>
      <c r="L191" s="18"/>
      <c r="M191" s="20">
        <v>1.1045348155476101E-2</v>
      </c>
      <c r="N191" s="18"/>
      <c r="O191" s="20">
        <v>-6.8221066738607498E-3</v>
      </c>
      <c r="P191" s="18"/>
      <c r="Q191" s="20">
        <v>-4.0630738412493397E-3</v>
      </c>
      <c r="R191" s="18"/>
      <c r="S191" s="20">
        <v>-4.0290976663465497E-5</v>
      </c>
      <c r="T191" s="18"/>
      <c r="U191" s="20">
        <v>5.6848881870273399E-4</v>
      </c>
      <c r="V191" s="18"/>
      <c r="W191" s="20">
        <v>-2.3571756349802001E-4</v>
      </c>
      <c r="X191" s="18"/>
      <c r="Y191" s="20">
        <v>1.46259170533333E-3</v>
      </c>
      <c r="Z191" s="18"/>
      <c r="AA191" s="20">
        <v>7.0241880277635202E-4</v>
      </c>
      <c r="AB191" s="18"/>
      <c r="AC191" s="20">
        <v>2.16264758158055E-4</v>
      </c>
      <c r="AD191" s="18"/>
      <c r="AE191" s="20">
        <v>2.30780205759405E-3</v>
      </c>
      <c r="AF191" s="18"/>
      <c r="AG191" s="20">
        <v>2.6149269425638699E-3</v>
      </c>
      <c r="AH191" s="18"/>
      <c r="AI191" s="20">
        <v>8.6526884351094803E-4</v>
      </c>
      <c r="AJ191" s="18"/>
      <c r="AK191" s="20">
        <v>1.5876633880299699E-3</v>
      </c>
      <c r="AL191" s="18"/>
      <c r="AM191" s="20">
        <v>3.5999873035366999E-3</v>
      </c>
      <c r="AN191" s="18"/>
      <c r="AO191" s="20">
        <v>9.61951269070925E-4</v>
      </c>
      <c r="AP191" s="18"/>
      <c r="AQ191" s="20">
        <v>4.9920182814511705E-4</v>
      </c>
      <c r="AR191" s="18"/>
      <c r="AS191" s="20">
        <v>3.2153628209377698E-3</v>
      </c>
      <c r="AT191" s="18"/>
      <c r="AU191" s="20">
        <v>1.7409877292168599E-3</v>
      </c>
      <c r="AV191" s="18"/>
      <c r="AW191" s="20">
        <v>-1.22080524210927E-4</v>
      </c>
      <c r="AX191" s="18"/>
      <c r="AY191" s="20">
        <v>-9.5110427855192806E-5</v>
      </c>
      <c r="AZ191" s="18"/>
      <c r="BA191" s="20">
        <v>-7.7928997010566706E-5</v>
      </c>
      <c r="BB191" s="18"/>
      <c r="BC191" s="20">
        <v>5.3299644049125804E-4</v>
      </c>
      <c r="BD191" s="18"/>
      <c r="BE191" s="20">
        <v>-6.7550506974800497E-4</v>
      </c>
      <c r="BF191" s="18"/>
      <c r="BG191" s="20"/>
      <c r="BH191" s="18"/>
    </row>
    <row r="192" spans="1:60" x14ac:dyDescent="0.2">
      <c r="A192" s="16">
        <v>2025</v>
      </c>
      <c r="B192" s="16">
        <v>1</v>
      </c>
      <c r="C192" s="20"/>
      <c r="D192" s="18"/>
      <c r="E192" s="20">
        <v>2.4531874273495499E-2</v>
      </c>
      <c r="F192" s="18"/>
      <c r="G192" s="20">
        <v>-1.2734152824189101E-4</v>
      </c>
      <c r="H192" s="18"/>
      <c r="I192" s="20">
        <v>5.8097813910235702E-6</v>
      </c>
      <c r="J192" s="18"/>
      <c r="K192" s="20">
        <v>1.0072957629998901E-2</v>
      </c>
      <c r="L192" s="18"/>
      <c r="M192" s="20">
        <v>1.35763543246119E-2</v>
      </c>
      <c r="N192" s="18"/>
      <c r="O192" s="20">
        <v>-3.7305768741916199E-3</v>
      </c>
      <c r="P192" s="18"/>
      <c r="Q192" s="20">
        <v>-2.3072552680330799E-3</v>
      </c>
      <c r="R192" s="18"/>
      <c r="S192" s="20">
        <v>7.39603081739878E-6</v>
      </c>
      <c r="T192" s="18"/>
      <c r="U192" s="20">
        <v>8.3419116164578299E-4</v>
      </c>
      <c r="V192" s="18"/>
      <c r="W192" s="20">
        <v>3.6335471011804E-3</v>
      </c>
      <c r="X192" s="18"/>
      <c r="Y192" s="20">
        <v>5.3827760029438699E-4</v>
      </c>
      <c r="Z192" s="18"/>
      <c r="AA192" s="20">
        <v>3.0932986818203002E-4</v>
      </c>
      <c r="AB192" s="18"/>
      <c r="AC192" s="20">
        <v>-2.9360547916012402E-4</v>
      </c>
      <c r="AD192" s="18"/>
      <c r="AE192" s="20">
        <v>1.2762310992491001E-3</v>
      </c>
      <c r="AF192" s="18"/>
      <c r="AG192" s="20">
        <v>3.4628369055801698E-3</v>
      </c>
      <c r="AH192" s="18"/>
      <c r="AI192" s="20">
        <v>2.2539417866804701E-3</v>
      </c>
      <c r="AJ192" s="18"/>
      <c r="AK192" s="20">
        <v>6.1137198243926805E-4</v>
      </c>
      <c r="AL192" s="18"/>
      <c r="AM192" s="20">
        <v>3.6301029864846701E-3</v>
      </c>
      <c r="AN192" s="18"/>
      <c r="AO192" s="20">
        <v>9.9146711929782292E-4</v>
      </c>
      <c r="AP192" s="18"/>
      <c r="AQ192" s="20">
        <v>5.4946593513333899E-4</v>
      </c>
      <c r="AR192" s="18"/>
      <c r="AS192" s="20">
        <v>2.7367640492293901E-3</v>
      </c>
      <c r="AT192" s="18"/>
      <c r="AU192" s="20">
        <v>-1.9544412366961599E-4</v>
      </c>
      <c r="AV192" s="18"/>
      <c r="AW192" s="20">
        <v>-1.6114296491089299E-4</v>
      </c>
      <c r="AX192" s="18"/>
      <c r="AY192" s="20">
        <v>-8.9683982143783299E-6</v>
      </c>
      <c r="AZ192" s="18"/>
      <c r="BA192" s="20">
        <v>8.7740739463150203E-4</v>
      </c>
      <c r="BB192" s="18"/>
      <c r="BC192" s="20">
        <v>1.17868369464747E-3</v>
      </c>
      <c r="BD192" s="18"/>
      <c r="BE192" s="20">
        <v>-3.3901293170478198E-4</v>
      </c>
      <c r="BF192" s="18"/>
      <c r="BG192" s="20"/>
      <c r="BH192" s="18"/>
    </row>
    <row r="193" spans="1:60" x14ac:dyDescent="0.2">
      <c r="A193" s="16">
        <v>2025</v>
      </c>
      <c r="B193" s="16">
        <v>2</v>
      </c>
      <c r="C193" s="20"/>
      <c r="D193" s="18"/>
      <c r="E193" s="20">
        <v>1.2375298480462401E-2</v>
      </c>
      <c r="F193" s="18"/>
      <c r="G193" s="20">
        <v>-1.27445025879717E-4</v>
      </c>
      <c r="H193" s="18"/>
      <c r="I193" s="20">
        <v>-1.1699260754895099E-5</v>
      </c>
      <c r="J193" s="18"/>
      <c r="K193" s="20">
        <v>-7.1725380375453303E-4</v>
      </c>
      <c r="L193" s="18"/>
      <c r="M193" s="20">
        <v>5.6298369492364803E-3</v>
      </c>
      <c r="N193" s="18"/>
      <c r="O193" s="20">
        <v>-6.2966261840613196E-3</v>
      </c>
      <c r="P193" s="18"/>
      <c r="Q193" s="20">
        <v>-6.6961431104463104E-4</v>
      </c>
      <c r="R193" s="18"/>
      <c r="S193" s="20">
        <v>2.6374502597848999E-5</v>
      </c>
      <c r="T193" s="18"/>
      <c r="U193" s="20">
        <v>5.2882016548554697E-4</v>
      </c>
      <c r="V193" s="18"/>
      <c r="W193" s="20">
        <v>6.9970300336000199E-3</v>
      </c>
      <c r="X193" s="18"/>
      <c r="Y193" s="20">
        <v>8.36309405542657E-4</v>
      </c>
      <c r="Z193" s="18"/>
      <c r="AA193" s="20">
        <v>7.2910848535084004E-4</v>
      </c>
      <c r="AB193" s="18"/>
      <c r="AC193" s="20">
        <v>2.0965240069791501E-4</v>
      </c>
      <c r="AD193" s="18"/>
      <c r="AE193" s="20">
        <v>5.9964249827502698E-4</v>
      </c>
      <c r="AF193" s="18"/>
      <c r="AG193" s="20">
        <v>2.3181100726006299E-3</v>
      </c>
      <c r="AH193" s="18"/>
      <c r="AI193" s="20">
        <v>2.1280256542645102E-3</v>
      </c>
      <c r="AJ193" s="18"/>
      <c r="AK193" s="20">
        <v>-7.8739569151472499E-5</v>
      </c>
      <c r="AL193" s="18"/>
      <c r="AM193" s="20">
        <v>1.4308887985638101E-3</v>
      </c>
      <c r="AN193" s="18"/>
      <c r="AO193" s="20">
        <v>1.5871245741121099E-3</v>
      </c>
      <c r="AP193" s="18"/>
      <c r="AQ193" s="20">
        <v>6.9334723590733498E-4</v>
      </c>
      <c r="AR193" s="18"/>
      <c r="AS193" s="20">
        <v>1.5571582944474199E-3</v>
      </c>
      <c r="AT193" s="18"/>
      <c r="AU193" s="20">
        <v>-2.6028866883670201E-3</v>
      </c>
      <c r="AV193" s="18"/>
      <c r="AW193" s="20">
        <v>-6.3295885223960401E-5</v>
      </c>
      <c r="AX193" s="18"/>
      <c r="AY193" s="20">
        <v>6.1080597028960102E-5</v>
      </c>
      <c r="AZ193" s="18"/>
      <c r="BA193" s="20">
        <v>5.0027212293242602E-4</v>
      </c>
      <c r="BB193" s="18"/>
      <c r="BC193" s="20">
        <v>6.6178860994552601E-4</v>
      </c>
      <c r="BD193" s="18"/>
      <c r="BE193" s="20">
        <v>-1.5771316879530399E-4</v>
      </c>
      <c r="BF193" s="18"/>
      <c r="BG193" s="20"/>
      <c r="BH193" s="18"/>
    </row>
    <row r="194" spans="1:60" x14ac:dyDescent="0.2">
      <c r="A194" s="16"/>
      <c r="B194" s="16"/>
      <c r="C194" s="20"/>
      <c r="D194" s="18"/>
      <c r="E194" s="20"/>
      <c r="F194" s="18"/>
      <c r="G194" s="20"/>
      <c r="H194" s="18"/>
      <c r="I194" s="20"/>
      <c r="J194" s="18"/>
      <c r="K194" s="20"/>
      <c r="L194" s="18"/>
      <c r="M194" s="20"/>
      <c r="N194" s="18"/>
      <c r="O194" s="20"/>
      <c r="P194" s="18"/>
      <c r="Q194" s="20"/>
      <c r="R194" s="18"/>
      <c r="S194" s="20"/>
      <c r="T194" s="18"/>
      <c r="U194" s="20"/>
      <c r="V194" s="18"/>
      <c r="W194" s="20"/>
      <c r="X194" s="18"/>
      <c r="Y194" s="20"/>
      <c r="Z194" s="18"/>
      <c r="AA194" s="20"/>
      <c r="AB194" s="18"/>
      <c r="AC194" s="20"/>
      <c r="AD194" s="18"/>
      <c r="AE194" s="20"/>
      <c r="AF194" s="18"/>
      <c r="AG194" s="20"/>
      <c r="AH194" s="18"/>
      <c r="AI194" s="20"/>
      <c r="AJ194" s="18"/>
      <c r="AK194" s="20"/>
      <c r="AL194" s="18"/>
      <c r="AM194" s="20"/>
      <c r="AN194" s="18"/>
      <c r="AO194" s="20"/>
      <c r="AP194" s="18"/>
      <c r="AQ194" s="20"/>
      <c r="AR194" s="18"/>
      <c r="AS194" s="20"/>
      <c r="AT194" s="18"/>
      <c r="AU194" s="20"/>
      <c r="AV194" s="18"/>
      <c r="AW194" s="20"/>
      <c r="AX194" s="18"/>
      <c r="AY194" s="20"/>
      <c r="AZ194" s="18"/>
      <c r="BA194" s="20"/>
      <c r="BB194" s="18"/>
      <c r="BC194" s="20"/>
      <c r="BD194" s="18"/>
      <c r="BE194" s="20"/>
      <c r="BF194" s="18"/>
      <c r="BG194" s="20"/>
      <c r="BH194"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I6:AJ6"/>
    <mergeCell ref="AI7:AJ7"/>
    <mergeCell ref="AI8:AJ10"/>
    <mergeCell ref="AK6:AL6"/>
    <mergeCell ref="AK7:AL7"/>
    <mergeCell ref="AK8:AL10"/>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le07"/>
  <dimension ref="A1:BH57"/>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9"/>
      <c r="E1" s="9"/>
      <c r="G1" s="9"/>
      <c r="I1" s="9"/>
      <c r="K1" s="9"/>
      <c r="M1" s="9"/>
      <c r="Q1" s="9"/>
      <c r="S1" s="9"/>
      <c r="U1" s="9"/>
      <c r="W1" s="9"/>
      <c r="Y1" s="9"/>
      <c r="AA1" s="9"/>
      <c r="AG1" s="9"/>
      <c r="AI1" s="9"/>
      <c r="AM1" s="9"/>
      <c r="AO1" s="9"/>
      <c r="AQ1" s="9"/>
      <c r="AS1" s="9"/>
      <c r="AU1" s="9"/>
      <c r="AW1" s="9"/>
    </row>
    <row r="2" spans="1:60" ht="11.25" customHeight="1" x14ac:dyDescent="0.2">
      <c r="A2" s="4" t="str">
        <f ca="1">INDIRECT("beschriftung!"&amp;ADDRESS(beschriftung!$C$1*12+ROW(beschriftung!$A2)-1,COLUMN(beschriftung!B$1)))</f>
        <v>In Mio. Swiss Francs, at current prices, percentage change to previous year</v>
      </c>
      <c r="C2" s="9"/>
      <c r="E2" s="9"/>
      <c r="G2" s="9"/>
      <c r="I2" s="9"/>
      <c r="K2" s="9"/>
      <c r="M2" s="9"/>
      <c r="Q2" s="9"/>
      <c r="S2" s="9"/>
      <c r="U2" s="9"/>
      <c r="W2" s="9"/>
      <c r="Y2" s="9"/>
      <c r="AA2" s="9"/>
      <c r="AG2" s="9"/>
      <c r="AI2" s="9"/>
      <c r="AM2" s="9"/>
      <c r="AO2" s="9"/>
      <c r="AQ2" s="9"/>
      <c r="AS2" s="9"/>
      <c r="AU2" s="9"/>
      <c r="AW2" s="9"/>
    </row>
    <row r="3" spans="1:60" ht="11.25" customHeight="1" x14ac:dyDescent="0.2">
      <c r="C3" s="9"/>
      <c r="E3" s="9"/>
      <c r="G3" s="9"/>
      <c r="I3" s="9"/>
      <c r="K3" s="9"/>
      <c r="M3" s="9"/>
      <c r="Q3" s="9"/>
      <c r="S3" s="9"/>
      <c r="U3" s="9"/>
      <c r="W3" s="9"/>
      <c r="Y3" s="9"/>
      <c r="AA3" s="9"/>
      <c r="AG3" s="9"/>
      <c r="AI3" s="9"/>
      <c r="AM3" s="9"/>
      <c r="AO3" s="9"/>
      <c r="AQ3" s="9"/>
      <c r="AS3" s="9"/>
      <c r="AU3" s="9"/>
      <c r="AW3" s="9"/>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c r="C12" s="17">
        <v>208464.80421551599</v>
      </c>
      <c r="D12" s="18"/>
      <c r="E12" s="17"/>
      <c r="F12" s="18"/>
      <c r="G12" s="17"/>
      <c r="H12" s="18"/>
      <c r="I12" s="17"/>
      <c r="J12" s="18"/>
      <c r="K12" s="17"/>
      <c r="L12" s="18"/>
      <c r="M12" s="17"/>
      <c r="N12" s="18"/>
      <c r="O12" s="17"/>
      <c r="P12" s="18"/>
      <c r="Q12" s="17"/>
      <c r="R12" s="18"/>
      <c r="S12" s="17"/>
      <c r="T12" s="18"/>
      <c r="U12" s="17"/>
      <c r="V12" s="18"/>
      <c r="W12" s="17"/>
      <c r="X12" s="18"/>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row>
    <row r="13" spans="1:60" x14ac:dyDescent="0.2">
      <c r="A13" s="16">
        <v>1981</v>
      </c>
      <c r="B13" s="16"/>
      <c r="C13" s="17">
        <v>223793.42257401199</v>
      </c>
      <c r="D13" s="18">
        <v>7.3530965652354799E-2</v>
      </c>
      <c r="E13" s="17"/>
      <c r="F13" s="18"/>
      <c r="G13" s="17"/>
      <c r="H13" s="18"/>
      <c r="I13" s="17"/>
      <c r="J13" s="18"/>
      <c r="K13" s="17"/>
      <c r="L13" s="18"/>
      <c r="M13" s="17"/>
      <c r="N13" s="18"/>
      <c r="O13" s="17"/>
      <c r="P13" s="18"/>
      <c r="Q13" s="17"/>
      <c r="R13" s="18"/>
      <c r="S13" s="17"/>
      <c r="T13" s="18"/>
      <c r="U13" s="17"/>
      <c r="V13" s="18"/>
      <c r="W13" s="17"/>
      <c r="X13" s="18"/>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row>
    <row r="14" spans="1:60" x14ac:dyDescent="0.2">
      <c r="A14" s="16">
        <v>1982</v>
      </c>
      <c r="B14" s="16"/>
      <c r="C14" s="17">
        <v>237092.138635243</v>
      </c>
      <c r="D14" s="18">
        <v>5.9424070235276003E-2</v>
      </c>
      <c r="E14" s="17"/>
      <c r="F14" s="18"/>
      <c r="G14" s="17"/>
      <c r="H14" s="18"/>
      <c r="I14" s="17"/>
      <c r="J14" s="18"/>
      <c r="K14" s="17"/>
      <c r="L14" s="18"/>
      <c r="M14" s="17"/>
      <c r="N14" s="18"/>
      <c r="O14" s="17"/>
      <c r="P14" s="18"/>
      <c r="Q14" s="17"/>
      <c r="R14" s="18"/>
      <c r="S14" s="17"/>
      <c r="T14" s="18"/>
      <c r="U14" s="17"/>
      <c r="V14" s="18"/>
      <c r="W14" s="17"/>
      <c r="X14" s="18"/>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row>
    <row r="15" spans="1:60" x14ac:dyDescent="0.2">
      <c r="A15" s="16">
        <v>1983</v>
      </c>
      <c r="B15" s="16"/>
      <c r="C15" s="17">
        <v>244254.905181682</v>
      </c>
      <c r="D15" s="18">
        <v>3.0210898546319202E-2</v>
      </c>
      <c r="E15" s="17"/>
      <c r="F15" s="18"/>
      <c r="G15" s="17"/>
      <c r="H15" s="18"/>
      <c r="I15" s="17"/>
      <c r="J15" s="18"/>
      <c r="K15" s="17"/>
      <c r="L15" s="18"/>
      <c r="M15" s="17"/>
      <c r="N15" s="18"/>
      <c r="O15" s="17"/>
      <c r="P15" s="18"/>
      <c r="Q15" s="17"/>
      <c r="R15" s="18"/>
      <c r="S15" s="17"/>
      <c r="T15" s="18"/>
      <c r="U15" s="17"/>
      <c r="V15" s="18"/>
      <c r="W15" s="17"/>
      <c r="X15" s="18"/>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row>
    <row r="16" spans="1:60" x14ac:dyDescent="0.2">
      <c r="A16" s="16">
        <v>1984</v>
      </c>
      <c r="B16" s="16"/>
      <c r="C16" s="17">
        <v>261062.577179913</v>
      </c>
      <c r="D16" s="18">
        <v>6.8812014177275393E-2</v>
      </c>
      <c r="E16" s="17"/>
      <c r="F16" s="18"/>
      <c r="G16" s="17"/>
      <c r="H16" s="18"/>
      <c r="I16" s="17"/>
      <c r="J16" s="18"/>
      <c r="K16" s="17"/>
      <c r="L16" s="18"/>
      <c r="M16" s="17"/>
      <c r="N16" s="18"/>
      <c r="O16" s="17"/>
      <c r="P16" s="18"/>
      <c r="Q16" s="17"/>
      <c r="R16" s="18"/>
      <c r="S16" s="17"/>
      <c r="T16" s="18"/>
      <c r="U16" s="17"/>
      <c r="V16" s="18"/>
      <c r="W16" s="17"/>
      <c r="X16" s="18"/>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row>
    <row r="17" spans="1:60" x14ac:dyDescent="0.2">
      <c r="A17" s="16">
        <v>1985</v>
      </c>
      <c r="B17" s="16"/>
      <c r="C17" s="17">
        <v>276798.76097352902</v>
      </c>
      <c r="D17" s="18">
        <v>6.0277439852174201E-2</v>
      </c>
      <c r="E17" s="17"/>
      <c r="F17" s="18"/>
      <c r="G17" s="17"/>
      <c r="H17" s="18"/>
      <c r="I17" s="17"/>
      <c r="J17" s="18"/>
      <c r="K17" s="17"/>
      <c r="L17" s="18"/>
      <c r="M17" s="17"/>
      <c r="N17" s="18"/>
      <c r="O17" s="17"/>
      <c r="P17" s="18"/>
      <c r="Q17" s="17"/>
      <c r="R17" s="18"/>
      <c r="S17" s="17"/>
      <c r="T17" s="18"/>
      <c r="U17" s="17"/>
      <c r="V17" s="18"/>
      <c r="W17" s="17"/>
      <c r="X17" s="18"/>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row>
    <row r="18" spans="1:60" x14ac:dyDescent="0.2">
      <c r="A18" s="16">
        <v>1986</v>
      </c>
      <c r="B18" s="16"/>
      <c r="C18" s="17">
        <v>290499.27185702301</v>
      </c>
      <c r="D18" s="18">
        <v>4.9496286888381001E-2</v>
      </c>
      <c r="E18" s="17"/>
      <c r="F18" s="18"/>
      <c r="G18" s="17"/>
      <c r="H18" s="18"/>
      <c r="I18" s="17"/>
      <c r="J18" s="18"/>
      <c r="K18" s="17"/>
      <c r="L18" s="18"/>
      <c r="M18" s="17"/>
      <c r="N18" s="18"/>
      <c r="O18" s="17"/>
      <c r="P18" s="18"/>
      <c r="Q18" s="17"/>
      <c r="R18" s="18"/>
      <c r="S18" s="17"/>
      <c r="T18" s="18"/>
      <c r="U18" s="17"/>
      <c r="V18" s="18"/>
      <c r="W18" s="17"/>
      <c r="X18" s="18"/>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row>
    <row r="19" spans="1:60" x14ac:dyDescent="0.2">
      <c r="A19" s="16">
        <v>1987</v>
      </c>
      <c r="B19" s="16"/>
      <c r="C19" s="17">
        <v>301578.15232860198</v>
      </c>
      <c r="D19" s="18">
        <v>3.81373777660678E-2</v>
      </c>
      <c r="E19" s="17"/>
      <c r="F19" s="18"/>
      <c r="G19" s="17"/>
      <c r="H19" s="18"/>
      <c r="I19" s="17"/>
      <c r="J19" s="18"/>
      <c r="K19" s="17"/>
      <c r="L19" s="18"/>
      <c r="M19" s="17"/>
      <c r="N19" s="18"/>
      <c r="O19" s="17"/>
      <c r="P19" s="18"/>
      <c r="Q19" s="17"/>
      <c r="R19" s="18"/>
      <c r="S19" s="17"/>
      <c r="T19" s="18"/>
      <c r="U19" s="17"/>
      <c r="V19" s="18"/>
      <c r="W19" s="17"/>
      <c r="X19" s="18"/>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row>
    <row r="20" spans="1:60" x14ac:dyDescent="0.2">
      <c r="A20" s="16">
        <v>1988</v>
      </c>
      <c r="B20" s="16"/>
      <c r="C20" s="17">
        <v>320153.21761587699</v>
      </c>
      <c r="D20" s="18">
        <v>6.1592874496543E-2</v>
      </c>
      <c r="E20" s="17"/>
      <c r="F20" s="18"/>
      <c r="G20" s="17"/>
      <c r="H20" s="18"/>
      <c r="I20" s="17"/>
      <c r="J20" s="18"/>
      <c r="K20" s="17"/>
      <c r="L20" s="18"/>
      <c r="M20" s="17"/>
      <c r="N20" s="18"/>
      <c r="O20" s="17"/>
      <c r="P20" s="18"/>
      <c r="Q20" s="17"/>
      <c r="R20" s="18"/>
      <c r="S20" s="17"/>
      <c r="T20" s="18"/>
      <c r="U20" s="17"/>
      <c r="V20" s="18"/>
      <c r="W20" s="17"/>
      <c r="X20" s="18"/>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row>
    <row r="21" spans="1:60" x14ac:dyDescent="0.2">
      <c r="A21" s="16">
        <v>1989</v>
      </c>
      <c r="B21" s="16"/>
      <c r="C21" s="17">
        <v>345570.28803694498</v>
      </c>
      <c r="D21" s="18">
        <v>7.9390332573710601E-2</v>
      </c>
      <c r="E21" s="17"/>
      <c r="F21" s="18"/>
      <c r="G21" s="17"/>
      <c r="H21" s="18"/>
      <c r="I21" s="17"/>
      <c r="J21" s="18"/>
      <c r="K21" s="17"/>
      <c r="L21" s="18"/>
      <c r="M21" s="17"/>
      <c r="N21" s="18"/>
      <c r="O21" s="17"/>
      <c r="P21" s="18"/>
      <c r="Q21" s="17"/>
      <c r="R21" s="18"/>
      <c r="S21" s="17"/>
      <c r="T21" s="18"/>
      <c r="U21" s="17"/>
      <c r="V21" s="18"/>
      <c r="W21" s="17"/>
      <c r="X21" s="18"/>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row>
    <row r="22" spans="1:60" x14ac:dyDescent="0.2">
      <c r="A22" s="16">
        <v>1990</v>
      </c>
      <c r="B22" s="16"/>
      <c r="C22" s="17">
        <v>374762.03661856701</v>
      </c>
      <c r="D22" s="18">
        <v>8.4474127528293697E-2</v>
      </c>
      <c r="E22" s="17">
        <v>364873.53079775302</v>
      </c>
      <c r="F22" s="18"/>
      <c r="G22" s="17">
        <v>7777.9369715272696</v>
      </c>
      <c r="H22" s="18"/>
      <c r="I22" s="17">
        <v>546.36102173195195</v>
      </c>
      <c r="J22" s="18"/>
      <c r="K22" s="17">
        <v>73883.469998335</v>
      </c>
      <c r="L22" s="18"/>
      <c r="M22" s="17">
        <v>11814.7460391971</v>
      </c>
      <c r="N22" s="18"/>
      <c r="O22" s="17">
        <v>62068.723959137897</v>
      </c>
      <c r="P22" s="18"/>
      <c r="Q22" s="17">
        <v>6306.5216120067998</v>
      </c>
      <c r="R22" s="18"/>
      <c r="S22" s="17">
        <v>2938.74811243256</v>
      </c>
      <c r="T22" s="18"/>
      <c r="U22" s="17">
        <v>28855.6156631554</v>
      </c>
      <c r="V22" s="18"/>
      <c r="W22" s="17">
        <v>61260.701389895898</v>
      </c>
      <c r="X22" s="18"/>
      <c r="Y22" s="17">
        <v>20973.8109926699</v>
      </c>
      <c r="Z22" s="18"/>
      <c r="AA22" s="17">
        <v>14972.155096169599</v>
      </c>
      <c r="AB22" s="18"/>
      <c r="AC22" s="17">
        <v>8099.8826558103601</v>
      </c>
      <c r="AD22" s="18"/>
      <c r="AE22" s="17">
        <v>16598.803640889098</v>
      </c>
      <c r="AF22" s="18"/>
      <c r="AG22" s="17">
        <v>27626.481886543101</v>
      </c>
      <c r="AH22" s="18"/>
      <c r="AI22" s="17">
        <v>11231.120461583299</v>
      </c>
      <c r="AJ22" s="18"/>
      <c r="AK22" s="17">
        <v>15567.6399108597</v>
      </c>
      <c r="AL22" s="18"/>
      <c r="AM22" s="17">
        <v>51845.526927526502</v>
      </c>
      <c r="AN22" s="18"/>
      <c r="AO22" s="17">
        <v>23693.131560962702</v>
      </c>
      <c r="AP22" s="18"/>
      <c r="AQ22" s="17">
        <v>16087.316359104199</v>
      </c>
      <c r="AR22" s="18"/>
      <c r="AS22" s="17">
        <v>15788.270306030199</v>
      </c>
      <c r="AT22" s="18"/>
      <c r="AU22" s="17">
        <v>1250.40953438714</v>
      </c>
      <c r="AV22" s="18"/>
      <c r="AW22" s="17">
        <v>6119.08897450518</v>
      </c>
      <c r="AX22" s="18"/>
      <c r="AY22" s="17">
        <v>1223.1090867402199</v>
      </c>
      <c r="AZ22" s="18"/>
      <c r="BA22" s="17">
        <v>9888.5058208138198</v>
      </c>
      <c r="BB22" s="18"/>
      <c r="BC22" s="17">
        <v>17912.119351712601</v>
      </c>
      <c r="BD22" s="18"/>
      <c r="BE22" s="17">
        <v>-8023.6135308987796</v>
      </c>
      <c r="BF22" s="18"/>
      <c r="BG22" s="17"/>
      <c r="BH22" s="18"/>
    </row>
    <row r="23" spans="1:60" x14ac:dyDescent="0.2">
      <c r="A23" s="16">
        <v>1991</v>
      </c>
      <c r="B23" s="16"/>
      <c r="C23" s="17">
        <v>391415.52755128301</v>
      </c>
      <c r="D23" s="18">
        <v>4.44375078195711E-2</v>
      </c>
      <c r="E23" s="17">
        <v>382423.14285251102</v>
      </c>
      <c r="F23" s="18">
        <v>4.8097794368332697E-2</v>
      </c>
      <c r="G23" s="17">
        <v>7642.6333434062099</v>
      </c>
      <c r="H23" s="18">
        <v>-1.7395824704721299E-2</v>
      </c>
      <c r="I23" s="17">
        <v>581.08140271871798</v>
      </c>
      <c r="J23" s="18">
        <v>6.3548422390571305E-2</v>
      </c>
      <c r="K23" s="17">
        <v>76853.014977261701</v>
      </c>
      <c r="L23" s="18">
        <v>4.0192278177968901E-2</v>
      </c>
      <c r="M23" s="17">
        <v>12657.9502991893</v>
      </c>
      <c r="N23" s="18">
        <v>7.1368801089312803E-2</v>
      </c>
      <c r="O23" s="17">
        <v>64195.064678072398</v>
      </c>
      <c r="P23" s="18">
        <v>3.4257844906467702E-2</v>
      </c>
      <c r="Q23" s="17">
        <v>7341.48151092646</v>
      </c>
      <c r="R23" s="18">
        <v>0.16410946676995899</v>
      </c>
      <c r="S23" s="17">
        <v>2903.7745909130299</v>
      </c>
      <c r="T23" s="18">
        <v>-1.1900823133351199E-2</v>
      </c>
      <c r="U23" s="17">
        <v>29134.045711859198</v>
      </c>
      <c r="V23" s="18">
        <v>9.6490766980694698E-3</v>
      </c>
      <c r="W23" s="17">
        <v>58960.190794272698</v>
      </c>
      <c r="X23" s="18">
        <v>-3.75527955676105E-2</v>
      </c>
      <c r="Y23" s="17">
        <v>20633.031963901401</v>
      </c>
      <c r="Z23" s="18">
        <v>-1.6247835402330699E-2</v>
      </c>
      <c r="AA23" s="17">
        <v>17761.990384313001</v>
      </c>
      <c r="AB23" s="18">
        <v>0.18633491773386099</v>
      </c>
      <c r="AC23" s="17">
        <v>8820.96750913295</v>
      </c>
      <c r="AD23" s="18">
        <v>8.9024111084539101E-2</v>
      </c>
      <c r="AE23" s="17">
        <v>18057.815897912002</v>
      </c>
      <c r="AF23" s="18">
        <v>8.7898639479582902E-2</v>
      </c>
      <c r="AG23" s="17">
        <v>29480.748734537101</v>
      </c>
      <c r="AH23" s="18">
        <v>6.7119181356826402E-2</v>
      </c>
      <c r="AI23" s="17">
        <v>12692.707294366801</v>
      </c>
      <c r="AJ23" s="18">
        <v>0.13013722342155801</v>
      </c>
      <c r="AK23" s="17">
        <v>15839.683510020701</v>
      </c>
      <c r="AL23" s="18">
        <v>1.7474941655814199E-2</v>
      </c>
      <c r="AM23" s="17">
        <v>56166.116139803897</v>
      </c>
      <c r="AN23" s="18">
        <v>8.3335814453523199E-2</v>
      </c>
      <c r="AO23" s="17">
        <v>25850.387832111501</v>
      </c>
      <c r="AP23" s="18">
        <v>9.10498582932424E-2</v>
      </c>
      <c r="AQ23" s="17">
        <v>16758.846501664801</v>
      </c>
      <c r="AR23" s="18">
        <v>4.1742831903754898E-2</v>
      </c>
      <c r="AS23" s="17">
        <v>17124.6214092556</v>
      </c>
      <c r="AT23" s="18">
        <v>8.4642020773803006E-2</v>
      </c>
      <c r="AU23" s="17">
        <v>1550.35948493248</v>
      </c>
      <c r="AV23" s="18">
        <v>0.239881368700811</v>
      </c>
      <c r="AW23" s="17">
        <v>6110.0287488404201</v>
      </c>
      <c r="AX23" s="18">
        <v>-1.4806494402196399E-3</v>
      </c>
      <c r="AY23" s="17">
        <v>1325.0378786492199</v>
      </c>
      <c r="AZ23" s="18">
        <v>8.3335814453523394E-2</v>
      </c>
      <c r="BA23" s="17">
        <v>8992.3846987719298</v>
      </c>
      <c r="BB23" s="18">
        <v>-9.0622500333234199E-2</v>
      </c>
      <c r="BC23" s="17">
        <v>18141.093560904999</v>
      </c>
      <c r="BD23" s="18">
        <v>1.2783200284477001E-2</v>
      </c>
      <c r="BE23" s="17">
        <v>-9148.7088621330695</v>
      </c>
      <c r="BF23" s="18">
        <v>0.140223021323443</v>
      </c>
      <c r="BG23" s="17"/>
      <c r="BH23" s="18"/>
    </row>
    <row r="24" spans="1:60" x14ac:dyDescent="0.2">
      <c r="A24" s="16">
        <v>1992</v>
      </c>
      <c r="B24" s="16"/>
      <c r="C24" s="17">
        <v>399556.86425075599</v>
      </c>
      <c r="D24" s="18">
        <v>2.079972848907E-2</v>
      </c>
      <c r="E24" s="17">
        <v>391035.12594414601</v>
      </c>
      <c r="F24" s="18">
        <v>2.25195134044394E-2</v>
      </c>
      <c r="G24" s="17">
        <v>7135.1507264261199</v>
      </c>
      <c r="H24" s="18">
        <v>-6.6401539126291903E-2</v>
      </c>
      <c r="I24" s="17">
        <v>508.22998436352998</v>
      </c>
      <c r="J24" s="18">
        <v>-0.12537213893670701</v>
      </c>
      <c r="K24" s="17">
        <v>77218.761426759695</v>
      </c>
      <c r="L24" s="18">
        <v>4.75903840085157E-3</v>
      </c>
      <c r="M24" s="17">
        <v>13496.1997712839</v>
      </c>
      <c r="N24" s="18">
        <v>6.6223160328594793E-2</v>
      </c>
      <c r="O24" s="17">
        <v>63722.561655475802</v>
      </c>
      <c r="P24" s="18">
        <v>-7.3604259917193797E-3</v>
      </c>
      <c r="Q24" s="17">
        <v>8314.1389047511293</v>
      </c>
      <c r="R24" s="18">
        <v>0.132487889859429</v>
      </c>
      <c r="S24" s="17">
        <v>2869.7153231658699</v>
      </c>
      <c r="T24" s="18">
        <v>-1.172930841593E-2</v>
      </c>
      <c r="U24" s="17">
        <v>27504.2272117098</v>
      </c>
      <c r="V24" s="18">
        <v>-5.5942058863660098E-2</v>
      </c>
      <c r="W24" s="17">
        <v>60493.511200469802</v>
      </c>
      <c r="X24" s="18">
        <v>2.60060285684496E-2</v>
      </c>
      <c r="Y24" s="17">
        <v>20974.520787372301</v>
      </c>
      <c r="Z24" s="18">
        <v>1.6550588593491799E-2</v>
      </c>
      <c r="AA24" s="17">
        <v>17845.348296972501</v>
      </c>
      <c r="AB24" s="18">
        <v>4.6930502075410701E-3</v>
      </c>
      <c r="AC24" s="17">
        <v>9016.2198749711806</v>
      </c>
      <c r="AD24" s="18">
        <v>2.2135028344234101E-2</v>
      </c>
      <c r="AE24" s="17">
        <v>18179.076589202999</v>
      </c>
      <c r="AF24" s="18">
        <v>6.7151360926771498E-3</v>
      </c>
      <c r="AG24" s="17">
        <v>31093.865857042601</v>
      </c>
      <c r="AH24" s="18">
        <v>5.4717644284785601E-2</v>
      </c>
      <c r="AI24" s="17">
        <v>13860.764740160501</v>
      </c>
      <c r="AJ24" s="18">
        <v>9.2025871132480799E-2</v>
      </c>
      <c r="AK24" s="17">
        <v>16228.217685634399</v>
      </c>
      <c r="AL24" s="18">
        <v>2.4529162806056701E-2</v>
      </c>
      <c r="AM24" s="17">
        <v>59152.957610578604</v>
      </c>
      <c r="AN24" s="18">
        <v>5.3178707663175798E-2</v>
      </c>
      <c r="AO24" s="17">
        <v>27370.9145922305</v>
      </c>
      <c r="AP24" s="18">
        <v>5.8820268770984202E-2</v>
      </c>
      <c r="AQ24" s="17">
        <v>17408.764315934601</v>
      </c>
      <c r="AR24" s="18">
        <v>3.8780581599412701E-2</v>
      </c>
      <c r="AS24" s="17">
        <v>18045.936821709402</v>
      </c>
      <c r="AT24" s="18">
        <v>5.3800629540097199E-2</v>
      </c>
      <c r="AU24" s="17">
        <v>1456.79650606481</v>
      </c>
      <c r="AV24" s="18">
        <v>-6.0349215634814303E-2</v>
      </c>
      <c r="AW24" s="17">
        <v>6026.0090211523302</v>
      </c>
      <c r="AX24" s="18">
        <v>-1.37511182257593E-2</v>
      </c>
      <c r="AY24" s="17">
        <v>1395.5016806405399</v>
      </c>
      <c r="AZ24" s="18">
        <v>5.3178707663172002E-2</v>
      </c>
      <c r="BA24" s="17">
        <v>8521.73830660983</v>
      </c>
      <c r="BB24" s="18">
        <v>-5.2338329367334201E-2</v>
      </c>
      <c r="BC24" s="17">
        <v>18005.094930290099</v>
      </c>
      <c r="BD24" s="18">
        <v>-7.4967162347910898E-3</v>
      </c>
      <c r="BE24" s="17">
        <v>-9483.3566236802708</v>
      </c>
      <c r="BF24" s="18">
        <v>3.6578687396242801E-2</v>
      </c>
      <c r="BG24" s="17"/>
      <c r="BH24" s="18"/>
    </row>
    <row r="25" spans="1:60" x14ac:dyDescent="0.2">
      <c r="A25" s="16">
        <v>1993</v>
      </c>
      <c r="B25" s="16"/>
      <c r="C25" s="17">
        <v>408319.60620642401</v>
      </c>
      <c r="D25" s="18">
        <v>2.1931151081836499E-2</v>
      </c>
      <c r="E25" s="17">
        <v>399010.931118184</v>
      </c>
      <c r="F25" s="18">
        <v>2.0396646349303299E-2</v>
      </c>
      <c r="G25" s="17">
        <v>6663.6901825932</v>
      </c>
      <c r="H25" s="18">
        <v>-6.6075765167341802E-2</v>
      </c>
      <c r="I25" s="17">
        <v>507.311356880532</v>
      </c>
      <c r="J25" s="18">
        <v>-1.80750351467163E-3</v>
      </c>
      <c r="K25" s="17">
        <v>78006.221329004606</v>
      </c>
      <c r="L25" s="18">
        <v>1.0197779499374201E-2</v>
      </c>
      <c r="M25" s="17">
        <v>14362.2840015981</v>
      </c>
      <c r="N25" s="18">
        <v>6.4172451874710698E-2</v>
      </c>
      <c r="O25" s="17">
        <v>63643.9373274065</v>
      </c>
      <c r="P25" s="18">
        <v>-1.23385385060959E-3</v>
      </c>
      <c r="Q25" s="17">
        <v>9255.3258874825697</v>
      </c>
      <c r="R25" s="18">
        <v>0.1132031823757</v>
      </c>
      <c r="S25" s="17">
        <v>2835.1305491906</v>
      </c>
      <c r="T25" s="18">
        <v>-1.2051639302366499E-2</v>
      </c>
      <c r="U25" s="17">
        <v>26399.101757365799</v>
      </c>
      <c r="V25" s="18">
        <v>-4.0180203786038801E-2</v>
      </c>
      <c r="W25" s="17">
        <v>59539.074052456002</v>
      </c>
      <c r="X25" s="18">
        <v>-1.57775128120912E-2</v>
      </c>
      <c r="Y25" s="17">
        <v>20849.245221903799</v>
      </c>
      <c r="Z25" s="18">
        <v>-5.9727498300664603E-3</v>
      </c>
      <c r="AA25" s="17">
        <v>16612.979421495798</v>
      </c>
      <c r="AB25" s="18">
        <v>-6.9058269694055999E-2</v>
      </c>
      <c r="AC25" s="17">
        <v>9104.9257465541996</v>
      </c>
      <c r="AD25" s="18">
        <v>9.8384769685206895E-3</v>
      </c>
      <c r="AE25" s="17">
        <v>17716.695276317299</v>
      </c>
      <c r="AF25" s="18">
        <v>-2.5434807462129901E-2</v>
      </c>
      <c r="AG25" s="17">
        <v>37768.449211402898</v>
      </c>
      <c r="AH25" s="18">
        <v>0.21465916734340601</v>
      </c>
      <c r="AI25" s="17">
        <v>19710.951978357902</v>
      </c>
      <c r="AJ25" s="18">
        <v>0.42206814327112402</v>
      </c>
      <c r="AK25" s="17">
        <v>16789.874455207701</v>
      </c>
      <c r="AL25" s="18">
        <v>3.4609886338323299E-2</v>
      </c>
      <c r="AM25" s="17">
        <v>61196.984352188098</v>
      </c>
      <c r="AN25" s="18">
        <v>3.4554937304504901E-2</v>
      </c>
      <c r="AO25" s="17">
        <v>27946.683535256299</v>
      </c>
      <c r="AP25" s="18">
        <v>2.1035794806405501E-2</v>
      </c>
      <c r="AQ25" s="17">
        <v>18233.760879498001</v>
      </c>
      <c r="AR25" s="18">
        <v>4.7389725576801003E-2</v>
      </c>
      <c r="AS25" s="17">
        <v>18435.664690335099</v>
      </c>
      <c r="AT25" s="18">
        <v>2.1596433173636902E-2</v>
      </c>
      <c r="AU25" s="17">
        <v>1403.1742846521399</v>
      </c>
      <c r="AV25" s="18">
        <v>-3.6808312752972402E-2</v>
      </c>
      <c r="AW25" s="17">
        <v>5942.0354517873702</v>
      </c>
      <c r="AX25" s="18">
        <v>-1.3935188127034001E-2</v>
      </c>
      <c r="AY25" s="17">
        <v>1443.72315372341</v>
      </c>
      <c r="AZ25" s="18">
        <v>3.4554937304509502E-2</v>
      </c>
      <c r="BA25" s="17">
        <v>9308.6750882399792</v>
      </c>
      <c r="BB25" s="18">
        <v>9.2344631261414498E-2</v>
      </c>
      <c r="BC25" s="17">
        <v>18744.278866944001</v>
      </c>
      <c r="BD25" s="18">
        <v>4.1054153811228601E-2</v>
      </c>
      <c r="BE25" s="17">
        <v>-9435.6037787040204</v>
      </c>
      <c r="BF25" s="18">
        <v>-5.0354370157303903E-3</v>
      </c>
      <c r="BG25" s="17"/>
      <c r="BH25" s="18"/>
    </row>
    <row r="26" spans="1:60" x14ac:dyDescent="0.2">
      <c r="A26" s="16">
        <v>1994</v>
      </c>
      <c r="B26" s="16"/>
      <c r="C26" s="17">
        <v>418401.76711088698</v>
      </c>
      <c r="D26" s="18">
        <v>2.4691836373309101E-2</v>
      </c>
      <c r="E26" s="17">
        <v>408627.95665327</v>
      </c>
      <c r="F26" s="18">
        <v>2.4102160580252101E-2</v>
      </c>
      <c r="G26" s="17">
        <v>6291.2440029668896</v>
      </c>
      <c r="H26" s="18">
        <v>-5.5891881138052997E-2</v>
      </c>
      <c r="I26" s="17">
        <v>489.378270841024</v>
      </c>
      <c r="J26" s="18">
        <v>-3.53492698247053E-2</v>
      </c>
      <c r="K26" s="17">
        <v>81738.499931925297</v>
      </c>
      <c r="L26" s="18">
        <v>4.78459094586723E-2</v>
      </c>
      <c r="M26" s="17">
        <v>15330.476300754601</v>
      </c>
      <c r="N26" s="18">
        <v>6.7412139952724104E-2</v>
      </c>
      <c r="O26" s="17">
        <v>66408.023631170698</v>
      </c>
      <c r="P26" s="18">
        <v>4.3430473032250803E-2</v>
      </c>
      <c r="Q26" s="17">
        <v>11139.3742973892</v>
      </c>
      <c r="R26" s="18">
        <v>0.20356370297611301</v>
      </c>
      <c r="S26" s="17">
        <v>2768.6342287744701</v>
      </c>
      <c r="T26" s="18">
        <v>-2.3454412155769801E-2</v>
      </c>
      <c r="U26" s="17">
        <v>27724.221944650501</v>
      </c>
      <c r="V26" s="18">
        <v>5.0195654362178203E-2</v>
      </c>
      <c r="W26" s="17">
        <v>60875.345021631103</v>
      </c>
      <c r="X26" s="18">
        <v>2.2443596754591701E-2</v>
      </c>
      <c r="Y26" s="17">
        <v>20952.731201870702</v>
      </c>
      <c r="Z26" s="18">
        <v>4.9635360352604501E-3</v>
      </c>
      <c r="AA26" s="17">
        <v>16148.011291971001</v>
      </c>
      <c r="AB26" s="18">
        <v>-2.7988244476072399E-2</v>
      </c>
      <c r="AC26" s="17">
        <v>8985.3694415360696</v>
      </c>
      <c r="AD26" s="18">
        <v>-1.3130947834844E-2</v>
      </c>
      <c r="AE26" s="17">
        <v>17652.641571386299</v>
      </c>
      <c r="AF26" s="18">
        <v>-3.61544316996032E-3</v>
      </c>
      <c r="AG26" s="17">
        <v>35877.355118154403</v>
      </c>
      <c r="AH26" s="18">
        <v>-5.0070737155858899E-2</v>
      </c>
      <c r="AI26" s="17">
        <v>19499.086769075799</v>
      </c>
      <c r="AJ26" s="18">
        <v>-1.07486035943231E-2</v>
      </c>
      <c r="AK26" s="17">
        <v>15006.9189479872</v>
      </c>
      <c r="AL26" s="18">
        <v>-0.106192307272881</v>
      </c>
      <c r="AM26" s="17">
        <v>64744.8868941162</v>
      </c>
      <c r="AN26" s="18">
        <v>5.7975120497930598E-2</v>
      </c>
      <c r="AO26" s="17">
        <v>28741.213453410499</v>
      </c>
      <c r="AP26" s="18">
        <v>2.8430204147545001E-2</v>
      </c>
      <c r="AQ26" s="17">
        <v>16772.358535891301</v>
      </c>
      <c r="AR26" s="18">
        <v>-8.0148157764306893E-2</v>
      </c>
      <c r="AS26" s="17">
        <v>19746.5460419509</v>
      </c>
      <c r="AT26" s="18">
        <v>7.1105727601077806E-2</v>
      </c>
      <c r="AU26" s="17">
        <v>1521.49610631982</v>
      </c>
      <c r="AV26" s="18">
        <v>8.4324394312152495E-2</v>
      </c>
      <c r="AW26" s="17">
        <v>5883.9573228292102</v>
      </c>
      <c r="AX26" s="18">
        <v>-9.7741135052777893E-3</v>
      </c>
      <c r="AY26" s="17">
        <v>1527.4231775261801</v>
      </c>
      <c r="AZ26" s="18">
        <v>5.79751204979315E-2</v>
      </c>
      <c r="BA26" s="17">
        <v>9773.8104576166097</v>
      </c>
      <c r="BB26" s="18">
        <v>4.9967945488209202E-2</v>
      </c>
      <c r="BC26" s="17">
        <v>19071.4218326433</v>
      </c>
      <c r="BD26" s="18">
        <v>1.7452950205314201E-2</v>
      </c>
      <c r="BE26" s="17">
        <v>-9297.6113750266904</v>
      </c>
      <c r="BF26" s="18">
        <v>-1.46246500927449E-2</v>
      </c>
      <c r="BG26" s="17"/>
      <c r="BH26" s="18"/>
    </row>
    <row r="27" spans="1:60" x14ac:dyDescent="0.2">
      <c r="A27" s="16">
        <v>1995</v>
      </c>
      <c r="B27" s="16"/>
      <c r="C27" s="17">
        <v>423515.35549793398</v>
      </c>
      <c r="D27" s="18">
        <v>1.22217179491302E-2</v>
      </c>
      <c r="E27" s="17">
        <v>411098.38475562399</v>
      </c>
      <c r="F27" s="18">
        <v>6.0456658976217898E-3</v>
      </c>
      <c r="G27" s="17">
        <v>5851.3623952880498</v>
      </c>
      <c r="H27" s="18">
        <v>-6.9919654597945399E-2</v>
      </c>
      <c r="I27" s="17">
        <v>577.536878372351</v>
      </c>
      <c r="J27" s="18">
        <v>0.18014409871492901</v>
      </c>
      <c r="K27" s="17">
        <v>80283.317843933299</v>
      </c>
      <c r="L27" s="18">
        <v>-1.7802896911540099E-2</v>
      </c>
      <c r="M27" s="17">
        <v>15109.2073703192</v>
      </c>
      <c r="N27" s="18">
        <v>-1.4433271745412601E-2</v>
      </c>
      <c r="O27" s="17">
        <v>65174.110473614099</v>
      </c>
      <c r="P27" s="18">
        <v>-1.8580784219836399E-2</v>
      </c>
      <c r="Q27" s="17">
        <v>12160.368537435799</v>
      </c>
      <c r="R27" s="18">
        <v>9.1656336593867599E-2</v>
      </c>
      <c r="S27" s="17">
        <v>2726.1674667730699</v>
      </c>
      <c r="T27" s="18">
        <v>-1.5338523796333201E-2</v>
      </c>
      <c r="U27" s="17">
        <v>26429.224102533099</v>
      </c>
      <c r="V27" s="18">
        <v>-4.6709979623694303E-2</v>
      </c>
      <c r="W27" s="17">
        <v>61656.246236168903</v>
      </c>
      <c r="X27" s="18">
        <v>1.28278733247478E-2</v>
      </c>
      <c r="Y27" s="17">
        <v>20839.925482152499</v>
      </c>
      <c r="Z27" s="18">
        <v>-5.38381935182408E-3</v>
      </c>
      <c r="AA27" s="17">
        <v>16697.080869818899</v>
      </c>
      <c r="AB27" s="18">
        <v>3.4002303312787197E-2</v>
      </c>
      <c r="AC27" s="17">
        <v>9040.8880948380702</v>
      </c>
      <c r="AD27" s="18">
        <v>6.1787835951805396E-3</v>
      </c>
      <c r="AE27" s="17">
        <v>18320.4731012429</v>
      </c>
      <c r="AF27" s="18">
        <v>3.78318183800379E-2</v>
      </c>
      <c r="AG27" s="17">
        <v>35641.530683058802</v>
      </c>
      <c r="AH27" s="18">
        <v>-6.5730719089777097E-3</v>
      </c>
      <c r="AI27" s="17">
        <v>18466.668203311201</v>
      </c>
      <c r="AJ27" s="18">
        <v>-5.2947021467792003E-2</v>
      </c>
      <c r="AK27" s="17">
        <v>15857.3383497222</v>
      </c>
      <c r="AL27" s="18">
        <v>5.6668487694404801E-2</v>
      </c>
      <c r="AM27" s="17">
        <v>65415.333450648999</v>
      </c>
      <c r="AN27" s="18">
        <v>1.0355204691750299E-2</v>
      </c>
      <c r="AO27" s="17">
        <v>28870.007134878699</v>
      </c>
      <c r="AP27" s="18">
        <v>4.4811497495416096E-3</v>
      </c>
      <c r="AQ27" s="17">
        <v>17457.762012778301</v>
      </c>
      <c r="AR27" s="18">
        <v>4.0865062323837999E-2</v>
      </c>
      <c r="AS27" s="17">
        <v>20779.803082357201</v>
      </c>
      <c r="AT27" s="18">
        <v>5.2325963143692103E-2</v>
      </c>
      <c r="AU27" s="17">
        <v>1806.00898242677</v>
      </c>
      <c r="AV27" s="18">
        <v>0.18699546776700901</v>
      </c>
      <c r="AW27" s="17">
        <v>5842.0339258902104</v>
      </c>
      <c r="AX27" s="18">
        <v>-7.1250341630358901E-3</v>
      </c>
      <c r="AY27" s="17">
        <v>1543.2399571803801</v>
      </c>
      <c r="AZ27" s="18">
        <v>1.0355204691747E-2</v>
      </c>
      <c r="BA27" s="17">
        <v>12416.970742310001</v>
      </c>
      <c r="BB27" s="18">
        <v>0.27043293873512902</v>
      </c>
      <c r="BC27" s="17">
        <v>21859.03560825</v>
      </c>
      <c r="BD27" s="18">
        <v>0.14616706609862301</v>
      </c>
      <c r="BE27" s="17">
        <v>-9442.0648659399994</v>
      </c>
      <c r="BF27" s="18">
        <v>1.5536623879689E-2</v>
      </c>
      <c r="BG27" s="17"/>
      <c r="BH27" s="18"/>
    </row>
    <row r="28" spans="1:60" x14ac:dyDescent="0.2">
      <c r="A28" s="16">
        <v>1996</v>
      </c>
      <c r="B28" s="16"/>
      <c r="C28" s="17">
        <v>426881.82800179801</v>
      </c>
      <c r="D28" s="18">
        <v>7.9488794447752902E-3</v>
      </c>
      <c r="E28" s="17">
        <v>414685.873403718</v>
      </c>
      <c r="F28" s="18">
        <v>8.7265938790461704E-3</v>
      </c>
      <c r="G28" s="17">
        <v>5163.7401745489997</v>
      </c>
      <c r="H28" s="18">
        <v>-0.117514892137389</v>
      </c>
      <c r="I28" s="17">
        <v>519.83985251924901</v>
      </c>
      <c r="J28" s="18">
        <v>-9.9901890275314001E-2</v>
      </c>
      <c r="K28" s="17">
        <v>80033.047907817207</v>
      </c>
      <c r="L28" s="18">
        <v>-3.1173342462328399E-3</v>
      </c>
      <c r="M28" s="17">
        <v>15142.787799305301</v>
      </c>
      <c r="N28" s="18">
        <v>2.2225142698131298E-3</v>
      </c>
      <c r="O28" s="17">
        <v>64890.260108511902</v>
      </c>
      <c r="P28" s="18">
        <v>-4.3552625887714998E-3</v>
      </c>
      <c r="Q28" s="17">
        <v>11458.004358066801</v>
      </c>
      <c r="R28" s="18">
        <v>-5.7758461612962102E-2</v>
      </c>
      <c r="S28" s="17">
        <v>2562.3690484793901</v>
      </c>
      <c r="T28" s="18">
        <v>-6.0083769720708599E-2</v>
      </c>
      <c r="U28" s="17">
        <v>24202.837633379499</v>
      </c>
      <c r="V28" s="18">
        <v>-8.4239569823020596E-2</v>
      </c>
      <c r="W28" s="17">
        <v>61018.501986158102</v>
      </c>
      <c r="X28" s="18">
        <v>-1.0343546500836E-2</v>
      </c>
      <c r="Y28" s="17">
        <v>20537.262426625301</v>
      </c>
      <c r="Z28" s="18">
        <v>-1.45232311788449E-2</v>
      </c>
      <c r="AA28" s="17">
        <v>17188.228476379001</v>
      </c>
      <c r="AB28" s="18">
        <v>2.9415178041563201E-2</v>
      </c>
      <c r="AC28" s="17">
        <v>9252.6322993044196</v>
      </c>
      <c r="AD28" s="18">
        <v>2.3420730601371401E-2</v>
      </c>
      <c r="AE28" s="17">
        <v>18548.782319435199</v>
      </c>
      <c r="AF28" s="18">
        <v>1.2461971747706101E-2</v>
      </c>
      <c r="AG28" s="17">
        <v>40201.849802865101</v>
      </c>
      <c r="AH28" s="18">
        <v>0.127949586687474</v>
      </c>
      <c r="AI28" s="17">
        <v>23151.144967200002</v>
      </c>
      <c r="AJ28" s="18">
        <v>0.25367200581688198</v>
      </c>
      <c r="AK28" s="17">
        <v>15401.364066521601</v>
      </c>
      <c r="AL28" s="18">
        <v>-2.8754780477303399E-2</v>
      </c>
      <c r="AM28" s="17">
        <v>66975.949979802303</v>
      </c>
      <c r="AN28" s="18">
        <v>2.38570446228887E-2</v>
      </c>
      <c r="AO28" s="17">
        <v>28785.679073355001</v>
      </c>
      <c r="AP28" s="18">
        <v>-2.9209574188799898E-3</v>
      </c>
      <c r="AQ28" s="17">
        <v>17746.705435428299</v>
      </c>
      <c r="AR28" s="18">
        <v>1.6551000204866301E-2</v>
      </c>
      <c r="AS28" s="17">
        <v>21531.608067161102</v>
      </c>
      <c r="AT28" s="18">
        <v>3.6179601020482899E-2</v>
      </c>
      <c r="AU28" s="17">
        <v>2250.20387283112</v>
      </c>
      <c r="AV28" s="18">
        <v>0.24595386552699799</v>
      </c>
      <c r="AW28" s="17">
        <v>5735.2164308621104</v>
      </c>
      <c r="AX28" s="18">
        <v>-1.8284298992978301E-2</v>
      </c>
      <c r="AY28" s="17">
        <v>1510.67668532522</v>
      </c>
      <c r="AZ28" s="18">
        <v>-2.1100588864132901E-2</v>
      </c>
      <c r="BA28" s="17">
        <v>12195.954598079999</v>
      </c>
      <c r="BB28" s="18">
        <v>-1.7799522026488299E-2</v>
      </c>
      <c r="BC28" s="17">
        <v>21899.137915579999</v>
      </c>
      <c r="BD28" s="18">
        <v>1.8345872182423701E-3</v>
      </c>
      <c r="BE28" s="17">
        <v>-9703.1833175000102</v>
      </c>
      <c r="BF28" s="18">
        <v>2.7654803823889702E-2</v>
      </c>
      <c r="BG28" s="17"/>
      <c r="BH28" s="18"/>
    </row>
    <row r="29" spans="1:60" x14ac:dyDescent="0.2">
      <c r="A29" s="16">
        <v>1997</v>
      </c>
      <c r="B29" s="16"/>
      <c r="C29" s="17">
        <v>433747.49206923298</v>
      </c>
      <c r="D29" s="18">
        <v>1.6083289606336301E-2</v>
      </c>
      <c r="E29" s="17">
        <v>420644.92138549301</v>
      </c>
      <c r="F29" s="18">
        <v>1.43700288916613E-2</v>
      </c>
      <c r="G29" s="17">
        <v>5393.8536970115501</v>
      </c>
      <c r="H29" s="18">
        <v>4.4563342593558999E-2</v>
      </c>
      <c r="I29" s="17">
        <v>599.37427673568504</v>
      </c>
      <c r="J29" s="18">
        <v>0.15299793548146801</v>
      </c>
      <c r="K29" s="17">
        <v>81550.104789376594</v>
      </c>
      <c r="L29" s="18">
        <v>1.8955380573619299E-2</v>
      </c>
      <c r="M29" s="17">
        <v>15327.1690728345</v>
      </c>
      <c r="N29" s="18">
        <v>1.2176177595096101E-2</v>
      </c>
      <c r="O29" s="17">
        <v>66222.935716542095</v>
      </c>
      <c r="P29" s="18">
        <v>2.0537375035970501E-2</v>
      </c>
      <c r="Q29" s="17">
        <v>11332.47635807</v>
      </c>
      <c r="R29" s="18">
        <v>-1.09554854470338E-2</v>
      </c>
      <c r="S29" s="17">
        <v>2544.11619341296</v>
      </c>
      <c r="T29" s="18">
        <v>-7.1234294206219398E-3</v>
      </c>
      <c r="U29" s="17">
        <v>21722.319104959799</v>
      </c>
      <c r="V29" s="18">
        <v>-0.102488748054843</v>
      </c>
      <c r="W29" s="17">
        <v>61607.099863404401</v>
      </c>
      <c r="X29" s="18">
        <v>9.6462197216806694E-3</v>
      </c>
      <c r="Y29" s="17">
        <v>20765.640146557002</v>
      </c>
      <c r="Z29" s="18">
        <v>1.1120163690153E-2</v>
      </c>
      <c r="AA29" s="17">
        <v>16615.6898838548</v>
      </c>
      <c r="AB29" s="18">
        <v>-3.3309924481805399E-2</v>
      </c>
      <c r="AC29" s="17">
        <v>11052.477390689</v>
      </c>
      <c r="AD29" s="18">
        <v>0.19452249188804899</v>
      </c>
      <c r="AE29" s="17">
        <v>17966.917748752599</v>
      </c>
      <c r="AF29" s="18">
        <v>-3.1369421488812499E-2</v>
      </c>
      <c r="AG29" s="17">
        <v>47405.702805068402</v>
      </c>
      <c r="AH29" s="18">
        <v>0.179192077915029</v>
      </c>
      <c r="AI29" s="17">
        <v>28633.791827538898</v>
      </c>
      <c r="AJ29" s="18">
        <v>0.23681968507849599</v>
      </c>
      <c r="AK29" s="17">
        <v>16285.5133519427</v>
      </c>
      <c r="AL29" s="18">
        <v>5.7407206374857397E-2</v>
      </c>
      <c r="AM29" s="17">
        <v>65908.053062880004</v>
      </c>
      <c r="AN29" s="18">
        <v>-1.5944483314448098E-2</v>
      </c>
      <c r="AO29" s="17">
        <v>28460.074484942699</v>
      </c>
      <c r="AP29" s="18">
        <v>-1.1311339488729E-2</v>
      </c>
      <c r="AQ29" s="17">
        <v>17760.8224226286</v>
      </c>
      <c r="AR29" s="18">
        <v>7.95470869320969E-4</v>
      </c>
      <c r="AS29" s="17">
        <v>21841.561430469701</v>
      </c>
      <c r="AT29" s="18">
        <v>1.4395272398689801E-2</v>
      </c>
      <c r="AU29" s="17">
        <v>1784.9757315305601</v>
      </c>
      <c r="AV29" s="18">
        <v>-0.20674932921309999</v>
      </c>
      <c r="AW29" s="17">
        <v>5598.00517767573</v>
      </c>
      <c r="AX29" s="18">
        <v>-2.3924337440523601E-2</v>
      </c>
      <c r="AY29" s="17">
        <v>1501.2969640302999</v>
      </c>
      <c r="AZ29" s="18">
        <v>-6.2089535014578897E-3</v>
      </c>
      <c r="BA29" s="17">
        <v>13102.570683739999</v>
      </c>
      <c r="BB29" s="18">
        <v>7.43374434833282E-2</v>
      </c>
      <c r="BC29" s="17">
        <v>22684.25001548</v>
      </c>
      <c r="BD29" s="18">
        <v>3.5851278846069902E-2</v>
      </c>
      <c r="BE29" s="17">
        <v>-9581.6793317400006</v>
      </c>
      <c r="BF29" s="18">
        <v>-1.25220746413059E-2</v>
      </c>
      <c r="BG29" s="17"/>
      <c r="BH29" s="18"/>
    </row>
    <row r="30" spans="1:60" x14ac:dyDescent="0.2">
      <c r="A30" s="16">
        <v>1998</v>
      </c>
      <c r="B30" s="16"/>
      <c r="C30" s="17">
        <v>444954.84281793702</v>
      </c>
      <c r="D30" s="18">
        <v>2.5838422016546601E-2</v>
      </c>
      <c r="E30" s="17">
        <v>430677.153212887</v>
      </c>
      <c r="F30" s="18">
        <v>2.3849644480076201E-2</v>
      </c>
      <c r="G30" s="17">
        <v>5203.1056452987896</v>
      </c>
      <c r="H30" s="18">
        <v>-3.5363964695305901E-2</v>
      </c>
      <c r="I30" s="17">
        <v>621.28694092474598</v>
      </c>
      <c r="J30" s="18">
        <v>3.6559233586736399E-2</v>
      </c>
      <c r="K30" s="17">
        <v>82501.652917329993</v>
      </c>
      <c r="L30" s="18">
        <v>1.1668263706233299E-2</v>
      </c>
      <c r="M30" s="17">
        <v>16050.958244474699</v>
      </c>
      <c r="N30" s="18">
        <v>4.72226259265991E-2</v>
      </c>
      <c r="O30" s="17">
        <v>66450.694672855301</v>
      </c>
      <c r="P30" s="18">
        <v>3.4392760430932401E-3</v>
      </c>
      <c r="Q30" s="17">
        <v>10987.7348242558</v>
      </c>
      <c r="R30" s="18">
        <v>-3.0420670903822701E-2</v>
      </c>
      <c r="S30" s="17">
        <v>2508.49885399813</v>
      </c>
      <c r="T30" s="18">
        <v>-1.39998870755383E-2</v>
      </c>
      <c r="U30" s="17">
        <v>21807.533778968202</v>
      </c>
      <c r="V30" s="18">
        <v>3.9229086727186101E-3</v>
      </c>
      <c r="W30" s="17">
        <v>62436.8805660711</v>
      </c>
      <c r="X30" s="18">
        <v>1.346891355877E-2</v>
      </c>
      <c r="Y30" s="17">
        <v>21090.6936520128</v>
      </c>
      <c r="Z30" s="18">
        <v>1.5653430530514899E-2</v>
      </c>
      <c r="AA30" s="17">
        <v>17489.548121195101</v>
      </c>
      <c r="AB30" s="18">
        <v>5.2592353579577603E-2</v>
      </c>
      <c r="AC30" s="17">
        <v>11473.4841449821</v>
      </c>
      <c r="AD30" s="18">
        <v>3.8091618685219597E-2</v>
      </c>
      <c r="AE30" s="17">
        <v>19392.241203612601</v>
      </c>
      <c r="AF30" s="18">
        <v>7.9330438019006494E-2</v>
      </c>
      <c r="AG30" s="17">
        <v>50100.2578188771</v>
      </c>
      <c r="AH30" s="18">
        <v>5.6840313598738298E-2</v>
      </c>
      <c r="AI30" s="17">
        <v>29786.4049155701</v>
      </c>
      <c r="AJ30" s="18">
        <v>4.02535959950183E-2</v>
      </c>
      <c r="AK30" s="17">
        <v>17011.3873247296</v>
      </c>
      <c r="AL30" s="18">
        <v>4.4571758783414198E-2</v>
      </c>
      <c r="AM30" s="17">
        <v>67093.075532954404</v>
      </c>
      <c r="AN30" s="18">
        <v>1.79799343935074E-2</v>
      </c>
      <c r="AO30" s="17">
        <v>28511.144859127198</v>
      </c>
      <c r="AP30" s="18">
        <v>1.79445679987844E-3</v>
      </c>
      <c r="AQ30" s="17">
        <v>17747.973005565502</v>
      </c>
      <c r="AR30" s="18">
        <v>-7.2346971088088597E-4</v>
      </c>
      <c r="AS30" s="17">
        <v>23184.196379704601</v>
      </c>
      <c r="AT30" s="18">
        <v>6.1471564361779099E-2</v>
      </c>
      <c r="AU30" s="17">
        <v>2516.2239342901498</v>
      </c>
      <c r="AV30" s="18">
        <v>0.40966842845116302</v>
      </c>
      <c r="AW30" s="17">
        <v>5572.6013866946396</v>
      </c>
      <c r="AX30" s="18">
        <v>-4.5380077679095798E-3</v>
      </c>
      <c r="AY30" s="17">
        <v>1529.71329903677</v>
      </c>
      <c r="AZ30" s="18">
        <v>1.89278575040801E-2</v>
      </c>
      <c r="BA30" s="17">
        <v>14277.68960505</v>
      </c>
      <c r="BB30" s="18">
        <v>8.9686134856596697E-2</v>
      </c>
      <c r="BC30" s="17">
        <v>24866.84024447</v>
      </c>
      <c r="BD30" s="18">
        <v>9.6216107100767001E-2</v>
      </c>
      <c r="BE30" s="17">
        <v>-10589.150639420001</v>
      </c>
      <c r="BF30" s="18">
        <v>0.105145588033058</v>
      </c>
      <c r="BG30" s="17"/>
      <c r="BH30" s="18"/>
    </row>
    <row r="31" spans="1:60" x14ac:dyDescent="0.2">
      <c r="A31" s="16">
        <v>1999</v>
      </c>
      <c r="B31" s="16"/>
      <c r="C31" s="17">
        <v>453531.10713721003</v>
      </c>
      <c r="D31" s="18">
        <v>1.92744599990393E-2</v>
      </c>
      <c r="E31" s="17">
        <v>435526.1363207</v>
      </c>
      <c r="F31" s="18">
        <v>1.1258974551213699E-2</v>
      </c>
      <c r="G31" s="17">
        <v>4937.3198924195303</v>
      </c>
      <c r="H31" s="18">
        <v>-5.10821365157954E-2</v>
      </c>
      <c r="I31" s="17">
        <v>588.39821627702304</v>
      </c>
      <c r="J31" s="18">
        <v>-5.2936449297920601E-2</v>
      </c>
      <c r="K31" s="17">
        <v>82868.293819213693</v>
      </c>
      <c r="L31" s="18">
        <v>4.4440431060341901E-3</v>
      </c>
      <c r="M31" s="17">
        <v>15991.9251811022</v>
      </c>
      <c r="N31" s="18">
        <v>-3.6778529028213E-3</v>
      </c>
      <c r="O31" s="17">
        <v>66876.368638111497</v>
      </c>
      <c r="P31" s="18">
        <v>6.4058617799536101E-3</v>
      </c>
      <c r="Q31" s="17">
        <v>11241.329260508501</v>
      </c>
      <c r="R31" s="18">
        <v>2.30797739760609E-2</v>
      </c>
      <c r="S31" s="17">
        <v>2552.3131087522102</v>
      </c>
      <c r="T31" s="18">
        <v>1.74663244052304E-2</v>
      </c>
      <c r="U31" s="17">
        <v>21601.6796382539</v>
      </c>
      <c r="V31" s="18">
        <v>-9.4395883001146003E-3</v>
      </c>
      <c r="W31" s="17">
        <v>64878.755049835599</v>
      </c>
      <c r="X31" s="18">
        <v>3.91094888409824E-2</v>
      </c>
      <c r="Y31" s="17">
        <v>21367.7483085801</v>
      </c>
      <c r="Z31" s="18">
        <v>1.31363463496543E-2</v>
      </c>
      <c r="AA31" s="17">
        <v>15622.4110408628</v>
      </c>
      <c r="AB31" s="18">
        <v>-0.10675730827313799</v>
      </c>
      <c r="AC31" s="17">
        <v>11567.3344793138</v>
      </c>
      <c r="AD31" s="18">
        <v>8.17975892464551E-3</v>
      </c>
      <c r="AE31" s="17">
        <v>20080.6527795601</v>
      </c>
      <c r="AF31" s="18">
        <v>3.5499330310477598E-2</v>
      </c>
      <c r="AG31" s="17">
        <v>51245.161535020598</v>
      </c>
      <c r="AH31" s="18">
        <v>2.2852251984061701E-2</v>
      </c>
      <c r="AI31" s="17">
        <v>30968.688728423102</v>
      </c>
      <c r="AJ31" s="18">
        <v>3.9692061401978E-2</v>
      </c>
      <c r="AK31" s="17">
        <v>16775.496230967601</v>
      </c>
      <c r="AL31" s="18">
        <v>-1.38666582130602E-2</v>
      </c>
      <c r="AM31" s="17">
        <v>68819.904987029193</v>
      </c>
      <c r="AN31" s="18">
        <v>2.5737819295921199E-2</v>
      </c>
      <c r="AO31" s="17">
        <v>28713.8051597003</v>
      </c>
      <c r="AP31" s="18">
        <v>7.1081081301500601E-3</v>
      </c>
      <c r="AQ31" s="17">
        <v>17996.026093079701</v>
      </c>
      <c r="AR31" s="18">
        <v>1.3976417894957301E-2</v>
      </c>
      <c r="AS31" s="17">
        <v>23802.052994915201</v>
      </c>
      <c r="AT31" s="18">
        <v>2.66499043180752E-2</v>
      </c>
      <c r="AU31" s="17">
        <v>2020.7012288927399</v>
      </c>
      <c r="AV31" s="18">
        <v>-0.19693108337641199</v>
      </c>
      <c r="AW31" s="17">
        <v>5417.92512747411</v>
      </c>
      <c r="AX31" s="18">
        <v>-2.77565625974685E-2</v>
      </c>
      <c r="AY31" s="17">
        <v>1572.07190959113</v>
      </c>
      <c r="AZ31" s="18">
        <v>2.7690555204711299E-2</v>
      </c>
      <c r="BA31" s="17">
        <v>18004.970816509998</v>
      </c>
      <c r="BB31" s="18">
        <v>0.26105632735857098</v>
      </c>
      <c r="BC31" s="17">
        <v>26955.595066620001</v>
      </c>
      <c r="BD31" s="18">
        <v>8.3997596864543694E-2</v>
      </c>
      <c r="BE31" s="17">
        <v>-8950.6242501100005</v>
      </c>
      <c r="BF31" s="18">
        <v>-0.154736337701184</v>
      </c>
      <c r="BG31" s="17"/>
      <c r="BH31" s="18"/>
    </row>
    <row r="32" spans="1:60" x14ac:dyDescent="0.2">
      <c r="A32" s="16">
        <v>2000</v>
      </c>
      <c r="B32" s="16"/>
      <c r="C32" s="17">
        <v>476794.43183223403</v>
      </c>
      <c r="D32" s="18">
        <v>5.1293779696540497E-2</v>
      </c>
      <c r="E32" s="17">
        <v>456046.57444907399</v>
      </c>
      <c r="F32" s="18">
        <v>4.7116433244924802E-2</v>
      </c>
      <c r="G32" s="17">
        <v>5031.7184837550803</v>
      </c>
      <c r="H32" s="18">
        <v>1.91193994702437E-2</v>
      </c>
      <c r="I32" s="17">
        <v>575.37650589195505</v>
      </c>
      <c r="J32" s="18">
        <v>-2.2130778144536799E-2</v>
      </c>
      <c r="K32" s="17">
        <v>84591.112248184305</v>
      </c>
      <c r="L32" s="18">
        <v>2.0789838303285599E-2</v>
      </c>
      <c r="M32" s="17">
        <v>16708.551201085</v>
      </c>
      <c r="N32" s="18">
        <v>4.48117416675793E-2</v>
      </c>
      <c r="O32" s="17">
        <v>67882.561047099298</v>
      </c>
      <c r="P32" s="18">
        <v>1.50455598812878E-2</v>
      </c>
      <c r="Q32" s="17">
        <v>11249.8773637792</v>
      </c>
      <c r="R32" s="18">
        <v>7.6041748022803702E-4</v>
      </c>
      <c r="S32" s="17">
        <v>2468.0533870241502</v>
      </c>
      <c r="T32" s="18">
        <v>-3.3013081913470001E-2</v>
      </c>
      <c r="U32" s="17">
        <v>22336.858527404798</v>
      </c>
      <c r="V32" s="18">
        <v>3.4033413209637202E-2</v>
      </c>
      <c r="W32" s="17">
        <v>68473.282441616902</v>
      </c>
      <c r="X32" s="18">
        <v>5.5403766441267398E-2</v>
      </c>
      <c r="Y32" s="17">
        <v>21908.852329912701</v>
      </c>
      <c r="Z32" s="18">
        <v>2.5323399242554799E-2</v>
      </c>
      <c r="AA32" s="17">
        <v>16469.0806110372</v>
      </c>
      <c r="AB32" s="18">
        <v>5.4195832382069903E-2</v>
      </c>
      <c r="AC32" s="17">
        <v>11898.510596611901</v>
      </c>
      <c r="AD32" s="18">
        <v>2.8630287979512201E-2</v>
      </c>
      <c r="AE32" s="17">
        <v>21197.386149631799</v>
      </c>
      <c r="AF32" s="18">
        <v>5.5612403756535499E-2</v>
      </c>
      <c r="AG32" s="17">
        <v>58089.242905833999</v>
      </c>
      <c r="AH32" s="18">
        <v>0.133555660003848</v>
      </c>
      <c r="AI32" s="17">
        <v>35472.601584029202</v>
      </c>
      <c r="AJ32" s="18">
        <v>0.14543440618693099</v>
      </c>
      <c r="AK32" s="17">
        <v>18380.0524729186</v>
      </c>
      <c r="AL32" s="18">
        <v>9.5648809421744904E-2</v>
      </c>
      <c r="AM32" s="17">
        <v>70214.945841747802</v>
      </c>
      <c r="AN32" s="18">
        <v>2.0270891902300199E-2</v>
      </c>
      <c r="AO32" s="17">
        <v>29738.2903515857</v>
      </c>
      <c r="AP32" s="18">
        <v>3.5679185889414301E-2</v>
      </c>
      <c r="AQ32" s="17">
        <v>18710.5575290905</v>
      </c>
      <c r="AR32" s="18">
        <v>3.9704956656268199E-2</v>
      </c>
      <c r="AS32" s="17">
        <v>25038.505980044501</v>
      </c>
      <c r="AT32" s="18">
        <v>5.1947325106511198E-2</v>
      </c>
      <c r="AU32" s="17">
        <v>2841.2191449287602</v>
      </c>
      <c r="AV32" s="18">
        <v>0.40605602862211998</v>
      </c>
      <c r="AW32" s="17">
        <v>5510.9031197349696</v>
      </c>
      <c r="AX32" s="18">
        <v>1.71611807238479E-2</v>
      </c>
      <c r="AY32" s="17">
        <v>1611.6532611708101</v>
      </c>
      <c r="AZ32" s="18">
        <v>2.5177825097059601E-2</v>
      </c>
      <c r="BA32" s="17">
        <v>20747.857383160001</v>
      </c>
      <c r="BB32" s="18">
        <v>0.152340517216216</v>
      </c>
      <c r="BC32" s="17">
        <v>29530.350043980001</v>
      </c>
      <c r="BD32" s="18">
        <v>9.5518387592504306E-2</v>
      </c>
      <c r="BE32" s="17">
        <v>-8782.4926608199894</v>
      </c>
      <c r="BF32" s="18">
        <v>-1.87843422527703E-2</v>
      </c>
      <c r="BG32" s="17"/>
      <c r="BH32" s="18"/>
    </row>
    <row r="33" spans="1:60" x14ac:dyDescent="0.2">
      <c r="A33" s="16">
        <v>2001</v>
      </c>
      <c r="B33" s="16"/>
      <c r="C33" s="17">
        <v>489674.25564941502</v>
      </c>
      <c r="D33" s="18">
        <v>2.7013368775483399E-2</v>
      </c>
      <c r="E33" s="17">
        <v>469830.31190025603</v>
      </c>
      <c r="F33" s="18">
        <v>3.0224407381708202E-2</v>
      </c>
      <c r="G33" s="17">
        <v>4499.2172364115004</v>
      </c>
      <c r="H33" s="18">
        <v>-0.105828903000588</v>
      </c>
      <c r="I33" s="17">
        <v>595.69215515955705</v>
      </c>
      <c r="J33" s="18">
        <v>3.5308444226634497E-2</v>
      </c>
      <c r="K33" s="17">
        <v>90417.852034144002</v>
      </c>
      <c r="L33" s="18">
        <v>6.88812291398231E-2</v>
      </c>
      <c r="M33" s="17">
        <v>19103.453938933199</v>
      </c>
      <c r="N33" s="18">
        <v>0.143333955710814</v>
      </c>
      <c r="O33" s="17">
        <v>71314.398095210796</v>
      </c>
      <c r="P33" s="18">
        <v>5.0555503433795897E-2</v>
      </c>
      <c r="Q33" s="17">
        <v>11666.8114947865</v>
      </c>
      <c r="R33" s="18">
        <v>3.7061215649312598E-2</v>
      </c>
      <c r="S33" s="17">
        <v>2548.3126689392102</v>
      </c>
      <c r="T33" s="18">
        <v>3.2519264914213197E-2</v>
      </c>
      <c r="U33" s="17">
        <v>23031.1709183698</v>
      </c>
      <c r="V33" s="18">
        <v>3.1083708128122101E-2</v>
      </c>
      <c r="W33" s="17">
        <v>70663.115168475095</v>
      </c>
      <c r="X33" s="18">
        <v>3.1980834696004899E-2</v>
      </c>
      <c r="Y33" s="17">
        <v>22925.8839097563</v>
      </c>
      <c r="Z33" s="18">
        <v>4.6421034042710703E-2</v>
      </c>
      <c r="AA33" s="17">
        <v>17113.8722825472</v>
      </c>
      <c r="AB33" s="18">
        <v>3.9151649490249997E-2</v>
      </c>
      <c r="AC33" s="17">
        <v>12461.039515677399</v>
      </c>
      <c r="AD33" s="18">
        <v>4.7277254955400798E-2</v>
      </c>
      <c r="AE33" s="17">
        <v>22390.531470935199</v>
      </c>
      <c r="AF33" s="18">
        <v>5.6287379626951198E-2</v>
      </c>
      <c r="AG33" s="17">
        <v>52274.974704497297</v>
      </c>
      <c r="AH33" s="18">
        <v>-0.100091994842521</v>
      </c>
      <c r="AI33" s="17">
        <v>30996.141137701099</v>
      </c>
      <c r="AJ33" s="18">
        <v>-0.12619487284359601</v>
      </c>
      <c r="AK33" s="17">
        <v>17126.0253690465</v>
      </c>
      <c r="AL33" s="18">
        <v>-6.8227612827535894E-2</v>
      </c>
      <c r="AM33" s="17">
        <v>75030.909402970196</v>
      </c>
      <c r="AN33" s="18">
        <v>6.8588866707619101E-2</v>
      </c>
      <c r="AO33" s="17">
        <v>30855.271040396099</v>
      </c>
      <c r="AP33" s="18">
        <v>3.7560353187920302E-2</v>
      </c>
      <c r="AQ33" s="17">
        <v>19815.376628014499</v>
      </c>
      <c r="AR33" s="18">
        <v>5.9047898343289197E-2</v>
      </c>
      <c r="AS33" s="17">
        <v>26829.430108798799</v>
      </c>
      <c r="AT33" s="18">
        <v>7.1526796773804704E-2</v>
      </c>
      <c r="AU33" s="17">
        <v>2211.5162355966499</v>
      </c>
      <c r="AV33" s="18">
        <v>-0.22163123547018701</v>
      </c>
      <c r="AW33" s="17">
        <v>5782.3335646367595</v>
      </c>
      <c r="AX33" s="18">
        <v>4.9253350858188001E-2</v>
      </c>
      <c r="AY33" s="17">
        <v>1642.88526989965</v>
      </c>
      <c r="AZ33" s="18">
        <v>1.9378863606276799E-2</v>
      </c>
      <c r="BA33" s="17">
        <v>19843.94374916</v>
      </c>
      <c r="BB33" s="18">
        <v>-4.3566601471517398E-2</v>
      </c>
      <c r="BC33" s="17">
        <v>29364.54500799</v>
      </c>
      <c r="BD33" s="18">
        <v>-5.6147331725857601E-3</v>
      </c>
      <c r="BE33" s="17">
        <v>-9520.60125883</v>
      </c>
      <c r="BF33" s="18">
        <v>8.4043178459211706E-2</v>
      </c>
      <c r="BG33" s="17"/>
      <c r="BH33" s="18"/>
    </row>
    <row r="34" spans="1:60" x14ac:dyDescent="0.2">
      <c r="A34" s="16">
        <v>2002</v>
      </c>
      <c r="B34" s="16"/>
      <c r="C34" s="17">
        <v>489292.79718540399</v>
      </c>
      <c r="D34" s="18">
        <v>-7.7900453129831103E-4</v>
      </c>
      <c r="E34" s="17">
        <v>471128.69677861402</v>
      </c>
      <c r="F34" s="18">
        <v>2.7635187544787802E-3</v>
      </c>
      <c r="G34" s="17">
        <v>4545.7935804459703</v>
      </c>
      <c r="H34" s="18">
        <v>1.03520993957649E-2</v>
      </c>
      <c r="I34" s="17">
        <v>592.95068417281595</v>
      </c>
      <c r="J34" s="18">
        <v>-4.60216063447516E-3</v>
      </c>
      <c r="K34" s="17">
        <v>92286.843377340207</v>
      </c>
      <c r="L34" s="18">
        <v>2.06706010057662E-2</v>
      </c>
      <c r="M34" s="17">
        <v>21403.507568734502</v>
      </c>
      <c r="N34" s="18">
        <v>0.120399883557902</v>
      </c>
      <c r="O34" s="17">
        <v>70883.335808605698</v>
      </c>
      <c r="P34" s="18">
        <v>-6.04453375641756E-3</v>
      </c>
      <c r="Q34" s="17">
        <v>9643.3220261769493</v>
      </c>
      <c r="R34" s="18">
        <v>-0.17343980139850501</v>
      </c>
      <c r="S34" s="17">
        <v>2626.5526751992402</v>
      </c>
      <c r="T34" s="18">
        <v>3.07026713062644E-2</v>
      </c>
      <c r="U34" s="17">
        <v>23851.087535434999</v>
      </c>
      <c r="V34" s="18">
        <v>3.5600300999512897E-2</v>
      </c>
      <c r="W34" s="17">
        <v>72121.8069054855</v>
      </c>
      <c r="X34" s="18">
        <v>2.0642901654315701E-2</v>
      </c>
      <c r="Y34" s="17">
        <v>22885.0143704896</v>
      </c>
      <c r="Z34" s="18">
        <v>-1.7826810703384099E-3</v>
      </c>
      <c r="AA34" s="17">
        <v>17595.6055857502</v>
      </c>
      <c r="AB34" s="18">
        <v>2.8148702716116001E-2</v>
      </c>
      <c r="AC34" s="17">
        <v>12223.6658354018</v>
      </c>
      <c r="AD34" s="18">
        <v>-1.9049267918377501E-2</v>
      </c>
      <c r="AE34" s="17">
        <v>23000.294361277902</v>
      </c>
      <c r="AF34" s="18">
        <v>2.72330690825375E-2</v>
      </c>
      <c r="AG34" s="17">
        <v>48528.987089280599</v>
      </c>
      <c r="AH34" s="18">
        <v>-7.1659290824953897E-2</v>
      </c>
      <c r="AI34" s="17">
        <v>29700.7327295959</v>
      </c>
      <c r="AJ34" s="18">
        <v>-4.1792570318682998E-2</v>
      </c>
      <c r="AK34" s="17">
        <v>14841.197323916</v>
      </c>
      <c r="AL34" s="18">
        <v>-0.13341262761761999</v>
      </c>
      <c r="AM34" s="17">
        <v>72424.442230028493</v>
      </c>
      <c r="AN34" s="18">
        <v>-3.4738578989400699E-2</v>
      </c>
      <c r="AO34" s="17">
        <v>31515.370352062899</v>
      </c>
      <c r="AP34" s="18">
        <v>2.1393405062057402E-2</v>
      </c>
      <c r="AQ34" s="17">
        <v>20756.8456178868</v>
      </c>
      <c r="AR34" s="18">
        <v>4.75120411560217E-2</v>
      </c>
      <c r="AS34" s="17">
        <v>28068.525134542098</v>
      </c>
      <c r="AT34" s="18">
        <v>4.6184172407633499E-2</v>
      </c>
      <c r="AU34" s="17">
        <v>3518.1478279389198</v>
      </c>
      <c r="AV34" s="18">
        <v>0.59083065785847699</v>
      </c>
      <c r="AW34" s="17">
        <v>6176.6401286420396</v>
      </c>
      <c r="AX34" s="18">
        <v>6.8191597665128806E-2</v>
      </c>
      <c r="AY34" s="17">
        <v>1651.81583154702</v>
      </c>
      <c r="AZ34" s="18">
        <v>5.4359009792026604E-3</v>
      </c>
      <c r="BA34" s="17">
        <v>18164.100406789999</v>
      </c>
      <c r="BB34" s="18">
        <v>-8.4652696238423294E-2</v>
      </c>
      <c r="BC34" s="17">
        <v>28350.591479539999</v>
      </c>
      <c r="BD34" s="18">
        <v>-3.45298566068062E-2</v>
      </c>
      <c r="BE34" s="17">
        <v>-10186.491072749999</v>
      </c>
      <c r="BF34" s="18">
        <v>6.9941991668059006E-2</v>
      </c>
      <c r="BG34" s="17"/>
      <c r="BH34" s="18"/>
    </row>
    <row r="35" spans="1:60" x14ac:dyDescent="0.2">
      <c r="A35" s="16">
        <v>2003</v>
      </c>
      <c r="B35" s="16"/>
      <c r="C35" s="17">
        <v>493651.67529704701</v>
      </c>
      <c r="D35" s="18">
        <v>8.90852703476663E-3</v>
      </c>
      <c r="E35" s="17">
        <v>475524.741085127</v>
      </c>
      <c r="F35" s="18">
        <v>9.3308778186749208E-3</v>
      </c>
      <c r="G35" s="17">
        <v>4110.5987360853696</v>
      </c>
      <c r="H35" s="18">
        <v>-9.5735725051973294E-2</v>
      </c>
      <c r="I35" s="17">
        <v>561.10303249713195</v>
      </c>
      <c r="J35" s="18">
        <v>-5.3710456072940699E-2</v>
      </c>
      <c r="K35" s="17">
        <v>92322.444475095705</v>
      </c>
      <c r="L35" s="18">
        <v>3.8576568937287399E-4</v>
      </c>
      <c r="M35" s="17">
        <v>22410.849755768701</v>
      </c>
      <c r="N35" s="18">
        <v>4.70643507284614E-2</v>
      </c>
      <c r="O35" s="17">
        <v>69911.594719326997</v>
      </c>
      <c r="P35" s="18">
        <v>-1.37090202964281E-2</v>
      </c>
      <c r="Q35" s="17">
        <v>8778.9935196755905</v>
      </c>
      <c r="R35" s="18">
        <v>-8.9629746279873995E-2</v>
      </c>
      <c r="S35" s="17">
        <v>2640.63567652861</v>
      </c>
      <c r="T35" s="18">
        <v>5.3617814187951803E-3</v>
      </c>
      <c r="U35" s="17">
        <v>24002.704255685101</v>
      </c>
      <c r="V35" s="18">
        <v>6.3568053249081196E-3</v>
      </c>
      <c r="W35" s="17">
        <v>74130.427055944703</v>
      </c>
      <c r="X35" s="18">
        <v>2.7850385849198699E-2</v>
      </c>
      <c r="Y35" s="17">
        <v>23392.4306373664</v>
      </c>
      <c r="Z35" s="18">
        <v>2.2172425092776799E-2</v>
      </c>
      <c r="AA35" s="17">
        <v>17890.218448730498</v>
      </c>
      <c r="AB35" s="18">
        <v>1.67435477878006E-2</v>
      </c>
      <c r="AC35" s="17">
        <v>11354.523806622699</v>
      </c>
      <c r="AD35" s="18">
        <v>-7.1103222264298396E-2</v>
      </c>
      <c r="AE35" s="17">
        <v>22192.7706151649</v>
      </c>
      <c r="AF35" s="18">
        <v>-3.5109278752210697E-2</v>
      </c>
      <c r="AG35" s="17">
        <v>54090.410063772601</v>
      </c>
      <c r="AH35" s="18">
        <v>0.114600021720224</v>
      </c>
      <c r="AI35" s="17">
        <v>30701.3318303583</v>
      </c>
      <c r="AJ35" s="18">
        <v>3.36893742613067E-2</v>
      </c>
      <c r="AK35" s="17">
        <v>19246.886785554401</v>
      </c>
      <c r="AL35" s="18">
        <v>0.29685539282863599</v>
      </c>
      <c r="AM35" s="17">
        <v>70508.580071190896</v>
      </c>
      <c r="AN35" s="18">
        <v>-2.6453253899458299E-2</v>
      </c>
      <c r="AO35" s="17">
        <v>32189.498951521298</v>
      </c>
      <c r="AP35" s="18">
        <v>2.13904704887697E-2</v>
      </c>
      <c r="AQ35" s="17">
        <v>21082.753875297902</v>
      </c>
      <c r="AR35" s="18">
        <v>1.5701242058198801E-2</v>
      </c>
      <c r="AS35" s="17">
        <v>29060.024899259999</v>
      </c>
      <c r="AT35" s="18">
        <v>3.5324255904622501E-2</v>
      </c>
      <c r="AU35" s="17">
        <v>2724.78879744596</v>
      </c>
      <c r="AV35" s="18">
        <v>-0.22550474547789201</v>
      </c>
      <c r="AW35" s="17">
        <v>6232.7468166137096</v>
      </c>
      <c r="AX35" s="18">
        <v>9.0836906154681003E-3</v>
      </c>
      <c r="AY35" s="17">
        <v>1651.5179879944601</v>
      </c>
      <c r="AZ35" s="18">
        <v>-1.8031280901264999E-4</v>
      </c>
      <c r="BA35" s="17">
        <v>18126.934211920001</v>
      </c>
      <c r="BB35" s="18">
        <v>-2.0461346302678199E-3</v>
      </c>
      <c r="BC35" s="17">
        <v>28742.130482619999</v>
      </c>
      <c r="BD35" s="18">
        <v>1.38106114421834E-2</v>
      </c>
      <c r="BE35" s="17">
        <v>-10615.1962707</v>
      </c>
      <c r="BF35" s="18">
        <v>4.2085659810455298E-2</v>
      </c>
      <c r="BG35" s="17"/>
      <c r="BH35" s="18"/>
    </row>
    <row r="36" spans="1:60" x14ac:dyDescent="0.2">
      <c r="A36" s="16">
        <v>2004</v>
      </c>
      <c r="B36" s="16"/>
      <c r="C36" s="17">
        <v>508607.55280216801</v>
      </c>
      <c r="D36" s="18">
        <v>3.02964180079437E-2</v>
      </c>
      <c r="E36" s="17">
        <v>489458.20612302801</v>
      </c>
      <c r="F36" s="18">
        <v>2.93012409955902E-2</v>
      </c>
      <c r="G36" s="17">
        <v>4743.88169225621</v>
      </c>
      <c r="H36" s="18">
        <v>0.15406100104383599</v>
      </c>
      <c r="I36" s="17">
        <v>587.66831043371894</v>
      </c>
      <c r="J36" s="18">
        <v>4.7344741336294398E-2</v>
      </c>
      <c r="K36" s="17">
        <v>94941.633845794204</v>
      </c>
      <c r="L36" s="18">
        <v>2.8370017557377801E-2</v>
      </c>
      <c r="M36" s="17">
        <v>24132.941742040599</v>
      </c>
      <c r="N36" s="18">
        <v>7.6841887078762605E-2</v>
      </c>
      <c r="O36" s="17">
        <v>70808.692103753594</v>
      </c>
      <c r="P36" s="18">
        <v>1.28318827231473E-2</v>
      </c>
      <c r="Q36" s="17">
        <v>7979.0250434845202</v>
      </c>
      <c r="R36" s="18">
        <v>-9.1123028442630802E-2</v>
      </c>
      <c r="S36" s="17">
        <v>2903.4403850149602</v>
      </c>
      <c r="T36" s="18">
        <v>9.9523274195793002E-2</v>
      </c>
      <c r="U36" s="17">
        <v>23894.787300316799</v>
      </c>
      <c r="V36" s="18">
        <v>-4.4960332060393097E-3</v>
      </c>
      <c r="W36" s="17">
        <v>79211.538404392602</v>
      </c>
      <c r="X36" s="18">
        <v>6.8542858179048594E-2</v>
      </c>
      <c r="Y36" s="17">
        <v>23326.1082150611</v>
      </c>
      <c r="Z36" s="18">
        <v>-2.8352086764064101E-3</v>
      </c>
      <c r="AA36" s="17">
        <v>18437.223574779098</v>
      </c>
      <c r="AB36" s="18">
        <v>3.0575653819778299E-2</v>
      </c>
      <c r="AC36" s="17">
        <v>10963.2082710671</v>
      </c>
      <c r="AD36" s="18">
        <v>-3.4463403505078399E-2</v>
      </c>
      <c r="AE36" s="17">
        <v>22828.611068301099</v>
      </c>
      <c r="AF36" s="18">
        <v>2.8650791925083598E-2</v>
      </c>
      <c r="AG36" s="17">
        <v>54342.869807683499</v>
      </c>
      <c r="AH36" s="18">
        <v>4.6673660564451299E-3</v>
      </c>
      <c r="AI36" s="17">
        <v>31691.2089874181</v>
      </c>
      <c r="AJ36" s="18">
        <v>3.22421568721976E-2</v>
      </c>
      <c r="AK36" s="17">
        <v>18323.7031581673</v>
      </c>
      <c r="AL36" s="18">
        <v>-4.7965348249462601E-2</v>
      </c>
      <c r="AM36" s="17">
        <v>72815.813404850007</v>
      </c>
      <c r="AN36" s="18">
        <v>3.2722731493521701E-2</v>
      </c>
      <c r="AO36" s="17">
        <v>32796.107226376902</v>
      </c>
      <c r="AP36" s="18">
        <v>1.88449119934762E-2</v>
      </c>
      <c r="AQ36" s="17">
        <v>21059.080989054401</v>
      </c>
      <c r="AR36" s="18">
        <v>-1.1228555047183601E-3</v>
      </c>
      <c r="AS36" s="17">
        <v>30107.166272295901</v>
      </c>
      <c r="AT36" s="18">
        <v>3.6033739704833999E-2</v>
      </c>
      <c r="AU36" s="17">
        <v>3722.08994844156</v>
      </c>
      <c r="AV36" s="18">
        <v>0.36601044159107399</v>
      </c>
      <c r="AW36" s="17">
        <v>6452.2626683629096</v>
      </c>
      <c r="AX36" s="18">
        <v>3.5219760758461699E-2</v>
      </c>
      <c r="AY36" s="17">
        <v>1671.7979101228</v>
      </c>
      <c r="AZ36" s="18">
        <v>1.22795647857048E-2</v>
      </c>
      <c r="BA36" s="17">
        <v>19149.346679139999</v>
      </c>
      <c r="BB36" s="18">
        <v>5.64029446605308E-2</v>
      </c>
      <c r="BC36" s="17">
        <v>29864.506436920001</v>
      </c>
      <c r="BD36" s="18">
        <v>3.9049852444956699E-2</v>
      </c>
      <c r="BE36" s="17">
        <v>-10715.15975778</v>
      </c>
      <c r="BF36" s="18">
        <v>9.4170173146888008E-3</v>
      </c>
      <c r="BG36" s="17"/>
      <c r="BH36" s="18"/>
    </row>
    <row r="37" spans="1:60" x14ac:dyDescent="0.2">
      <c r="A37" s="16">
        <v>2005</v>
      </c>
      <c r="B37" s="16"/>
      <c r="C37" s="17">
        <v>528601.15710151696</v>
      </c>
      <c r="D37" s="18">
        <v>3.93104746266442E-2</v>
      </c>
      <c r="E37" s="17">
        <v>509162.04778778699</v>
      </c>
      <c r="F37" s="18">
        <v>4.0256433375246398E-2</v>
      </c>
      <c r="G37" s="17">
        <v>4306.3449623878196</v>
      </c>
      <c r="H37" s="18">
        <v>-9.2231796290917906E-2</v>
      </c>
      <c r="I37" s="17">
        <v>623.50190455599102</v>
      </c>
      <c r="J37" s="18">
        <v>6.0975882970149699E-2</v>
      </c>
      <c r="K37" s="17">
        <v>100215.65527930501</v>
      </c>
      <c r="L37" s="18">
        <v>5.5550144018762702E-2</v>
      </c>
      <c r="M37" s="17">
        <v>25797.987963737</v>
      </c>
      <c r="N37" s="18">
        <v>6.8994747490556604E-2</v>
      </c>
      <c r="O37" s="17">
        <v>74417.667315567698</v>
      </c>
      <c r="P37" s="18">
        <v>5.0967968826849598E-2</v>
      </c>
      <c r="Q37" s="17">
        <v>8231.0254107074597</v>
      </c>
      <c r="R37" s="18">
        <v>3.1582852021339501E-2</v>
      </c>
      <c r="S37" s="17">
        <v>2900.5365043770698</v>
      </c>
      <c r="T37" s="18">
        <v>-1.00015163144995E-3</v>
      </c>
      <c r="U37" s="17">
        <v>24948.7928282555</v>
      </c>
      <c r="V37" s="18">
        <v>4.4110270356946299E-2</v>
      </c>
      <c r="W37" s="17">
        <v>84020.996178199493</v>
      </c>
      <c r="X37" s="18">
        <v>6.0716631322744297E-2</v>
      </c>
      <c r="Y37" s="17">
        <v>23779.549151452498</v>
      </c>
      <c r="Z37" s="18">
        <v>1.9439202296876099E-2</v>
      </c>
      <c r="AA37" s="17">
        <v>19230.171905034498</v>
      </c>
      <c r="AB37" s="18">
        <v>4.3008011864655402E-2</v>
      </c>
      <c r="AC37" s="17">
        <v>11189.8448454811</v>
      </c>
      <c r="AD37" s="18">
        <v>2.06724682055099E-2</v>
      </c>
      <c r="AE37" s="17">
        <v>23499.712147321501</v>
      </c>
      <c r="AF37" s="18">
        <v>2.9397367935023701E-2</v>
      </c>
      <c r="AG37" s="17">
        <v>56694.177576418399</v>
      </c>
      <c r="AH37" s="18">
        <v>4.3268008794089097E-2</v>
      </c>
      <c r="AI37" s="17">
        <v>34047.551093356502</v>
      </c>
      <c r="AJ37" s="18">
        <v>7.4353178096610503E-2</v>
      </c>
      <c r="AK37" s="17">
        <v>18123.602161276802</v>
      </c>
      <c r="AL37" s="18">
        <v>-1.09203360894485E-2</v>
      </c>
      <c r="AM37" s="17">
        <v>76297.009761536494</v>
      </c>
      <c r="AN37" s="18">
        <v>4.78082465045244E-2</v>
      </c>
      <c r="AO37" s="17">
        <v>33316.4612064795</v>
      </c>
      <c r="AP37" s="18">
        <v>1.58663336630438E-2</v>
      </c>
      <c r="AQ37" s="17">
        <v>21404.705543959899</v>
      </c>
      <c r="AR37" s="18">
        <v>1.6412138548929998E-2</v>
      </c>
      <c r="AS37" s="17">
        <v>30762.988048728799</v>
      </c>
      <c r="AT37" s="18">
        <v>2.17829127624121E-2</v>
      </c>
      <c r="AU37" s="17">
        <v>3199.1297524592201</v>
      </c>
      <c r="AV37" s="18">
        <v>-0.14050176197415901</v>
      </c>
      <c r="AW37" s="17">
        <v>6610.0952086903999</v>
      </c>
      <c r="AX37" s="18">
        <v>2.44615801370556E-2</v>
      </c>
      <c r="AY37" s="17">
        <v>1710.89872388963</v>
      </c>
      <c r="AZ37" s="18">
        <v>2.3388481065847101E-2</v>
      </c>
      <c r="BA37" s="17">
        <v>19439.109313730001</v>
      </c>
      <c r="BB37" s="18">
        <v>1.5131724306064199E-2</v>
      </c>
      <c r="BC37" s="17">
        <v>30427.551145599999</v>
      </c>
      <c r="BD37" s="18">
        <v>1.88533070141059E-2</v>
      </c>
      <c r="BE37" s="17">
        <v>-10988.441831870001</v>
      </c>
      <c r="BF37" s="18">
        <v>2.5504246345144501E-2</v>
      </c>
      <c r="BG37" s="17"/>
      <c r="BH37" s="18"/>
    </row>
    <row r="38" spans="1:60" x14ac:dyDescent="0.2">
      <c r="A38" s="16">
        <v>2006</v>
      </c>
      <c r="B38" s="16"/>
      <c r="C38" s="17">
        <v>562159.63845092803</v>
      </c>
      <c r="D38" s="18">
        <v>6.3485448146617399E-2</v>
      </c>
      <c r="E38" s="17">
        <v>541222.23358080804</v>
      </c>
      <c r="F38" s="18">
        <v>6.2966566208765506E-2</v>
      </c>
      <c r="G38" s="17">
        <v>4210.7215991102203</v>
      </c>
      <c r="H38" s="18">
        <v>-2.2205226035718301E-2</v>
      </c>
      <c r="I38" s="17">
        <v>614.71810797863805</v>
      </c>
      <c r="J38" s="18">
        <v>-1.4087842415827299E-2</v>
      </c>
      <c r="K38" s="17">
        <v>108435.087547403</v>
      </c>
      <c r="L38" s="18">
        <v>8.2017447725018205E-2</v>
      </c>
      <c r="M38" s="17">
        <v>28618.708081599601</v>
      </c>
      <c r="N38" s="18">
        <v>0.10933876400855599</v>
      </c>
      <c r="O38" s="17">
        <v>79816.379465803897</v>
      </c>
      <c r="P38" s="18">
        <v>7.2546108269464699E-2</v>
      </c>
      <c r="Q38" s="17">
        <v>8889.2691375357808</v>
      </c>
      <c r="R38" s="18">
        <v>7.9971047832270797E-2</v>
      </c>
      <c r="S38" s="17">
        <v>3292.7587814222202</v>
      </c>
      <c r="T38" s="18">
        <v>0.13522404439774</v>
      </c>
      <c r="U38" s="17">
        <v>25321.653724272601</v>
      </c>
      <c r="V38" s="18">
        <v>1.49450475854214E-2</v>
      </c>
      <c r="W38" s="17">
        <v>91674.603539260803</v>
      </c>
      <c r="X38" s="18">
        <v>9.1091604589272193E-2</v>
      </c>
      <c r="Y38" s="17">
        <v>23978.789128407301</v>
      </c>
      <c r="Z38" s="18">
        <v>8.3786271844701297E-3</v>
      </c>
      <c r="AA38" s="17">
        <v>19848.039361560699</v>
      </c>
      <c r="AB38" s="18">
        <v>3.2130105730591399E-2</v>
      </c>
      <c r="AC38" s="17">
        <v>11689.349241161401</v>
      </c>
      <c r="AD38" s="18">
        <v>4.4639081468772497E-2</v>
      </c>
      <c r="AE38" s="17">
        <v>23932.556811865699</v>
      </c>
      <c r="AF38" s="18">
        <v>1.8419147512559499E-2</v>
      </c>
      <c r="AG38" s="17">
        <v>63236.603624365802</v>
      </c>
      <c r="AH38" s="18">
        <v>0.115398552860722</v>
      </c>
      <c r="AI38" s="17">
        <v>36898.349454344097</v>
      </c>
      <c r="AJ38" s="18">
        <v>8.3729909184095702E-2</v>
      </c>
      <c r="AK38" s="17">
        <v>20604.736850009798</v>
      </c>
      <c r="AL38" s="18">
        <v>0.136900747801354</v>
      </c>
      <c r="AM38" s="17">
        <v>79968.340967407305</v>
      </c>
      <c r="AN38" s="18">
        <v>4.8118939619592203E-2</v>
      </c>
      <c r="AO38" s="17">
        <v>34153.157053727198</v>
      </c>
      <c r="AP38" s="18">
        <v>2.51135870062025E-2</v>
      </c>
      <c r="AQ38" s="17">
        <v>21516.578664180299</v>
      </c>
      <c r="AR38" s="18">
        <v>5.2265666533295504E-3</v>
      </c>
      <c r="AS38" s="17">
        <v>31421.1293452276</v>
      </c>
      <c r="AT38" s="18">
        <v>2.13939327173376E-2</v>
      </c>
      <c r="AU38" s="17">
        <v>4402.3153940189004</v>
      </c>
      <c r="AV38" s="18">
        <v>0.37609779366866303</v>
      </c>
      <c r="AW38" s="17">
        <v>6871.6504287771504</v>
      </c>
      <c r="AX38" s="18">
        <v>3.9569054881823697E-2</v>
      </c>
      <c r="AY38" s="17">
        <v>1743.70025153191</v>
      </c>
      <c r="AZ38" s="18">
        <v>1.91721036343468E-2</v>
      </c>
      <c r="BA38" s="17">
        <v>20937.404870120001</v>
      </c>
      <c r="BB38" s="18">
        <v>7.70763481087966E-2</v>
      </c>
      <c r="BC38" s="17">
        <v>31938.29180929</v>
      </c>
      <c r="BD38" s="18">
        <v>4.9650419005489402E-2</v>
      </c>
      <c r="BE38" s="17">
        <v>-11000.886939169999</v>
      </c>
      <c r="BF38" s="18">
        <v>1.13256342349688E-3</v>
      </c>
      <c r="BG38" s="17"/>
      <c r="BH38" s="18"/>
    </row>
    <row r="39" spans="1:60" x14ac:dyDescent="0.2">
      <c r="A39" s="16">
        <v>2007</v>
      </c>
      <c r="B39" s="16"/>
      <c r="C39" s="17">
        <v>598992.21216647106</v>
      </c>
      <c r="D39" s="18">
        <v>6.5519776227689105E-2</v>
      </c>
      <c r="E39" s="17">
        <v>576527.32805389096</v>
      </c>
      <c r="F39" s="18">
        <v>6.5232158404690002E-2</v>
      </c>
      <c r="G39" s="17">
        <v>4616.2439578067197</v>
      </c>
      <c r="H39" s="18">
        <v>9.6307093487774498E-2</v>
      </c>
      <c r="I39" s="17">
        <v>628.44030648043702</v>
      </c>
      <c r="J39" s="18">
        <v>2.2322749767240899E-2</v>
      </c>
      <c r="K39" s="17">
        <v>116733.696662698</v>
      </c>
      <c r="L39" s="18">
        <v>7.6530662749426895E-2</v>
      </c>
      <c r="M39" s="17">
        <v>31136.126760595202</v>
      </c>
      <c r="N39" s="18">
        <v>8.7964092292976998E-2</v>
      </c>
      <c r="O39" s="17">
        <v>85597.569902103205</v>
      </c>
      <c r="P39" s="18">
        <v>7.2431128485052301E-2</v>
      </c>
      <c r="Q39" s="17">
        <v>9243.5536147872808</v>
      </c>
      <c r="R39" s="18">
        <v>3.9855298761907902E-2</v>
      </c>
      <c r="S39" s="17">
        <v>3479.9412191372899</v>
      </c>
      <c r="T39" s="18">
        <v>5.6846690006918901E-2</v>
      </c>
      <c r="U39" s="17">
        <v>25716.231365612301</v>
      </c>
      <c r="V39" s="18">
        <v>1.55826173770581E-2</v>
      </c>
      <c r="W39" s="17">
        <v>98867.443877028098</v>
      </c>
      <c r="X39" s="18">
        <v>7.8460555705450699E-2</v>
      </c>
      <c r="Y39" s="17">
        <v>24664.571931259299</v>
      </c>
      <c r="Z39" s="18">
        <v>2.85995593513753E-2</v>
      </c>
      <c r="AA39" s="17">
        <v>20644.286806295699</v>
      </c>
      <c r="AB39" s="18">
        <v>4.0117183880492999E-2</v>
      </c>
      <c r="AC39" s="17">
        <v>12307.8074335982</v>
      </c>
      <c r="AD39" s="18">
        <v>5.2907837697159003E-2</v>
      </c>
      <c r="AE39" s="17">
        <v>24237.200502635998</v>
      </c>
      <c r="AF39" s="18">
        <v>1.27292580214105E-2</v>
      </c>
      <c r="AG39" s="17">
        <v>72047.693032876006</v>
      </c>
      <c r="AH39" s="18">
        <v>0.13933527266659099</v>
      </c>
      <c r="AI39" s="17">
        <v>40242.279209843298</v>
      </c>
      <c r="AJ39" s="18">
        <v>9.0625456285972295E-2</v>
      </c>
      <c r="AK39" s="17">
        <v>24920.177455072098</v>
      </c>
      <c r="AL39" s="18">
        <v>0.20943924867743199</v>
      </c>
      <c r="AM39" s="17">
        <v>85013.051136722104</v>
      </c>
      <c r="AN39" s="18">
        <v>6.3083841783974498E-2</v>
      </c>
      <c r="AO39" s="17">
        <v>35637.443883560998</v>
      </c>
      <c r="AP39" s="18">
        <v>4.3459725480102601E-2</v>
      </c>
      <c r="AQ39" s="17">
        <v>22018.664301609999</v>
      </c>
      <c r="AR39" s="18">
        <v>2.33348268451967E-2</v>
      </c>
      <c r="AS39" s="17">
        <v>32794.476120464496</v>
      </c>
      <c r="AT39" s="18">
        <v>4.3707747106979999E-2</v>
      </c>
      <c r="AU39" s="17">
        <v>3595.1024789092198</v>
      </c>
      <c r="AV39" s="18">
        <v>-0.183360991401566</v>
      </c>
      <c r="AW39" s="17">
        <v>7131.3930855512199</v>
      </c>
      <c r="AX39" s="18">
        <v>3.7799166221599102E-2</v>
      </c>
      <c r="AY39" s="17">
        <v>1814.6582681165801</v>
      </c>
      <c r="AZ39" s="18">
        <v>4.0693930348597099E-2</v>
      </c>
      <c r="BA39" s="17">
        <v>22464.884112579999</v>
      </c>
      <c r="BB39" s="18">
        <v>7.2954563945977893E-2</v>
      </c>
      <c r="BC39" s="17">
        <v>33254.47512209</v>
      </c>
      <c r="BD39" s="18">
        <v>4.1210197485175501E-2</v>
      </c>
      <c r="BE39" s="17">
        <v>-10789.591009510001</v>
      </c>
      <c r="BF39" s="18">
        <v>-1.92071721878764E-2</v>
      </c>
      <c r="BG39" s="17"/>
      <c r="BH39" s="18"/>
    </row>
    <row r="40" spans="1:60" x14ac:dyDescent="0.2">
      <c r="A40" s="16">
        <v>2008</v>
      </c>
      <c r="B40" s="16"/>
      <c r="C40" s="17">
        <v>622461.84339465504</v>
      </c>
      <c r="D40" s="18">
        <v>3.9181863722898398E-2</v>
      </c>
      <c r="E40" s="17">
        <v>599668.22707809496</v>
      </c>
      <c r="F40" s="18">
        <v>4.0138425185008798E-2</v>
      </c>
      <c r="G40" s="17">
        <v>4866.9431102695899</v>
      </c>
      <c r="H40" s="18">
        <v>5.4308038040082697E-2</v>
      </c>
      <c r="I40" s="17">
        <v>612.69408252503797</v>
      </c>
      <c r="J40" s="18">
        <v>-2.5056037610931298E-2</v>
      </c>
      <c r="K40" s="17">
        <v>122273.30010228101</v>
      </c>
      <c r="L40" s="18">
        <v>4.7455050237885398E-2</v>
      </c>
      <c r="M40" s="17">
        <v>31938.139541181401</v>
      </c>
      <c r="N40" s="18">
        <v>2.5758270665868301E-2</v>
      </c>
      <c r="O40" s="17">
        <v>90335.160561099401</v>
      </c>
      <c r="P40" s="18">
        <v>5.5347256521587299E-2</v>
      </c>
      <c r="Q40" s="17">
        <v>9535.5082341372308</v>
      </c>
      <c r="R40" s="18">
        <v>3.1584673115640199E-2</v>
      </c>
      <c r="S40" s="17">
        <v>3672.7170578932401</v>
      </c>
      <c r="T40" s="18">
        <v>5.5396291666024701E-2</v>
      </c>
      <c r="U40" s="17">
        <v>26581.719592777299</v>
      </c>
      <c r="V40" s="18">
        <v>3.3655328996702802E-2</v>
      </c>
      <c r="W40" s="17">
        <v>107076.993640035</v>
      </c>
      <c r="X40" s="18">
        <v>8.3035926095323301E-2</v>
      </c>
      <c r="Y40" s="17">
        <v>25910.420219598302</v>
      </c>
      <c r="Z40" s="18">
        <v>5.0511652576465102E-2</v>
      </c>
      <c r="AA40" s="17">
        <v>21616.419014245701</v>
      </c>
      <c r="AB40" s="18">
        <v>4.7089648437432997E-2</v>
      </c>
      <c r="AC40" s="17">
        <v>12951.320303676401</v>
      </c>
      <c r="AD40" s="18">
        <v>5.2284931621658703E-2</v>
      </c>
      <c r="AE40" s="17">
        <v>25210.959502308098</v>
      </c>
      <c r="AF40" s="18">
        <v>4.0176215877992603E-2</v>
      </c>
      <c r="AG40" s="17">
        <v>64159.871216726999</v>
      </c>
      <c r="AH40" s="18">
        <v>-0.109480560502468</v>
      </c>
      <c r="AI40" s="17">
        <v>35845.9676845219</v>
      </c>
      <c r="AJ40" s="18">
        <v>-0.109246086743667</v>
      </c>
      <c r="AK40" s="17">
        <v>22324.573801347098</v>
      </c>
      <c r="AL40" s="18">
        <v>-0.104156708290079</v>
      </c>
      <c r="AM40" s="17">
        <v>91526.847684982204</v>
      </c>
      <c r="AN40" s="18">
        <v>7.6621135945165605E-2</v>
      </c>
      <c r="AO40" s="17">
        <v>37213.122920094604</v>
      </c>
      <c r="AP40" s="18">
        <v>4.4214142902107699E-2</v>
      </c>
      <c r="AQ40" s="17">
        <v>23641.3683501005</v>
      </c>
      <c r="AR40" s="18">
        <v>7.36967522762879E-2</v>
      </c>
      <c r="AS40" s="17">
        <v>34738.919515705798</v>
      </c>
      <c r="AT40" s="18">
        <v>5.9291796218937001E-2</v>
      </c>
      <c r="AU40" s="17">
        <v>4589.7189134251803</v>
      </c>
      <c r="AV40" s="18">
        <v>0.27665871566969402</v>
      </c>
      <c r="AW40" s="17">
        <v>7450.24399148468</v>
      </c>
      <c r="AX40" s="18">
        <v>4.4710886373586299E-2</v>
      </c>
      <c r="AY40" s="17">
        <v>1949.5598454272499</v>
      </c>
      <c r="AZ40" s="18">
        <v>7.4339934786002995E-2</v>
      </c>
      <c r="BA40" s="17">
        <v>22793.616316560001</v>
      </c>
      <c r="BB40" s="18">
        <v>1.46331582363211E-2</v>
      </c>
      <c r="BC40" s="17">
        <v>34129.605779140002</v>
      </c>
      <c r="BD40" s="18">
        <v>2.6316177111112001E-2</v>
      </c>
      <c r="BE40" s="17">
        <v>-11335.989462580001</v>
      </c>
      <c r="BF40" s="18">
        <v>5.06412571698409E-2</v>
      </c>
      <c r="BG40" s="17"/>
      <c r="BH40" s="18"/>
    </row>
    <row r="41" spans="1:60" x14ac:dyDescent="0.2">
      <c r="A41" s="16">
        <v>2009</v>
      </c>
      <c r="B41" s="16"/>
      <c r="C41" s="17">
        <v>613317.965337715</v>
      </c>
      <c r="D41" s="18">
        <v>-1.46898611601205E-2</v>
      </c>
      <c r="E41" s="17">
        <v>592004.18983841501</v>
      </c>
      <c r="F41" s="18">
        <v>-1.27804624183998E-2</v>
      </c>
      <c r="G41" s="17">
        <v>4424.6313542752296</v>
      </c>
      <c r="H41" s="18">
        <v>-9.0880814912558103E-2</v>
      </c>
      <c r="I41" s="17">
        <v>658.10291170539404</v>
      </c>
      <c r="J41" s="18">
        <v>7.4113379703647495E-2</v>
      </c>
      <c r="K41" s="17">
        <v>112364.772012819</v>
      </c>
      <c r="L41" s="18">
        <v>-8.1035909566306005E-2</v>
      </c>
      <c r="M41" s="17">
        <v>31788.817519686199</v>
      </c>
      <c r="N41" s="18">
        <v>-4.6753512771984303E-3</v>
      </c>
      <c r="O41" s="17">
        <v>80575.954493132405</v>
      </c>
      <c r="P41" s="18">
        <v>-0.10803330627133</v>
      </c>
      <c r="Q41" s="17">
        <v>10233.642929449499</v>
      </c>
      <c r="R41" s="18">
        <v>7.3214209266047006E-2</v>
      </c>
      <c r="S41" s="17">
        <v>3139.0919199400901</v>
      </c>
      <c r="T41" s="18">
        <v>-0.14529437730747799</v>
      </c>
      <c r="U41" s="17">
        <v>26986.912137967101</v>
      </c>
      <c r="V41" s="18">
        <v>1.52432781399099E-2</v>
      </c>
      <c r="W41" s="17">
        <v>104534.15881869799</v>
      </c>
      <c r="X41" s="18">
        <v>-2.3747723342748699E-2</v>
      </c>
      <c r="Y41" s="17">
        <v>26237.201017682099</v>
      </c>
      <c r="Z41" s="18">
        <v>1.26119451291888E-2</v>
      </c>
      <c r="AA41" s="17">
        <v>21373.273088667898</v>
      </c>
      <c r="AB41" s="18">
        <v>-1.1248205607856001E-2</v>
      </c>
      <c r="AC41" s="17">
        <v>12722.295131700401</v>
      </c>
      <c r="AD41" s="18">
        <v>-1.7683538558693E-2</v>
      </c>
      <c r="AE41" s="17">
        <v>25539.262985381501</v>
      </c>
      <c r="AF41" s="18">
        <v>1.30222526057904E-2</v>
      </c>
      <c r="AG41" s="17">
        <v>62183.876181642197</v>
      </c>
      <c r="AH41" s="18">
        <v>-3.0797989422548199E-2</v>
      </c>
      <c r="AI41" s="17">
        <v>34287.472404492801</v>
      </c>
      <c r="AJ41" s="18">
        <v>-4.3477561932358098E-2</v>
      </c>
      <c r="AK41" s="17">
        <v>22544.865975557099</v>
      </c>
      <c r="AL41" s="18">
        <v>9.8676989836514704E-3</v>
      </c>
      <c r="AM41" s="17">
        <v>94331.330784108402</v>
      </c>
      <c r="AN41" s="18">
        <v>3.0641097886149101E-2</v>
      </c>
      <c r="AO41" s="17">
        <v>38978.730397102903</v>
      </c>
      <c r="AP41" s="18">
        <v>4.7445829279081801E-2</v>
      </c>
      <c r="AQ41" s="17">
        <v>24812.141106352599</v>
      </c>
      <c r="AR41" s="18">
        <v>4.952220780601E-2</v>
      </c>
      <c r="AS41" s="17">
        <v>36303.648640583</v>
      </c>
      <c r="AT41" s="18">
        <v>4.5042538648036E-2</v>
      </c>
      <c r="AU41" s="17">
        <v>3798.0781961867101</v>
      </c>
      <c r="AV41" s="18">
        <v>-0.17248130706280801</v>
      </c>
      <c r="AW41" s="17">
        <v>7685.1559233832004</v>
      </c>
      <c r="AX41" s="18">
        <v>3.1530770289807303E-2</v>
      </c>
      <c r="AY41" s="17">
        <v>1935.08531845267</v>
      </c>
      <c r="AZ41" s="18">
        <v>-7.4245102085636096E-3</v>
      </c>
      <c r="BA41" s="17">
        <v>21313.775499300002</v>
      </c>
      <c r="BB41" s="18">
        <v>-6.4923476674689604E-2</v>
      </c>
      <c r="BC41" s="17">
        <v>33360.046269049999</v>
      </c>
      <c r="BD41" s="18">
        <v>-2.2548151158556799E-2</v>
      </c>
      <c r="BE41" s="17">
        <v>-12046.270769750001</v>
      </c>
      <c r="BF41" s="18">
        <v>6.2657195431826698E-2</v>
      </c>
      <c r="BG41" s="17"/>
      <c r="BH41" s="18"/>
    </row>
    <row r="42" spans="1:60" x14ac:dyDescent="0.2">
      <c r="A42" s="16">
        <v>2010</v>
      </c>
      <c r="B42" s="16"/>
      <c r="C42" s="17">
        <v>636172.01998340595</v>
      </c>
      <c r="D42" s="18">
        <v>3.7262979298359401E-2</v>
      </c>
      <c r="E42" s="17">
        <v>613588.70176915603</v>
      </c>
      <c r="F42" s="18">
        <v>3.6460066163775499E-2</v>
      </c>
      <c r="G42" s="17">
        <v>4204.5585012919901</v>
      </c>
      <c r="H42" s="18">
        <v>-4.9738121746706998E-2</v>
      </c>
      <c r="I42" s="17">
        <v>709.68951576565496</v>
      </c>
      <c r="J42" s="18">
        <v>7.8386834555374693E-2</v>
      </c>
      <c r="K42" s="17">
        <v>116525.237204569</v>
      </c>
      <c r="L42" s="18">
        <v>3.7026419555016503E-2</v>
      </c>
      <c r="M42" s="17">
        <v>32318.664726159801</v>
      </c>
      <c r="N42" s="18">
        <v>1.6667723049008699E-2</v>
      </c>
      <c r="O42" s="17">
        <v>84206.572478409202</v>
      </c>
      <c r="P42" s="18">
        <v>4.5058330467388198E-2</v>
      </c>
      <c r="Q42" s="17">
        <v>9844.0260812549004</v>
      </c>
      <c r="R42" s="18">
        <v>-3.8072155817881898E-2</v>
      </c>
      <c r="S42" s="17">
        <v>3225.5790774693701</v>
      </c>
      <c r="T42" s="18">
        <v>2.7551648608916901E-2</v>
      </c>
      <c r="U42" s="17">
        <v>28373.964428909101</v>
      </c>
      <c r="V42" s="18">
        <v>5.13972211363374E-2</v>
      </c>
      <c r="W42" s="17">
        <v>113801.042458027</v>
      </c>
      <c r="X42" s="18">
        <v>8.8649334763396606E-2</v>
      </c>
      <c r="Y42" s="17">
        <v>26897.171868793099</v>
      </c>
      <c r="Z42" s="18">
        <v>2.51540113088367E-2</v>
      </c>
      <c r="AA42" s="17">
        <v>22275.635124927499</v>
      </c>
      <c r="AB42" s="18">
        <v>4.2219178715216597E-2</v>
      </c>
      <c r="AC42" s="17">
        <v>13015.905681100399</v>
      </c>
      <c r="AD42" s="18">
        <v>2.3078426208521699E-2</v>
      </c>
      <c r="AE42" s="17">
        <v>26458.875309773401</v>
      </c>
      <c r="AF42" s="18">
        <v>3.6007786321722503E-2</v>
      </c>
      <c r="AG42" s="17">
        <v>60831.637455845499</v>
      </c>
      <c r="AH42" s="18">
        <v>-2.1745809506096302E-2</v>
      </c>
      <c r="AI42" s="17">
        <v>33272.35030346</v>
      </c>
      <c r="AJ42" s="18">
        <v>-2.96062097858165E-2</v>
      </c>
      <c r="AK42" s="17">
        <v>21849.8556157479</v>
      </c>
      <c r="AL42" s="18">
        <v>-3.0827877201075E-2</v>
      </c>
      <c r="AM42" s="17">
        <v>97151.520477457903</v>
      </c>
      <c r="AN42" s="18">
        <v>2.9896638475332499E-2</v>
      </c>
      <c r="AO42" s="17">
        <v>40091.776085803198</v>
      </c>
      <c r="AP42" s="18">
        <v>2.8555206323060699E-2</v>
      </c>
      <c r="AQ42" s="17">
        <v>24985.391937145399</v>
      </c>
      <c r="AR42" s="18">
        <v>6.9825022375211701E-3</v>
      </c>
      <c r="AS42" s="17">
        <v>37208.338945573298</v>
      </c>
      <c r="AT42" s="18">
        <v>2.49200931274705E-2</v>
      </c>
      <c r="AU42" s="17">
        <v>5230.7825885963703</v>
      </c>
      <c r="AV42" s="18">
        <v>0.37721824522941599</v>
      </c>
      <c r="AW42" s="17">
        <v>7741.3747349350697</v>
      </c>
      <c r="AX42" s="18">
        <v>7.3152467057715498E-3</v>
      </c>
      <c r="AY42" s="17">
        <v>1913.3661607116901</v>
      </c>
      <c r="AZ42" s="18">
        <v>-1.1223876039915899E-2</v>
      </c>
      <c r="BA42" s="17">
        <v>22583.318214250001</v>
      </c>
      <c r="BB42" s="18">
        <v>5.9564421845003497E-2</v>
      </c>
      <c r="BC42" s="17">
        <v>34677.844883650003</v>
      </c>
      <c r="BD42" s="18">
        <v>3.95023017645693E-2</v>
      </c>
      <c r="BE42" s="17">
        <v>-12094.5266694</v>
      </c>
      <c r="BF42" s="18">
        <v>4.00587871320068E-3</v>
      </c>
      <c r="BG42" s="17"/>
      <c r="BH42" s="18"/>
    </row>
    <row r="43" spans="1:60" x14ac:dyDescent="0.2">
      <c r="A43" s="16">
        <v>2011</v>
      </c>
      <c r="B43" s="16"/>
      <c r="C43" s="17">
        <v>645812.25803482695</v>
      </c>
      <c r="D43" s="18">
        <v>1.5153508404333899E-2</v>
      </c>
      <c r="E43" s="17">
        <v>623394.47427347698</v>
      </c>
      <c r="F43" s="18">
        <v>1.59810186792031E-2</v>
      </c>
      <c r="G43" s="17">
        <v>4365.8116945662996</v>
      </c>
      <c r="H43" s="18">
        <v>3.8351991826195198E-2</v>
      </c>
      <c r="I43" s="17">
        <v>695.97236587145198</v>
      </c>
      <c r="J43" s="18">
        <v>-1.9328381763402899E-2</v>
      </c>
      <c r="K43" s="17">
        <v>120824.680172864</v>
      </c>
      <c r="L43" s="18">
        <v>3.6897096898824498E-2</v>
      </c>
      <c r="M43" s="17">
        <v>31077.261382314799</v>
      </c>
      <c r="N43" s="18">
        <v>-3.8411343858527999E-2</v>
      </c>
      <c r="O43" s="17">
        <v>89747.418790549695</v>
      </c>
      <c r="P43" s="18">
        <v>6.5800639416373E-2</v>
      </c>
      <c r="Q43" s="17">
        <v>9516.6856283213292</v>
      </c>
      <c r="R43" s="18">
        <v>-3.32527006970137E-2</v>
      </c>
      <c r="S43" s="17">
        <v>3254.7092405799599</v>
      </c>
      <c r="T43" s="18">
        <v>9.0309871223013295E-3</v>
      </c>
      <c r="U43" s="17">
        <v>29668.679336071302</v>
      </c>
      <c r="V43" s="18">
        <v>4.5630384516978803E-2</v>
      </c>
      <c r="W43" s="17">
        <v>110209.92641668</v>
      </c>
      <c r="X43" s="18">
        <v>-3.1556090909016697E-2</v>
      </c>
      <c r="Y43" s="17">
        <v>26103.3274169904</v>
      </c>
      <c r="Z43" s="18">
        <v>-2.9514049122901901E-2</v>
      </c>
      <c r="AA43" s="17">
        <v>23112.157770451398</v>
      </c>
      <c r="AB43" s="18">
        <v>3.7553256768323898E-2</v>
      </c>
      <c r="AC43" s="17">
        <v>13116.630903903</v>
      </c>
      <c r="AD43" s="18">
        <v>7.7386257453333496E-3</v>
      </c>
      <c r="AE43" s="17">
        <v>26714.488388239599</v>
      </c>
      <c r="AF43" s="18">
        <v>9.6607688525513994E-3</v>
      </c>
      <c r="AG43" s="17">
        <v>62040.593138772703</v>
      </c>
      <c r="AH43" s="18">
        <v>1.98737981334909E-2</v>
      </c>
      <c r="AI43" s="17">
        <v>32073.3570697102</v>
      </c>
      <c r="AJ43" s="18">
        <v>-3.6035724041565603E-2</v>
      </c>
      <c r="AK43" s="17">
        <v>23935.659130776701</v>
      </c>
      <c r="AL43" s="18">
        <v>9.5460745906505801E-2</v>
      </c>
      <c r="AM43" s="17">
        <v>100730.220397725</v>
      </c>
      <c r="AN43" s="18">
        <v>3.6836272892895303E-2</v>
      </c>
      <c r="AO43" s="17">
        <v>41232.6676530892</v>
      </c>
      <c r="AP43" s="18">
        <v>2.84569973863056E-2</v>
      </c>
      <c r="AQ43" s="17">
        <v>25749.565165793101</v>
      </c>
      <c r="AR43" s="18">
        <v>3.0584800533451299E-2</v>
      </c>
      <c r="AS43" s="17">
        <v>38346.093434381699</v>
      </c>
      <c r="AT43" s="18">
        <v>3.05779435752986E-2</v>
      </c>
      <c r="AU43" s="17">
        <v>3802.4795220052301</v>
      </c>
      <c r="AV43" s="18">
        <v>-0.27305724189435598</v>
      </c>
      <c r="AW43" s="17">
        <v>8109.6670489497101</v>
      </c>
      <c r="AX43" s="18">
        <v>4.7574536387267101E-2</v>
      </c>
      <c r="AY43" s="17">
        <v>1903.4459952111099</v>
      </c>
      <c r="AZ43" s="18">
        <v>-5.1846665339229103E-3</v>
      </c>
      <c r="BA43" s="17">
        <v>22417.783761350001</v>
      </c>
      <c r="BB43" s="18">
        <v>-7.3299437810496696E-3</v>
      </c>
      <c r="BC43" s="17">
        <v>35378.378521209997</v>
      </c>
      <c r="BD43" s="18">
        <v>2.0201187239587699E-2</v>
      </c>
      <c r="BE43" s="17">
        <v>-12960.59475986</v>
      </c>
      <c r="BF43" s="18">
        <v>7.1608266626193906E-2</v>
      </c>
      <c r="BG43" s="17"/>
      <c r="BH43" s="18"/>
    </row>
    <row r="44" spans="1:60" x14ac:dyDescent="0.2">
      <c r="A44" s="16">
        <v>2012</v>
      </c>
      <c r="B44" s="16"/>
      <c r="C44" s="17">
        <v>654393.62395549798</v>
      </c>
      <c r="D44" s="18">
        <v>1.3287709878385E-2</v>
      </c>
      <c r="E44" s="17">
        <v>633240.08021061798</v>
      </c>
      <c r="F44" s="18">
        <v>1.5793540596611401E-2</v>
      </c>
      <c r="G44" s="17">
        <v>4146.9537193743399</v>
      </c>
      <c r="H44" s="18">
        <v>-5.0129962193365303E-2</v>
      </c>
      <c r="I44" s="17">
        <v>690.65714069016894</v>
      </c>
      <c r="J44" s="18">
        <v>-7.6371210150386597E-3</v>
      </c>
      <c r="K44" s="17">
        <v>120032.85080236199</v>
      </c>
      <c r="L44" s="18">
        <v>-6.5535399669125497E-3</v>
      </c>
      <c r="M44" s="17">
        <v>32172.938294334701</v>
      </c>
      <c r="N44" s="18">
        <v>3.5256546532231599E-2</v>
      </c>
      <c r="O44" s="17">
        <v>87859.912508027497</v>
      </c>
      <c r="P44" s="18">
        <v>-2.1031315529276801E-2</v>
      </c>
      <c r="Q44" s="17">
        <v>10284.4004367041</v>
      </c>
      <c r="R44" s="18">
        <v>8.0670397065352603E-2</v>
      </c>
      <c r="S44" s="17">
        <v>2720.4924278305998</v>
      </c>
      <c r="T44" s="18">
        <v>-0.16413657050795999</v>
      </c>
      <c r="U44" s="17">
        <v>30103.233458634699</v>
      </c>
      <c r="V44" s="18">
        <v>1.4646898085384901E-2</v>
      </c>
      <c r="W44" s="17">
        <v>110782.387945517</v>
      </c>
      <c r="X44" s="18">
        <v>5.1942828332245403E-3</v>
      </c>
      <c r="Y44" s="17">
        <v>25623.935980536</v>
      </c>
      <c r="Z44" s="18">
        <v>-1.8365146664879501E-2</v>
      </c>
      <c r="AA44" s="17">
        <v>23745.091297274401</v>
      </c>
      <c r="AB44" s="18">
        <v>2.73853066039642E-2</v>
      </c>
      <c r="AC44" s="17">
        <v>12705.2718650854</v>
      </c>
      <c r="AD44" s="18">
        <v>-3.13616386579222E-2</v>
      </c>
      <c r="AE44" s="17">
        <v>27226.381932645301</v>
      </c>
      <c r="AF44" s="18">
        <v>1.9161645058156901E-2</v>
      </c>
      <c r="AG44" s="17">
        <v>63176.2319667255</v>
      </c>
      <c r="AH44" s="18">
        <v>1.8304770642869402E-2</v>
      </c>
      <c r="AI44" s="17">
        <v>32153.847780273602</v>
      </c>
      <c r="AJ44" s="18">
        <v>2.5095817188220998E-3</v>
      </c>
      <c r="AK44" s="17">
        <v>24929.772785420901</v>
      </c>
      <c r="AL44" s="18">
        <v>4.1532746151368101E-2</v>
      </c>
      <c r="AM44" s="17">
        <v>103195.801353285</v>
      </c>
      <c r="AN44" s="18">
        <v>2.4477072975957598E-2</v>
      </c>
      <c r="AO44" s="17">
        <v>41747.754147102503</v>
      </c>
      <c r="AP44" s="18">
        <v>1.24921942559482E-2</v>
      </c>
      <c r="AQ44" s="17">
        <v>26031.866630711</v>
      </c>
      <c r="AR44" s="18">
        <v>1.09633488216307E-2</v>
      </c>
      <c r="AS44" s="17">
        <v>41719.762070188102</v>
      </c>
      <c r="AT44" s="18">
        <v>8.7979461104154E-2</v>
      </c>
      <c r="AU44" s="17">
        <v>4799.0062137793602</v>
      </c>
      <c r="AV44" s="18">
        <v>0.26207286219614501</v>
      </c>
      <c r="AW44" s="17">
        <v>8148.5934525963103</v>
      </c>
      <c r="AX44" s="18">
        <v>4.8000002233929999E-3</v>
      </c>
      <c r="AY44" s="17">
        <v>1983.34335011247</v>
      </c>
      <c r="AZ44" s="18">
        <v>4.19751099334442E-2</v>
      </c>
      <c r="BA44" s="17">
        <v>21153.54374488</v>
      </c>
      <c r="BB44" s="18">
        <v>-5.6394513834576297E-2</v>
      </c>
      <c r="BC44" s="17">
        <v>35214.213961089998</v>
      </c>
      <c r="BD44" s="18">
        <v>-4.6402511076524301E-3</v>
      </c>
      <c r="BE44" s="17">
        <v>-14060.670216209999</v>
      </c>
      <c r="BF44" s="18">
        <v>8.4878470219361901E-2</v>
      </c>
      <c r="BG44" s="17"/>
      <c r="BH44" s="18"/>
    </row>
    <row r="45" spans="1:60" x14ac:dyDescent="0.2">
      <c r="A45" s="16">
        <v>2013</v>
      </c>
      <c r="B45" s="16"/>
      <c r="C45" s="17">
        <v>666210.44413731096</v>
      </c>
      <c r="D45" s="18">
        <v>1.8057663994928801E-2</v>
      </c>
      <c r="E45" s="17">
        <v>644826.53770381003</v>
      </c>
      <c r="F45" s="18">
        <v>1.82971006657353E-2</v>
      </c>
      <c r="G45" s="17">
        <v>4400.2834388416904</v>
      </c>
      <c r="H45" s="18">
        <v>6.1088147254648097E-2</v>
      </c>
      <c r="I45" s="17">
        <v>712.49525893003602</v>
      </c>
      <c r="J45" s="18">
        <v>3.16193331731058E-2</v>
      </c>
      <c r="K45" s="17">
        <v>122711.212543694</v>
      </c>
      <c r="L45" s="18">
        <v>2.23135726880461E-2</v>
      </c>
      <c r="M45" s="17">
        <v>33730.699863946102</v>
      </c>
      <c r="N45" s="18">
        <v>4.8418380545792498E-2</v>
      </c>
      <c r="O45" s="17">
        <v>88980.512679748004</v>
      </c>
      <c r="P45" s="18">
        <v>1.2754396626768E-2</v>
      </c>
      <c r="Q45" s="17">
        <v>10200.5392530711</v>
      </c>
      <c r="R45" s="18">
        <v>-8.1542122118975994E-3</v>
      </c>
      <c r="S45" s="17">
        <v>2821.46539795832</v>
      </c>
      <c r="T45" s="18">
        <v>3.7115696075742798E-2</v>
      </c>
      <c r="U45" s="17">
        <v>30934.062144303101</v>
      </c>
      <c r="V45" s="18">
        <v>2.75993170903071E-2</v>
      </c>
      <c r="W45" s="17">
        <v>110160.134420876</v>
      </c>
      <c r="X45" s="18">
        <v>-5.6168993662397701E-3</v>
      </c>
      <c r="Y45" s="17">
        <v>25610.525008297001</v>
      </c>
      <c r="Z45" s="18">
        <v>-5.2337674622604503E-4</v>
      </c>
      <c r="AA45" s="17">
        <v>23539.5725896152</v>
      </c>
      <c r="AB45" s="18">
        <v>-8.6552081474959904E-3</v>
      </c>
      <c r="AC45" s="17">
        <v>13050.0097439609</v>
      </c>
      <c r="AD45" s="18">
        <v>2.7133451573188E-2</v>
      </c>
      <c r="AE45" s="17">
        <v>27820.6124180931</v>
      </c>
      <c r="AF45" s="18">
        <v>2.1825539908969498E-2</v>
      </c>
      <c r="AG45" s="17">
        <v>64551.0151616312</v>
      </c>
      <c r="AH45" s="18">
        <v>2.1761082484783999E-2</v>
      </c>
      <c r="AI45" s="17">
        <v>32828.1571303971</v>
      </c>
      <c r="AJ45" s="18">
        <v>2.0971342364106901E-2</v>
      </c>
      <c r="AK45" s="17">
        <v>25258.056437219198</v>
      </c>
      <c r="AL45" s="18">
        <v>1.3168337097328999E-2</v>
      </c>
      <c r="AM45" s="17">
        <v>106986.14001868801</v>
      </c>
      <c r="AN45" s="18">
        <v>3.6729582169989998E-2</v>
      </c>
      <c r="AO45" s="17">
        <v>42700.997538299802</v>
      </c>
      <c r="AP45" s="18">
        <v>2.28334053093819E-2</v>
      </c>
      <c r="AQ45" s="17">
        <v>26451.519055070599</v>
      </c>
      <c r="AR45" s="18">
        <v>1.6120719666891499E-2</v>
      </c>
      <c r="AS45" s="17">
        <v>43807.858257139902</v>
      </c>
      <c r="AT45" s="18">
        <v>5.0050529613252299E-2</v>
      </c>
      <c r="AU45" s="17">
        <v>3691.6288310330001</v>
      </c>
      <c r="AV45" s="18">
        <v>-0.23075139589666599</v>
      </c>
      <c r="AW45" s="17">
        <v>8332.6635680393301</v>
      </c>
      <c r="AX45" s="18">
        <v>2.2589188737152099E-2</v>
      </c>
      <c r="AY45" s="17">
        <v>1954.32806456547</v>
      </c>
      <c r="AZ45" s="18">
        <v>-1.4629481852123399E-2</v>
      </c>
      <c r="BA45" s="17">
        <v>21383.9064335</v>
      </c>
      <c r="BB45" s="18">
        <v>1.0890028233484899E-2</v>
      </c>
      <c r="BC45" s="17">
        <v>35523.848606610001</v>
      </c>
      <c r="BD45" s="18">
        <v>8.7928881747050304E-3</v>
      </c>
      <c r="BE45" s="17">
        <v>-14139.942173109999</v>
      </c>
      <c r="BF45" s="18">
        <v>5.6378505207108597E-3</v>
      </c>
      <c r="BG45" s="17"/>
      <c r="BH45" s="18"/>
    </row>
    <row r="46" spans="1:60" x14ac:dyDescent="0.2">
      <c r="A46" s="16">
        <v>2014</v>
      </c>
      <c r="B46" s="16"/>
      <c r="C46" s="17">
        <v>679021.94921179803</v>
      </c>
      <c r="D46" s="18">
        <v>1.9230417636393798E-2</v>
      </c>
      <c r="E46" s="17">
        <v>657498.22956061899</v>
      </c>
      <c r="F46" s="18">
        <v>1.9651318790214801E-2</v>
      </c>
      <c r="G46" s="17">
        <v>4781.6788321142603</v>
      </c>
      <c r="H46" s="18">
        <v>8.6675187763124203E-2</v>
      </c>
      <c r="I46" s="17">
        <v>675.17081582822198</v>
      </c>
      <c r="J46" s="18">
        <v>-5.2385531881102801E-2</v>
      </c>
      <c r="K46" s="17">
        <v>123973.711129061</v>
      </c>
      <c r="L46" s="18">
        <v>1.0288371854503001E-2</v>
      </c>
      <c r="M46" s="17">
        <v>34279.628010251501</v>
      </c>
      <c r="N46" s="18">
        <v>1.6273843961718E-2</v>
      </c>
      <c r="O46" s="17">
        <v>89694.083118809096</v>
      </c>
      <c r="P46" s="18">
        <v>8.0194013000276492E-3</v>
      </c>
      <c r="Q46" s="17">
        <v>9262.7532850037296</v>
      </c>
      <c r="R46" s="18">
        <v>-9.1934940379260796E-2</v>
      </c>
      <c r="S46" s="17">
        <v>2974.1408650559601</v>
      </c>
      <c r="T46" s="18">
        <v>5.4112117486225103E-2</v>
      </c>
      <c r="U46" s="17">
        <v>31742.162170040901</v>
      </c>
      <c r="V46" s="18">
        <v>2.61233077624312E-2</v>
      </c>
      <c r="W46" s="17">
        <v>112423.97762749001</v>
      </c>
      <c r="X46" s="18">
        <v>2.0550476072997498E-2</v>
      </c>
      <c r="Y46" s="17">
        <v>25795.088154620302</v>
      </c>
      <c r="Z46" s="18">
        <v>7.2065350578913697E-3</v>
      </c>
      <c r="AA46" s="17">
        <v>23994.8246396707</v>
      </c>
      <c r="AB46" s="18">
        <v>1.9339860497566499E-2</v>
      </c>
      <c r="AC46" s="17">
        <v>13249.6680192973</v>
      </c>
      <c r="AD46" s="18">
        <v>1.5299473276542399E-2</v>
      </c>
      <c r="AE46" s="17">
        <v>28589.4325322607</v>
      </c>
      <c r="AF46" s="18">
        <v>2.7634909778894799E-2</v>
      </c>
      <c r="AG46" s="17">
        <v>61627.80654035</v>
      </c>
      <c r="AH46" s="18">
        <v>-4.5285246311954699E-2</v>
      </c>
      <c r="AI46" s="17">
        <v>31452.0609204871</v>
      </c>
      <c r="AJ46" s="18">
        <v>-4.19181681275618E-2</v>
      </c>
      <c r="AK46" s="17">
        <v>23630.234633656601</v>
      </c>
      <c r="AL46" s="18">
        <v>-6.4447627140616706E-2</v>
      </c>
      <c r="AM46" s="17">
        <v>111516.969852888</v>
      </c>
      <c r="AN46" s="18">
        <v>4.23496897206352E-2</v>
      </c>
      <c r="AO46" s="17">
        <v>43435.965819392302</v>
      </c>
      <c r="AP46" s="18">
        <v>1.7211969824201701E-2</v>
      </c>
      <c r="AQ46" s="17">
        <v>27236.2755845063</v>
      </c>
      <c r="AR46" s="18">
        <v>2.9667730151976299E-2</v>
      </c>
      <c r="AS46" s="17">
        <v>45416.569195442702</v>
      </c>
      <c r="AT46" s="18">
        <v>3.6721971863132197E-2</v>
      </c>
      <c r="AU46" s="17">
        <v>6094.1400593424596</v>
      </c>
      <c r="AV46" s="18">
        <v>0.65079977925006605</v>
      </c>
      <c r="AW46" s="17">
        <v>8463.0278282443796</v>
      </c>
      <c r="AX46" s="18">
        <v>1.5644968639448399E-2</v>
      </c>
      <c r="AY46" s="17">
        <v>2039.95476463002</v>
      </c>
      <c r="AZ46" s="18">
        <v>4.3813882437177001E-2</v>
      </c>
      <c r="BA46" s="17">
        <v>21523.719651179999</v>
      </c>
      <c r="BB46" s="18">
        <v>6.5382449233395397E-3</v>
      </c>
      <c r="BC46" s="17">
        <v>35592.574783930002</v>
      </c>
      <c r="BD46" s="18">
        <v>1.9346489757083899E-3</v>
      </c>
      <c r="BE46" s="17">
        <v>-14068.855132750001</v>
      </c>
      <c r="BF46" s="18">
        <v>-5.0273925798076701E-3</v>
      </c>
      <c r="BG46" s="17"/>
      <c r="BH46" s="18"/>
    </row>
    <row r="47" spans="1:60" x14ac:dyDescent="0.2">
      <c r="A47" s="16">
        <v>2015</v>
      </c>
      <c r="B47" s="16"/>
      <c r="C47" s="17">
        <v>679632.73968588503</v>
      </c>
      <c r="D47" s="18">
        <v>8.9951506692154105E-4</v>
      </c>
      <c r="E47" s="17">
        <v>658546.51243821497</v>
      </c>
      <c r="F47" s="18">
        <v>1.5943508749780601E-3</v>
      </c>
      <c r="G47" s="17">
        <v>4191.82972217101</v>
      </c>
      <c r="H47" s="18">
        <v>-0.12335607025335101</v>
      </c>
      <c r="I47" s="17">
        <v>690.41655359420201</v>
      </c>
      <c r="J47" s="18">
        <v>2.2580563923335899E-2</v>
      </c>
      <c r="K47" s="17">
        <v>121360.94691600199</v>
      </c>
      <c r="L47" s="18">
        <v>-2.1075147216804799E-2</v>
      </c>
      <c r="M47" s="17">
        <v>37046.4978866323</v>
      </c>
      <c r="N47" s="18">
        <v>8.0714699574725907E-2</v>
      </c>
      <c r="O47" s="17">
        <v>84314.449029369702</v>
      </c>
      <c r="P47" s="18">
        <v>-5.9977580486702799E-2</v>
      </c>
      <c r="Q47" s="17">
        <v>10722.4261930591</v>
      </c>
      <c r="R47" s="18">
        <v>0.15758520853821401</v>
      </c>
      <c r="S47" s="17">
        <v>2879.5624401742298</v>
      </c>
      <c r="T47" s="18">
        <v>-3.1800250617904098E-2</v>
      </c>
      <c r="U47" s="17">
        <v>32497.418324734099</v>
      </c>
      <c r="V47" s="18">
        <v>2.3793469097893601E-2</v>
      </c>
      <c r="W47" s="17">
        <v>110907.567241304</v>
      </c>
      <c r="X47" s="18">
        <v>-1.3488318223452001E-2</v>
      </c>
      <c r="Y47" s="17">
        <v>25283.834921750698</v>
      </c>
      <c r="Z47" s="18">
        <v>-1.98197901013192E-2</v>
      </c>
      <c r="AA47" s="17">
        <v>24652.3684669344</v>
      </c>
      <c r="AB47" s="18">
        <v>2.74035687752676E-2</v>
      </c>
      <c r="AC47" s="17">
        <v>12986.8319576043</v>
      </c>
      <c r="AD47" s="18">
        <v>-1.9837180924850501E-2</v>
      </c>
      <c r="AE47" s="17">
        <v>29318.0936646642</v>
      </c>
      <c r="AF47" s="18">
        <v>2.5487079240949201E-2</v>
      </c>
      <c r="AG47" s="17">
        <v>62233.9969396491</v>
      </c>
      <c r="AH47" s="18">
        <v>9.8363130756924395E-3</v>
      </c>
      <c r="AI47" s="17">
        <v>31955.701416415501</v>
      </c>
      <c r="AJ47" s="18">
        <v>1.6012956899760501E-2</v>
      </c>
      <c r="AK47" s="17">
        <v>23467.9183844172</v>
      </c>
      <c r="AL47" s="18">
        <v>-6.8690070901040699E-3</v>
      </c>
      <c r="AM47" s="17">
        <v>113613.09476251301</v>
      </c>
      <c r="AN47" s="18">
        <v>1.8796465796998601E-2</v>
      </c>
      <c r="AO47" s="17">
        <v>43826.3706815603</v>
      </c>
      <c r="AP47" s="18">
        <v>8.9880552855963192E-3</v>
      </c>
      <c r="AQ47" s="17">
        <v>27730.527877205499</v>
      </c>
      <c r="AR47" s="18">
        <v>1.8146838438525902E-2</v>
      </c>
      <c r="AS47" s="17">
        <v>46584.3084707495</v>
      </c>
      <c r="AT47" s="18">
        <v>2.5711745646872099E-2</v>
      </c>
      <c r="AU47" s="17">
        <v>3627.9344435224998</v>
      </c>
      <c r="AV47" s="18">
        <v>-0.40468476139454801</v>
      </c>
      <c r="AW47" s="17">
        <v>8580.9863042676498</v>
      </c>
      <c r="AX47" s="18">
        <v>1.39380938379521E-2</v>
      </c>
      <c r="AY47" s="17">
        <v>2141.8314785062198</v>
      </c>
      <c r="AZ47" s="18">
        <v>4.9940673020109697E-2</v>
      </c>
      <c r="BA47" s="17">
        <v>21086.227247670002</v>
      </c>
      <c r="BB47" s="18">
        <v>-2.0326059370784098E-2</v>
      </c>
      <c r="BC47" s="17">
        <v>35654.363072740001</v>
      </c>
      <c r="BD47" s="18">
        <v>1.7359881712715199E-3</v>
      </c>
      <c r="BE47" s="17">
        <v>-14568.13582507</v>
      </c>
      <c r="BF47" s="18">
        <v>3.5488366864888203E-2</v>
      </c>
      <c r="BG47" s="17"/>
      <c r="BH47" s="18"/>
    </row>
    <row r="48" spans="1:60" x14ac:dyDescent="0.2">
      <c r="A48" s="16">
        <v>2016</v>
      </c>
      <c r="B48" s="16"/>
      <c r="C48" s="17">
        <v>688404.189284969</v>
      </c>
      <c r="D48" s="18">
        <v>1.2906161058601E-2</v>
      </c>
      <c r="E48" s="17">
        <v>667994.51355465897</v>
      </c>
      <c r="F48" s="18">
        <v>1.4346748389060001E-2</v>
      </c>
      <c r="G48" s="17">
        <v>4505.07362716848</v>
      </c>
      <c r="H48" s="18">
        <v>7.4727249377686003E-2</v>
      </c>
      <c r="I48" s="17">
        <v>721.82697728379696</v>
      </c>
      <c r="J48" s="18">
        <v>4.5494887870340298E-2</v>
      </c>
      <c r="K48" s="17">
        <v>125597.660670554</v>
      </c>
      <c r="L48" s="18">
        <v>3.4910025524799798E-2</v>
      </c>
      <c r="M48" s="17">
        <v>41456.907278786501</v>
      </c>
      <c r="N48" s="18">
        <v>0.11905064294203201</v>
      </c>
      <c r="O48" s="17">
        <v>84140.753391766993</v>
      </c>
      <c r="P48" s="18">
        <v>-2.0600933719226999E-3</v>
      </c>
      <c r="Q48" s="17">
        <v>9052.0749983908499</v>
      </c>
      <c r="R48" s="18">
        <v>-0.155781085790965</v>
      </c>
      <c r="S48" s="17">
        <v>2957.9253162212099</v>
      </c>
      <c r="T48" s="18">
        <v>2.7213466516197202E-2</v>
      </c>
      <c r="U48" s="17">
        <v>32549.104265613802</v>
      </c>
      <c r="V48" s="18">
        <v>1.5904629827274701E-3</v>
      </c>
      <c r="W48" s="17">
        <v>109108.234615586</v>
      </c>
      <c r="X48" s="18">
        <v>-1.62237137688107E-2</v>
      </c>
      <c r="Y48" s="17">
        <v>25095.3033208778</v>
      </c>
      <c r="Z48" s="18">
        <v>-7.4566062251384402E-3</v>
      </c>
      <c r="AA48" s="17">
        <v>25222.7082686182</v>
      </c>
      <c r="AB48" s="18">
        <v>2.3135294381502601E-2</v>
      </c>
      <c r="AC48" s="17">
        <v>12917.739008327901</v>
      </c>
      <c r="AD48" s="18">
        <v>-5.3202312543939598E-3</v>
      </c>
      <c r="AE48" s="17">
        <v>29774.657401689099</v>
      </c>
      <c r="AF48" s="18">
        <v>1.5572763435679E-2</v>
      </c>
      <c r="AG48" s="17">
        <v>61491.371957267402</v>
      </c>
      <c r="AH48" s="18">
        <v>-1.19327862406434E-2</v>
      </c>
      <c r="AI48" s="17">
        <v>31272.8787068772</v>
      </c>
      <c r="AJ48" s="18">
        <v>-2.1367789761220401E-2</v>
      </c>
      <c r="AK48" s="17">
        <v>22943.034959640099</v>
      </c>
      <c r="AL48" s="18">
        <v>-2.2365998388917001E-2</v>
      </c>
      <c r="AM48" s="17">
        <v>115443.974342838</v>
      </c>
      <c r="AN48" s="18">
        <v>1.61150401206154E-2</v>
      </c>
      <c r="AO48" s="17">
        <v>44363.712539641703</v>
      </c>
      <c r="AP48" s="18">
        <v>1.2260697149342401E-2</v>
      </c>
      <c r="AQ48" s="17">
        <v>28251.315485242401</v>
      </c>
      <c r="AR48" s="18">
        <v>1.8780299110893801E-2</v>
      </c>
      <c r="AS48" s="17">
        <v>48719.359284309401</v>
      </c>
      <c r="AT48" s="18">
        <v>4.5831973976827603E-2</v>
      </c>
      <c r="AU48" s="17">
        <v>6405.3312723974304</v>
      </c>
      <c r="AV48" s="18">
        <v>0.765558714500434</v>
      </c>
      <c r="AW48" s="17">
        <v>8675.8286627677007</v>
      </c>
      <c r="AX48" s="18">
        <v>1.1052617395844301E-2</v>
      </c>
      <c r="AY48" s="17">
        <v>2236.6148607423902</v>
      </c>
      <c r="AZ48" s="18">
        <v>4.4253426652535802E-2</v>
      </c>
      <c r="BA48" s="17">
        <v>20409.675730309998</v>
      </c>
      <c r="BB48" s="18">
        <v>-3.2084996021977202E-2</v>
      </c>
      <c r="BC48" s="17">
        <v>35331.121311690003</v>
      </c>
      <c r="BD48" s="18">
        <v>-9.0659805194258595E-3</v>
      </c>
      <c r="BE48" s="17">
        <v>-14921.44558138</v>
      </c>
      <c r="BF48" s="18">
        <v>2.42522283257409E-2</v>
      </c>
      <c r="BG48" s="17"/>
      <c r="BH48" s="18"/>
    </row>
    <row r="49" spans="1:60" x14ac:dyDescent="0.2">
      <c r="A49" s="16">
        <v>2017</v>
      </c>
      <c r="B49" s="16"/>
      <c r="C49" s="17">
        <v>695842.64982842503</v>
      </c>
      <c r="D49" s="18">
        <v>1.0805367920817301E-2</v>
      </c>
      <c r="E49" s="17">
        <v>674735.13788724504</v>
      </c>
      <c r="F49" s="18">
        <v>1.0090837867389801E-2</v>
      </c>
      <c r="G49" s="17">
        <v>4421.4882190129701</v>
      </c>
      <c r="H49" s="18">
        <v>-1.85536164495596E-2</v>
      </c>
      <c r="I49" s="17">
        <v>722.94830215526497</v>
      </c>
      <c r="J49" s="18">
        <v>1.5534538147734501E-3</v>
      </c>
      <c r="K49" s="17">
        <v>128259.496877524</v>
      </c>
      <c r="L49" s="18">
        <v>2.1193358162562102E-2</v>
      </c>
      <c r="M49" s="17">
        <v>43221.968601858898</v>
      </c>
      <c r="N49" s="18">
        <v>4.2575807963745001E-2</v>
      </c>
      <c r="O49" s="17">
        <v>85037.528275665594</v>
      </c>
      <c r="P49" s="18">
        <v>1.06580324961334E-2</v>
      </c>
      <c r="Q49" s="17">
        <v>9194.1991472568698</v>
      </c>
      <c r="R49" s="18">
        <v>1.5700725954136598E-2</v>
      </c>
      <c r="S49" s="17">
        <v>2965.8228318333499</v>
      </c>
      <c r="T49" s="18">
        <v>2.66995098518241E-3</v>
      </c>
      <c r="U49" s="17">
        <v>32577.4288298551</v>
      </c>
      <c r="V49" s="18">
        <v>8.7021025249001095E-4</v>
      </c>
      <c r="W49" s="17">
        <v>111155.29622738701</v>
      </c>
      <c r="X49" s="18">
        <v>1.8761751750573801E-2</v>
      </c>
      <c r="Y49" s="17">
        <v>24864.625763116499</v>
      </c>
      <c r="Z49" s="18">
        <v>-9.1920609530704595E-3</v>
      </c>
      <c r="AA49" s="17">
        <v>25570.795841073301</v>
      </c>
      <c r="AB49" s="18">
        <v>1.38005629192557E-2</v>
      </c>
      <c r="AC49" s="17">
        <v>13211.9436968683</v>
      </c>
      <c r="AD49" s="18">
        <v>2.2775246376379499E-2</v>
      </c>
      <c r="AE49" s="17">
        <v>30176.863998097</v>
      </c>
      <c r="AF49" s="18">
        <v>1.3508353462535099E-2</v>
      </c>
      <c r="AG49" s="17">
        <v>58869.279968565999</v>
      </c>
      <c r="AH49" s="18">
        <v>-4.26416244302317E-2</v>
      </c>
      <c r="AI49" s="17">
        <v>28522.698935531898</v>
      </c>
      <c r="AJ49" s="18">
        <v>-8.7941369169206501E-2</v>
      </c>
      <c r="AK49" s="17">
        <v>21657.648848641998</v>
      </c>
      <c r="AL49" s="18">
        <v>-5.6025112338416699E-2</v>
      </c>
      <c r="AM49" s="17">
        <v>118352.623384932</v>
      </c>
      <c r="AN49" s="18">
        <v>2.51953301040766E-2</v>
      </c>
      <c r="AO49" s="17">
        <v>45326.834095326398</v>
      </c>
      <c r="AP49" s="18">
        <v>2.17096699205255E-2</v>
      </c>
      <c r="AQ49" s="17">
        <v>28422.140554369402</v>
      </c>
      <c r="AR49" s="18">
        <v>6.0466235356804203E-3</v>
      </c>
      <c r="AS49" s="17">
        <v>49825.146079099599</v>
      </c>
      <c r="AT49" s="18">
        <v>2.26970717807931E-2</v>
      </c>
      <c r="AU49" s="17">
        <v>4591.4290694902402</v>
      </c>
      <c r="AV49" s="18">
        <v>-0.283186321794762</v>
      </c>
      <c r="AW49" s="17">
        <v>8784.3992019961806</v>
      </c>
      <c r="AX49" s="18">
        <v>1.25141405448002E-2</v>
      </c>
      <c r="AY49" s="17">
        <v>2307.00156240159</v>
      </c>
      <c r="AZ49" s="18">
        <v>3.1470193145296102E-2</v>
      </c>
      <c r="BA49" s="17">
        <v>21107.511941180001</v>
      </c>
      <c r="BB49" s="18">
        <v>3.4191440378136498E-2</v>
      </c>
      <c r="BC49" s="17">
        <v>36410.742749129997</v>
      </c>
      <c r="BD49" s="18">
        <v>3.0557236718178601E-2</v>
      </c>
      <c r="BE49" s="17">
        <v>-15303.23080795</v>
      </c>
      <c r="BF49" s="18">
        <v>2.5586343125254301E-2</v>
      </c>
      <c r="BG49" s="17"/>
      <c r="BH49" s="18"/>
    </row>
    <row r="50" spans="1:60" x14ac:dyDescent="0.2">
      <c r="A50" s="16">
        <v>2018</v>
      </c>
      <c r="B50" s="16"/>
      <c r="C50" s="17">
        <v>724383.24489115598</v>
      </c>
      <c r="D50" s="18">
        <v>4.1015874881724201E-2</v>
      </c>
      <c r="E50" s="17">
        <v>703877.22010113602</v>
      </c>
      <c r="F50" s="18">
        <v>4.3190402540974802E-2</v>
      </c>
      <c r="G50" s="17">
        <v>4574.0253315320997</v>
      </c>
      <c r="H50" s="18">
        <v>3.4499043074049301E-2</v>
      </c>
      <c r="I50" s="17">
        <v>779.66550451058299</v>
      </c>
      <c r="J50" s="18">
        <v>7.8452639263736995E-2</v>
      </c>
      <c r="K50" s="17">
        <v>134387.21556028799</v>
      </c>
      <c r="L50" s="18">
        <v>4.77759451108326E-2</v>
      </c>
      <c r="M50" s="17">
        <v>47283.517254428603</v>
      </c>
      <c r="N50" s="18">
        <v>9.3969543358444194E-2</v>
      </c>
      <c r="O50" s="17">
        <v>87103.698305859507</v>
      </c>
      <c r="P50" s="18">
        <v>2.4297155292378698E-2</v>
      </c>
      <c r="Q50" s="17">
        <v>10434.8949301631</v>
      </c>
      <c r="R50" s="18">
        <v>0.13494332274458001</v>
      </c>
      <c r="S50" s="17">
        <v>3094.9655626839899</v>
      </c>
      <c r="T50" s="18">
        <v>4.3543643087678302E-2</v>
      </c>
      <c r="U50" s="17">
        <v>33138.903541359097</v>
      </c>
      <c r="V50" s="18">
        <v>1.72350836659474E-2</v>
      </c>
      <c r="W50" s="17">
        <v>114605.646078905</v>
      </c>
      <c r="X50" s="18">
        <v>3.1040804789545601E-2</v>
      </c>
      <c r="Y50" s="17">
        <v>24804.5142098914</v>
      </c>
      <c r="Z50" s="18">
        <v>-2.4175531052740302E-3</v>
      </c>
      <c r="AA50" s="17">
        <v>26438.464983006401</v>
      </c>
      <c r="AB50" s="18">
        <v>3.3932035096827101E-2</v>
      </c>
      <c r="AC50" s="17">
        <v>13706.9379494441</v>
      </c>
      <c r="AD50" s="18">
        <v>3.7465664699517703E-2</v>
      </c>
      <c r="AE50" s="17">
        <v>31571.2640394177</v>
      </c>
      <c r="AF50" s="18">
        <v>4.6207586096707297E-2</v>
      </c>
      <c r="AG50" s="17">
        <v>63404.807909886702</v>
      </c>
      <c r="AH50" s="18">
        <v>7.7044053260760095E-2</v>
      </c>
      <c r="AI50" s="17">
        <v>29375.1566984169</v>
      </c>
      <c r="AJ50" s="18">
        <v>2.9886995084573299E-2</v>
      </c>
      <c r="AK50" s="17">
        <v>23672.224824577101</v>
      </c>
      <c r="AL50" s="18">
        <v>9.3019144876445706E-2</v>
      </c>
      <c r="AM50" s="17">
        <v>123813.47506796</v>
      </c>
      <c r="AN50" s="18">
        <v>4.6140520816901197E-2</v>
      </c>
      <c r="AO50" s="17">
        <v>45971.094752908997</v>
      </c>
      <c r="AP50" s="18">
        <v>1.4213669903078799E-2</v>
      </c>
      <c r="AQ50" s="17">
        <v>28951.908833047699</v>
      </c>
      <c r="AR50" s="18">
        <v>1.8639281501858999E-2</v>
      </c>
      <c r="AS50" s="17">
        <v>50880.7236404711</v>
      </c>
      <c r="AT50" s="18">
        <v>2.1185639068588301E-2</v>
      </c>
      <c r="AU50" s="17">
        <v>6719.5862883747204</v>
      </c>
      <c r="AV50" s="18">
        <v>0.46350650019314299</v>
      </c>
      <c r="AW50" s="17">
        <v>9033.8371767197405</v>
      </c>
      <c r="AX50" s="18">
        <v>2.8395564567110801E-2</v>
      </c>
      <c r="AY50" s="17">
        <v>2369.8029504563801</v>
      </c>
      <c r="AZ50" s="18">
        <v>2.7222083018190801E-2</v>
      </c>
      <c r="BA50" s="17">
        <v>20506.024790020001</v>
      </c>
      <c r="BB50" s="18">
        <v>-2.8496354891858301E-2</v>
      </c>
      <c r="BC50" s="17">
        <v>36206.87542851</v>
      </c>
      <c r="BD50" s="18">
        <v>-5.5990981020256304E-3</v>
      </c>
      <c r="BE50" s="17">
        <v>-15700.850638489999</v>
      </c>
      <c r="BF50" s="18">
        <v>2.5982737601620599E-2</v>
      </c>
      <c r="BG50" s="17"/>
      <c r="BH50" s="18"/>
    </row>
    <row r="51" spans="1:60" x14ac:dyDescent="0.2">
      <c r="A51" s="16">
        <v>2019</v>
      </c>
      <c r="B51" s="16"/>
      <c r="C51" s="17">
        <v>731800.76850289002</v>
      </c>
      <c r="D51" s="18">
        <v>1.0239777996037499E-2</v>
      </c>
      <c r="E51" s="17">
        <v>711779.84454754996</v>
      </c>
      <c r="F51" s="18">
        <v>1.12272768896815E-2</v>
      </c>
      <c r="G51" s="17">
        <v>4705.04159740459</v>
      </c>
      <c r="H51" s="18">
        <v>2.8643537448142201E-2</v>
      </c>
      <c r="I51" s="17">
        <v>776.165818531941</v>
      </c>
      <c r="J51" s="18">
        <v>-4.4887018322542502E-3</v>
      </c>
      <c r="K51" s="17">
        <v>140594.46205681501</v>
      </c>
      <c r="L51" s="18">
        <v>4.6189263395688601E-2</v>
      </c>
      <c r="M51" s="17">
        <v>49305.022197780403</v>
      </c>
      <c r="N51" s="18">
        <v>4.2752846250296003E-2</v>
      </c>
      <c r="O51" s="17">
        <v>91289.439859035003</v>
      </c>
      <c r="P51" s="18">
        <v>4.80546938257147E-2</v>
      </c>
      <c r="Q51" s="17">
        <v>11471.242889191</v>
      </c>
      <c r="R51" s="18">
        <v>9.9315610359641607E-2</v>
      </c>
      <c r="S51" s="17">
        <v>2300.5402415888998</v>
      </c>
      <c r="T51" s="18">
        <v>-0.25668308903771903</v>
      </c>
      <c r="U51" s="17">
        <v>33405.172963746001</v>
      </c>
      <c r="V51" s="18">
        <v>8.0349496794480703E-3</v>
      </c>
      <c r="W51" s="17">
        <v>109261.475471757</v>
      </c>
      <c r="X51" s="18">
        <v>-4.6630953971228399E-2</v>
      </c>
      <c r="Y51" s="17">
        <v>25070.617128592301</v>
      </c>
      <c r="Z51" s="18">
        <v>1.07280036387405E-2</v>
      </c>
      <c r="AA51" s="17">
        <v>27324.800178993999</v>
      </c>
      <c r="AB51" s="18">
        <v>3.3524457511330701E-2</v>
      </c>
      <c r="AC51" s="17">
        <v>14041.7296146278</v>
      </c>
      <c r="AD51" s="18">
        <v>2.4424978534126399E-2</v>
      </c>
      <c r="AE51" s="17">
        <v>32184.338488197402</v>
      </c>
      <c r="AF51" s="18">
        <v>1.94187488981836E-2</v>
      </c>
      <c r="AG51" s="17">
        <v>62665.330608182201</v>
      </c>
      <c r="AH51" s="18">
        <v>-1.1662795394877599E-2</v>
      </c>
      <c r="AI51" s="17">
        <v>29586.0511222846</v>
      </c>
      <c r="AJ51" s="18">
        <v>7.1793463446976303E-3</v>
      </c>
      <c r="AK51" s="17">
        <v>22428.5327352565</v>
      </c>
      <c r="AL51" s="18">
        <v>-5.2538031323076197E-2</v>
      </c>
      <c r="AM51" s="17">
        <v>127278.391370579</v>
      </c>
      <c r="AN51" s="18">
        <v>2.79849693316323E-2</v>
      </c>
      <c r="AO51" s="17">
        <v>47043.139422860302</v>
      </c>
      <c r="AP51" s="18">
        <v>2.33199725982924E-2</v>
      </c>
      <c r="AQ51" s="17">
        <v>29389.208327713899</v>
      </c>
      <c r="AR51" s="18">
        <v>1.5104340690899099E-2</v>
      </c>
      <c r="AS51" s="17">
        <v>52623.213843916303</v>
      </c>
      <c r="AT51" s="18">
        <v>3.4246568813719E-2</v>
      </c>
      <c r="AU51" s="17">
        <v>4958.5644541779002</v>
      </c>
      <c r="AV51" s="18">
        <v>-0.26207295488466098</v>
      </c>
      <c r="AW51" s="17">
        <v>9315.2040239384096</v>
      </c>
      <c r="AX51" s="18">
        <v>3.11458842698378E-2</v>
      </c>
      <c r="AY51" s="17">
        <v>2441.82317532771</v>
      </c>
      <c r="AZ51" s="18">
        <v>3.03908073274421E-2</v>
      </c>
      <c r="BA51" s="17">
        <v>20020.92395534</v>
      </c>
      <c r="BB51" s="18">
        <v>-2.36565028886578E-2</v>
      </c>
      <c r="BC51" s="17">
        <v>36073.38944739</v>
      </c>
      <c r="BD51" s="18">
        <v>-3.68675781989436E-3</v>
      </c>
      <c r="BE51" s="17">
        <v>-16052.46549205</v>
      </c>
      <c r="BF51" s="18">
        <v>2.2394637185964201E-2</v>
      </c>
      <c r="BG51" s="17"/>
      <c r="BH51" s="18"/>
    </row>
    <row r="52" spans="1:60" x14ac:dyDescent="0.2">
      <c r="A52" s="16">
        <v>2020</v>
      </c>
      <c r="B52" s="16"/>
      <c r="C52" s="17">
        <v>709854.59789991495</v>
      </c>
      <c r="D52" s="18">
        <v>-2.99892696858911E-2</v>
      </c>
      <c r="E52" s="17">
        <v>690804.28147462499</v>
      </c>
      <c r="F52" s="18">
        <v>-2.9469172572959001E-2</v>
      </c>
      <c r="G52" s="17">
        <v>4944.5252868737698</v>
      </c>
      <c r="H52" s="18">
        <v>5.0899377723097099E-2</v>
      </c>
      <c r="I52" s="17">
        <v>755.68031664015496</v>
      </c>
      <c r="J52" s="18">
        <v>-2.63932028474698E-2</v>
      </c>
      <c r="K52" s="17">
        <v>135203.278237964</v>
      </c>
      <c r="L52" s="18">
        <v>-3.83456342446283E-2</v>
      </c>
      <c r="M52" s="17">
        <v>49965.097578772897</v>
      </c>
      <c r="N52" s="18">
        <v>1.33875891657587E-2</v>
      </c>
      <c r="O52" s="17">
        <v>85238.180659191596</v>
      </c>
      <c r="P52" s="18">
        <v>-6.62865191109452E-2</v>
      </c>
      <c r="Q52" s="17">
        <v>11458.7859538546</v>
      </c>
      <c r="R52" s="18">
        <v>-1.08592725798839E-3</v>
      </c>
      <c r="S52" s="17">
        <v>2311.7299312289201</v>
      </c>
      <c r="T52" s="18">
        <v>4.8639399727654596E-3</v>
      </c>
      <c r="U52" s="17">
        <v>33570.645279685501</v>
      </c>
      <c r="V52" s="18">
        <v>4.9534937633486402E-3</v>
      </c>
      <c r="W52" s="17">
        <v>105687.23757237601</v>
      </c>
      <c r="X52" s="18">
        <v>-3.2712700281126397E-2</v>
      </c>
      <c r="Y52" s="17">
        <v>24632.999689076802</v>
      </c>
      <c r="Z52" s="18">
        <v>-1.7455391595303502E-2</v>
      </c>
      <c r="AA52" s="17">
        <v>23308.349739566202</v>
      </c>
      <c r="AB52" s="18">
        <v>-0.14698919710730199</v>
      </c>
      <c r="AC52" s="17">
        <v>8467.9154365613904</v>
      </c>
      <c r="AD52" s="18">
        <v>-0.39694641123554902</v>
      </c>
      <c r="AE52" s="17">
        <v>32983.408938203502</v>
      </c>
      <c r="AF52" s="18">
        <v>2.4827928350900499E-2</v>
      </c>
      <c r="AG52" s="17">
        <v>60531.838050038699</v>
      </c>
      <c r="AH52" s="18">
        <v>-3.4045819872606797E-2</v>
      </c>
      <c r="AI52" s="17">
        <v>28301.092178281498</v>
      </c>
      <c r="AJ52" s="18">
        <v>-4.3431241928574102E-2</v>
      </c>
      <c r="AK52" s="17">
        <v>20845.3131841297</v>
      </c>
      <c r="AL52" s="18">
        <v>-7.0589528517756406E-2</v>
      </c>
      <c r="AM52" s="17">
        <v>127278.363441988</v>
      </c>
      <c r="AN52" s="18">
        <v>-2.19429166281593E-7</v>
      </c>
      <c r="AO52" s="17">
        <v>48217.793833028198</v>
      </c>
      <c r="AP52" s="18">
        <v>2.4969728308504201E-2</v>
      </c>
      <c r="AQ52" s="17">
        <v>29718.562960150401</v>
      </c>
      <c r="AR52" s="18">
        <v>1.12066520732346E-2</v>
      </c>
      <c r="AS52" s="17">
        <v>52087.9313611791</v>
      </c>
      <c r="AT52" s="18">
        <v>-1.0171983876257999E-2</v>
      </c>
      <c r="AU52" s="17">
        <v>3524.90244897194</v>
      </c>
      <c r="AV52" s="18">
        <v>-0.28912843998589399</v>
      </c>
      <c r="AW52" s="17">
        <v>8643.1562202966197</v>
      </c>
      <c r="AX52" s="18">
        <v>-7.2145258645408897E-2</v>
      </c>
      <c r="AY52" s="17">
        <v>2110.1764660172498</v>
      </c>
      <c r="AZ52" s="18">
        <v>-0.13581929791699601</v>
      </c>
      <c r="BA52" s="17">
        <v>19050.316425289999</v>
      </c>
      <c r="BB52" s="18">
        <v>-4.8479657193399403E-2</v>
      </c>
      <c r="BC52" s="17">
        <v>35548.43695227</v>
      </c>
      <c r="BD52" s="18">
        <v>-1.45523473996143E-2</v>
      </c>
      <c r="BE52" s="17">
        <v>-16498.120526980001</v>
      </c>
      <c r="BF52" s="18">
        <v>2.7762404170917899E-2</v>
      </c>
      <c r="BG52" s="17"/>
      <c r="BH52" s="18"/>
    </row>
    <row r="53" spans="1:60" x14ac:dyDescent="0.2">
      <c r="A53" s="16">
        <v>2021</v>
      </c>
      <c r="B53" s="16"/>
      <c r="C53" s="17">
        <v>768279.35247361602</v>
      </c>
      <c r="D53" s="18">
        <v>8.2305242153180899E-2</v>
      </c>
      <c r="E53" s="17">
        <v>747160.08469908603</v>
      </c>
      <c r="F53" s="18">
        <v>8.1579985439814706E-2</v>
      </c>
      <c r="G53" s="17">
        <v>4717.15214319183</v>
      </c>
      <c r="H53" s="18">
        <v>-4.5984827762039597E-2</v>
      </c>
      <c r="I53" s="17">
        <v>735.81403242525903</v>
      </c>
      <c r="J53" s="18">
        <v>-2.6289270446031899E-2</v>
      </c>
      <c r="K53" s="17">
        <v>158978.075803535</v>
      </c>
      <c r="L53" s="18">
        <v>0.17584483065362899</v>
      </c>
      <c r="M53" s="17">
        <v>62495.410723379602</v>
      </c>
      <c r="N53" s="18">
        <v>0.25078132039774198</v>
      </c>
      <c r="O53" s="17">
        <v>96482.665080155202</v>
      </c>
      <c r="P53" s="18">
        <v>0.13191840011136</v>
      </c>
      <c r="Q53" s="17">
        <v>8516.3356881038508</v>
      </c>
      <c r="R53" s="18">
        <v>-0.25678551616202799</v>
      </c>
      <c r="S53" s="17">
        <v>2526.7982888448601</v>
      </c>
      <c r="T53" s="18">
        <v>9.3033513435373305E-2</v>
      </c>
      <c r="U53" s="17">
        <v>34935.7923703571</v>
      </c>
      <c r="V53" s="18">
        <v>4.0664904689743403E-2</v>
      </c>
      <c r="W53" s="17">
        <v>116612.310386051</v>
      </c>
      <c r="X53" s="18">
        <v>0.10337173214687501</v>
      </c>
      <c r="Y53" s="17">
        <v>25727.087462478001</v>
      </c>
      <c r="Z53" s="18">
        <v>4.4415531490724601E-2</v>
      </c>
      <c r="AA53" s="17">
        <v>25450.532075140702</v>
      </c>
      <c r="AB53" s="18">
        <v>9.1906220711031703E-2</v>
      </c>
      <c r="AC53" s="17">
        <v>8323.7063208445306</v>
      </c>
      <c r="AD53" s="18">
        <v>-1.7030060916081498E-2</v>
      </c>
      <c r="AE53" s="17">
        <v>34469.419442586397</v>
      </c>
      <c r="AF53" s="18">
        <v>4.5053272303267097E-2</v>
      </c>
      <c r="AG53" s="17">
        <v>61965.668418715701</v>
      </c>
      <c r="AH53" s="18">
        <v>2.36872101503296E-2</v>
      </c>
      <c r="AI53" s="17">
        <v>29679.209565540099</v>
      </c>
      <c r="AJ53" s="18">
        <v>4.8694848190918197E-2</v>
      </c>
      <c r="AK53" s="17">
        <v>19510.9149782022</v>
      </c>
      <c r="AL53" s="18">
        <v>-6.4014303557858795E-2</v>
      </c>
      <c r="AM53" s="17">
        <v>136697.900471092</v>
      </c>
      <c r="AN53" s="18">
        <v>7.4007370729570102E-2</v>
      </c>
      <c r="AO53" s="17">
        <v>49747.8368930656</v>
      </c>
      <c r="AP53" s="18">
        <v>3.1731917584942398E-2</v>
      </c>
      <c r="AQ53" s="17">
        <v>30681.676971829002</v>
      </c>
      <c r="AR53" s="18">
        <v>3.2407825808066199E-2</v>
      </c>
      <c r="AS53" s="17">
        <v>55007.185313913396</v>
      </c>
      <c r="AT53" s="18">
        <v>5.6044728144261799E-2</v>
      </c>
      <c r="AU53" s="17">
        <v>6008.5003691203401</v>
      </c>
      <c r="AV53" s="18">
        <v>0.70458628461413297</v>
      </c>
      <c r="AW53" s="17">
        <v>9512.1191691750591</v>
      </c>
      <c r="AX53" s="18">
        <v>0.10053768863252301</v>
      </c>
      <c r="AY53" s="17">
        <v>2273.2605410947499</v>
      </c>
      <c r="AZ53" s="18">
        <v>7.7284567288017594E-2</v>
      </c>
      <c r="BA53" s="17">
        <v>21119.267774529999</v>
      </c>
      <c r="BB53" s="18">
        <v>0.108604566089695</v>
      </c>
      <c r="BC53" s="17">
        <v>37828.374968780001</v>
      </c>
      <c r="BD53" s="18">
        <v>6.4136097448425702E-2</v>
      </c>
      <c r="BE53" s="17">
        <v>-16709.107194249998</v>
      </c>
      <c r="BF53" s="18">
        <v>1.2788527452261E-2</v>
      </c>
      <c r="BG53" s="17"/>
      <c r="BH53" s="18"/>
    </row>
    <row r="54" spans="1:60" x14ac:dyDescent="0.2">
      <c r="A54" s="16">
        <v>2022</v>
      </c>
      <c r="B54" s="16"/>
      <c r="C54" s="17">
        <v>819703.68671952398</v>
      </c>
      <c r="D54" s="18">
        <v>6.6934421809381306E-2</v>
      </c>
      <c r="E54" s="17">
        <v>798087.68559475394</v>
      </c>
      <c r="F54" s="18">
        <v>6.8161565290493401E-2</v>
      </c>
      <c r="G54" s="17">
        <v>4901.6473244644103</v>
      </c>
      <c r="H54" s="18">
        <v>3.9111560465323998E-2</v>
      </c>
      <c r="I54" s="17">
        <v>654.26798720664897</v>
      </c>
      <c r="J54" s="18">
        <v>-0.11082425942575801</v>
      </c>
      <c r="K54" s="17">
        <v>163316.249166972</v>
      </c>
      <c r="L54" s="18">
        <v>2.7287871874850999E-2</v>
      </c>
      <c r="M54" s="17">
        <v>61940.100838692997</v>
      </c>
      <c r="N54" s="18">
        <v>-8.8856106113862597E-3</v>
      </c>
      <c r="O54" s="17">
        <v>101376.148328279</v>
      </c>
      <c r="P54" s="18">
        <v>5.0718781908215799E-2</v>
      </c>
      <c r="Q54" s="17">
        <v>10428.519168773701</v>
      </c>
      <c r="R54" s="18">
        <v>0.224531248027355</v>
      </c>
      <c r="S54" s="17">
        <v>2614.2717321519299</v>
      </c>
      <c r="T54" s="18">
        <v>3.4618292917658403E-2</v>
      </c>
      <c r="U54" s="17">
        <v>35901.803995758499</v>
      </c>
      <c r="V54" s="18">
        <v>2.7651058122873901E-2</v>
      </c>
      <c r="W54" s="17">
        <v>128170.724021758</v>
      </c>
      <c r="X54" s="18">
        <v>9.9118297180137205E-2</v>
      </c>
      <c r="Y54" s="17">
        <v>26157.520400275698</v>
      </c>
      <c r="Z54" s="18">
        <v>1.6730729369403698E-2</v>
      </c>
      <c r="AA54" s="17">
        <v>29152.2517897342</v>
      </c>
      <c r="AB54" s="18">
        <v>0.14544763558044499</v>
      </c>
      <c r="AC54" s="17">
        <v>13410.8659040737</v>
      </c>
      <c r="AD54" s="18">
        <v>0.61116519338142705</v>
      </c>
      <c r="AE54" s="17">
        <v>36546.160160011103</v>
      </c>
      <c r="AF54" s="18">
        <v>6.0248787215108297E-2</v>
      </c>
      <c r="AG54" s="17">
        <v>67972.456322002399</v>
      </c>
      <c r="AH54" s="18">
        <v>9.6937353482537306E-2</v>
      </c>
      <c r="AI54" s="17">
        <v>31139.799182742299</v>
      </c>
      <c r="AJ54" s="18">
        <v>4.9212551094960998E-2</v>
      </c>
      <c r="AK54" s="17">
        <v>22844.815582405699</v>
      </c>
      <c r="AL54" s="18">
        <v>0.17087361653352601</v>
      </c>
      <c r="AM54" s="17">
        <v>143395.16681157399</v>
      </c>
      <c r="AN54" s="18">
        <v>4.8993190951738298E-2</v>
      </c>
      <c r="AO54" s="17">
        <v>51647.659193439402</v>
      </c>
      <c r="AP54" s="18">
        <v>3.8189043363986701E-2</v>
      </c>
      <c r="AQ54" s="17">
        <v>31781.449551563299</v>
      </c>
      <c r="AR54" s="18">
        <v>3.5844604606980003E-2</v>
      </c>
      <c r="AS54" s="17">
        <v>57495.385207040403</v>
      </c>
      <c r="AT54" s="18">
        <v>4.52340885818368E-2</v>
      </c>
      <c r="AU54" s="17">
        <v>8264.3544031948204</v>
      </c>
      <c r="AV54" s="18">
        <v>0.37544377057344602</v>
      </c>
      <c r="AW54" s="17">
        <v>9977.7383081894295</v>
      </c>
      <c r="AX54" s="18">
        <v>4.8950095213615E-2</v>
      </c>
      <c r="AY54" s="17">
        <v>2456.7145468457102</v>
      </c>
      <c r="AZ54" s="18">
        <v>8.0700827043172399E-2</v>
      </c>
      <c r="BA54" s="17">
        <v>21616.001124769999</v>
      </c>
      <c r="BB54" s="18">
        <v>2.3520386953900501E-2</v>
      </c>
      <c r="BC54" s="17">
        <v>38920.413825429998</v>
      </c>
      <c r="BD54" s="18">
        <v>2.8868246588738E-2</v>
      </c>
      <c r="BE54" s="17">
        <v>-17304.412700659999</v>
      </c>
      <c r="BF54" s="18">
        <v>3.5627607118042998E-2</v>
      </c>
      <c r="BG54" s="17"/>
      <c r="BH54" s="18"/>
    </row>
    <row r="55" spans="1:60" x14ac:dyDescent="0.2">
      <c r="A55" s="16">
        <v>2023</v>
      </c>
      <c r="B55" s="16"/>
      <c r="C55" s="17">
        <v>834189.81128891394</v>
      </c>
      <c r="D55" s="18">
        <v>1.76723916264971E-2</v>
      </c>
      <c r="E55" s="17">
        <v>813555.86547495401</v>
      </c>
      <c r="F55" s="18">
        <v>1.9381554382302602E-2</v>
      </c>
      <c r="G55" s="17">
        <v>5083.4912204489601</v>
      </c>
      <c r="H55" s="18">
        <v>3.7098527076184301E-2</v>
      </c>
      <c r="I55" s="17">
        <v>676.63721407977096</v>
      </c>
      <c r="J55" s="18">
        <v>3.4189701025455502E-2</v>
      </c>
      <c r="K55" s="17">
        <v>161470.65114759601</v>
      </c>
      <c r="L55" s="18">
        <v>-1.1300761735525E-2</v>
      </c>
      <c r="M55" s="17">
        <v>58671.123501048402</v>
      </c>
      <c r="N55" s="18">
        <v>-5.27764290561588E-2</v>
      </c>
      <c r="O55" s="17">
        <v>102799.527646548</v>
      </c>
      <c r="P55" s="18">
        <v>1.4040574057516899E-2</v>
      </c>
      <c r="Q55" s="17">
        <v>13681.6545464223</v>
      </c>
      <c r="R55" s="18">
        <v>0.31194605149593102</v>
      </c>
      <c r="S55" s="17">
        <v>2657.0966280686498</v>
      </c>
      <c r="T55" s="18">
        <v>1.6381195340190901E-2</v>
      </c>
      <c r="U55" s="17">
        <v>37327.652978900202</v>
      </c>
      <c r="V55" s="18">
        <v>3.9715246156158499E-2</v>
      </c>
      <c r="W55" s="17">
        <v>123331.164702788</v>
      </c>
      <c r="X55" s="18">
        <v>-3.7758695333170701E-2</v>
      </c>
      <c r="Y55" s="17">
        <v>26587.1801841216</v>
      </c>
      <c r="Z55" s="18">
        <v>1.6425860604179401E-2</v>
      </c>
      <c r="AA55" s="17">
        <v>30192.529124076402</v>
      </c>
      <c r="AB55" s="18">
        <v>3.5684287507030003E-2</v>
      </c>
      <c r="AC55" s="17">
        <v>15054.8775830786</v>
      </c>
      <c r="AD55" s="18">
        <v>0.12258803352179599</v>
      </c>
      <c r="AE55" s="17">
        <v>38456.9027926614</v>
      </c>
      <c r="AF55" s="18">
        <v>5.2282992913193799E-2</v>
      </c>
      <c r="AG55" s="17">
        <v>71581.568840405904</v>
      </c>
      <c r="AH55" s="18">
        <v>5.3096691125978902E-2</v>
      </c>
      <c r="AI55" s="17">
        <v>32084.390889443199</v>
      </c>
      <c r="AJ55" s="18">
        <v>3.0333904889932501E-2</v>
      </c>
      <c r="AK55" s="17">
        <v>25037.455638756201</v>
      </c>
      <c r="AL55" s="18">
        <v>9.5979766106719905E-2</v>
      </c>
      <c r="AM55" s="17">
        <v>148950.016546403</v>
      </c>
      <c r="AN55" s="18">
        <v>3.8738054136285803E-2</v>
      </c>
      <c r="AO55" s="17">
        <v>53282.5626082327</v>
      </c>
      <c r="AP55" s="18">
        <v>3.1654937325813301E-2</v>
      </c>
      <c r="AQ55" s="17">
        <v>33664.761280553801</v>
      </c>
      <c r="AR55" s="18">
        <v>5.9258207399727203E-2</v>
      </c>
      <c r="AS55" s="17">
        <v>59305.0283916634</v>
      </c>
      <c r="AT55" s="18">
        <v>3.1474581448693202E-2</v>
      </c>
      <c r="AU55" s="17">
        <v>5740.4272066569501</v>
      </c>
      <c r="AV55" s="18">
        <v>-0.30539919676752603</v>
      </c>
      <c r="AW55" s="17">
        <v>10504.3563069745</v>
      </c>
      <c r="AX55" s="18">
        <v>5.2779295519590499E-2</v>
      </c>
      <c r="AY55" s="17">
        <v>2594.4863559435198</v>
      </c>
      <c r="AZ55" s="18">
        <v>5.6079697690031099E-2</v>
      </c>
      <c r="BA55" s="17">
        <v>20633.945813959999</v>
      </c>
      <c r="BB55" s="18">
        <v>-4.5431868047260897E-2</v>
      </c>
      <c r="BC55" s="17">
        <v>38708.877718850003</v>
      </c>
      <c r="BD55" s="18">
        <v>-5.4350939722477296E-3</v>
      </c>
      <c r="BE55" s="17">
        <v>-18074.93190489</v>
      </c>
      <c r="BF55" s="18">
        <v>4.4527324767318403E-2</v>
      </c>
      <c r="BG55" s="17"/>
      <c r="BH55" s="18"/>
    </row>
    <row r="56" spans="1:60" x14ac:dyDescent="0.2">
      <c r="A56" s="16">
        <v>2024</v>
      </c>
      <c r="B56" s="16"/>
      <c r="C56" s="17">
        <v>853956.984778921</v>
      </c>
      <c r="D56" s="18">
        <v>2.3696253805191199E-2</v>
      </c>
      <c r="E56" s="17">
        <v>832426.77348883101</v>
      </c>
      <c r="F56" s="18">
        <v>2.31955896511911E-2</v>
      </c>
      <c r="G56" s="17">
        <v>5204.7978105120401</v>
      </c>
      <c r="H56" s="18">
        <v>2.3862850313404599E-2</v>
      </c>
      <c r="I56" s="17">
        <v>699.33176526605996</v>
      </c>
      <c r="J56" s="18">
        <v>3.3540205466165103E-2</v>
      </c>
      <c r="K56" s="17">
        <v>162819.061712978</v>
      </c>
      <c r="L56" s="18">
        <v>8.3508089909745103E-3</v>
      </c>
      <c r="M56" s="17">
        <v>64672.283159978702</v>
      </c>
      <c r="N56" s="18">
        <v>0.102284723741877</v>
      </c>
      <c r="O56" s="17">
        <v>98146.778552999604</v>
      </c>
      <c r="P56" s="18">
        <v>-4.5260413156233498E-2</v>
      </c>
      <c r="Q56" s="17">
        <v>12740.018947930101</v>
      </c>
      <c r="R56" s="18">
        <v>-6.8824687489159306E-2</v>
      </c>
      <c r="S56" s="17">
        <v>2589.77540424264</v>
      </c>
      <c r="T56" s="18">
        <v>-2.5336385254059599E-2</v>
      </c>
      <c r="U56" s="17">
        <v>38219.932538483103</v>
      </c>
      <c r="V56" s="18">
        <v>2.39039823930873E-2</v>
      </c>
      <c r="W56" s="17">
        <v>119940.907436111</v>
      </c>
      <c r="X56" s="18">
        <v>-2.74890557860786E-2</v>
      </c>
      <c r="Y56" s="17">
        <v>27040.0170142852</v>
      </c>
      <c r="Z56" s="18">
        <v>1.7032149593436002E-2</v>
      </c>
      <c r="AA56" s="17">
        <v>30644.528385190199</v>
      </c>
      <c r="AB56" s="18">
        <v>1.4970566369458401E-2</v>
      </c>
      <c r="AC56" s="17">
        <v>15544.983297377399</v>
      </c>
      <c r="AD56" s="18">
        <v>3.25546130544241E-2</v>
      </c>
      <c r="AE56" s="17">
        <v>40808.591275775099</v>
      </c>
      <c r="AF56" s="18">
        <v>6.11512709640896E-2</v>
      </c>
      <c r="AG56" s="17">
        <v>73246.006518458395</v>
      </c>
      <c r="AH56" s="18">
        <v>2.32523218618386E-2</v>
      </c>
      <c r="AI56" s="17">
        <v>31726.637514978502</v>
      </c>
      <c r="AJ56" s="18">
        <v>-1.11503869809293E-2</v>
      </c>
      <c r="AK56" s="17">
        <v>27124.547340247202</v>
      </c>
      <c r="AL56" s="18">
        <v>8.3358777808888201E-2</v>
      </c>
      <c r="AM56" s="17">
        <v>155936.383518191</v>
      </c>
      <c r="AN56" s="18">
        <v>4.6904103361489001E-2</v>
      </c>
      <c r="AO56" s="17">
        <v>54832.366633243801</v>
      </c>
      <c r="AP56" s="18">
        <v>2.90865144082166E-2</v>
      </c>
      <c r="AQ56" s="17">
        <v>35004.143897380898</v>
      </c>
      <c r="AR56" s="18">
        <v>3.9785893791582698E-2</v>
      </c>
      <c r="AS56" s="17">
        <v>62712.623162656499</v>
      </c>
      <c r="AT56" s="18">
        <v>5.7458783233160997E-2</v>
      </c>
      <c r="AU56" s="17">
        <v>8292.1705661221204</v>
      </c>
      <c r="AV56" s="18">
        <v>0.44452150817381902</v>
      </c>
      <c r="AW56" s="17">
        <v>10641.7404086436</v>
      </c>
      <c r="AX56" s="18">
        <v>1.30787739538007E-2</v>
      </c>
      <c r="AY56" s="17">
        <v>2549.4102102689999</v>
      </c>
      <c r="AZ56" s="18">
        <v>-1.7373822595465702E-2</v>
      </c>
      <c r="BA56" s="17">
        <v>21530.211290089999</v>
      </c>
      <c r="BB56" s="18">
        <v>4.3436455838883802E-2</v>
      </c>
      <c r="BC56" s="17">
        <v>40406.316244299996</v>
      </c>
      <c r="BD56" s="18">
        <v>4.3851401163805599E-2</v>
      </c>
      <c r="BE56" s="17">
        <v>-18876.104954210001</v>
      </c>
      <c r="BF56" s="18">
        <v>4.4325093645484197E-2</v>
      </c>
      <c r="BG56" s="17"/>
      <c r="BH56" s="18"/>
    </row>
    <row r="57" spans="1:60" x14ac:dyDescent="0.2">
      <c r="A57" s="16"/>
      <c r="B57" s="16"/>
      <c r="C57" s="17"/>
      <c r="D57" s="18"/>
      <c r="E57" s="17"/>
      <c r="F57" s="18"/>
      <c r="G57" s="17"/>
      <c r="H57" s="18"/>
      <c r="I57" s="17"/>
      <c r="J57" s="18"/>
      <c r="K57" s="17"/>
      <c r="L57" s="18"/>
      <c r="M57" s="17"/>
      <c r="N57" s="18"/>
      <c r="O57" s="17"/>
      <c r="P57" s="18"/>
      <c r="Q57" s="17"/>
      <c r="R57" s="18"/>
      <c r="S57" s="17"/>
      <c r="T57" s="18"/>
      <c r="U57" s="17"/>
      <c r="V57" s="18"/>
      <c r="W57" s="17"/>
      <c r="X57" s="18"/>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K6:AL6"/>
    <mergeCell ref="AK7:AL7"/>
    <mergeCell ref="AK8:AL10"/>
    <mergeCell ref="AI6:AJ6"/>
    <mergeCell ref="AI7:AJ7"/>
    <mergeCell ref="AI8:AJ10"/>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le08"/>
  <dimension ref="A1:BH57"/>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9"/>
      <c r="E1" s="9"/>
      <c r="G1" s="9"/>
      <c r="I1" s="9"/>
      <c r="K1" s="9"/>
      <c r="M1" s="9"/>
      <c r="Q1" s="9"/>
      <c r="S1" s="9"/>
      <c r="U1" s="9"/>
      <c r="W1" s="9"/>
      <c r="Y1" s="9"/>
      <c r="AA1" s="9"/>
      <c r="AG1" s="9"/>
      <c r="AI1" s="9"/>
      <c r="AM1" s="9"/>
      <c r="AO1" s="9"/>
      <c r="AQ1" s="9"/>
      <c r="AS1" s="9"/>
      <c r="AU1" s="9"/>
      <c r="AW1" s="9"/>
    </row>
    <row r="2" spans="1:60" ht="11.25" customHeight="1" x14ac:dyDescent="0.2">
      <c r="A2" s="4" t="str">
        <f ca="1">INDIRECT("beschriftung!"&amp;ADDRESS(beschriftung!$C$1*12+ROW(beschriftung!$A3)-1,COLUMN(beschriftung!B$1)))</f>
        <v>In Mio. Swiss Francs, at prices of the preceding year, chained values, reference year 2020, percentage change to previous year</v>
      </c>
      <c r="C2" s="9"/>
      <c r="E2" s="9"/>
      <c r="G2" s="9"/>
      <c r="I2" s="9"/>
      <c r="K2" s="9"/>
      <c r="M2" s="9"/>
      <c r="Q2" s="9"/>
      <c r="S2" s="9"/>
      <c r="U2" s="9"/>
      <c r="W2" s="9"/>
      <c r="Y2" s="9"/>
      <c r="AA2" s="9"/>
      <c r="AG2" s="9"/>
      <c r="AI2" s="9"/>
      <c r="AM2" s="9"/>
      <c r="AO2" s="9"/>
      <c r="AQ2" s="9"/>
      <c r="AS2" s="9"/>
      <c r="AU2" s="9"/>
      <c r="AW2" s="9"/>
    </row>
    <row r="3" spans="1:60" ht="11.25" customHeight="1" x14ac:dyDescent="0.2">
      <c r="C3" s="9"/>
      <c r="E3" s="9"/>
      <c r="G3" s="9"/>
      <c r="I3" s="9"/>
      <c r="K3" s="9"/>
      <c r="M3" s="9"/>
      <c r="Q3" s="9"/>
      <c r="S3" s="9"/>
      <c r="U3" s="9"/>
      <c r="W3" s="9"/>
      <c r="Y3" s="9"/>
      <c r="AA3" s="9"/>
      <c r="AG3" s="9"/>
      <c r="AI3" s="9"/>
      <c r="AM3" s="9"/>
      <c r="AO3" s="9"/>
      <c r="AQ3" s="9"/>
      <c r="AS3" s="9"/>
      <c r="AU3" s="9"/>
      <c r="AW3" s="9"/>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c r="C12" s="17">
        <v>367723.78785276302</v>
      </c>
      <c r="D12" s="18"/>
      <c r="E12" s="17"/>
      <c r="F12" s="18"/>
      <c r="G12" s="17"/>
      <c r="H12" s="18"/>
      <c r="I12" s="17"/>
      <c r="J12" s="18"/>
      <c r="K12" s="17"/>
      <c r="L12" s="18"/>
      <c r="M12" s="17"/>
      <c r="N12" s="18"/>
      <c r="O12" s="17"/>
      <c r="P12" s="18"/>
      <c r="Q12" s="17"/>
      <c r="R12" s="18"/>
      <c r="S12" s="17"/>
      <c r="T12" s="18"/>
      <c r="U12" s="17"/>
      <c r="V12" s="18"/>
      <c r="W12" s="17"/>
      <c r="X12" s="18"/>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row>
    <row r="13" spans="1:60" x14ac:dyDescent="0.2">
      <c r="A13" s="16">
        <v>1981</v>
      </c>
      <c r="B13" s="16"/>
      <c r="C13" s="17">
        <v>373612.28076997999</v>
      </c>
      <c r="D13" s="18">
        <v>1.60133586994777E-2</v>
      </c>
      <c r="E13" s="17"/>
      <c r="F13" s="18"/>
      <c r="G13" s="17"/>
      <c r="H13" s="18"/>
      <c r="I13" s="17"/>
      <c r="J13" s="18"/>
      <c r="K13" s="17"/>
      <c r="L13" s="18"/>
      <c r="M13" s="17"/>
      <c r="N13" s="18"/>
      <c r="O13" s="17"/>
      <c r="P13" s="18"/>
      <c r="Q13" s="17"/>
      <c r="R13" s="18"/>
      <c r="S13" s="17"/>
      <c r="T13" s="18"/>
      <c r="U13" s="17"/>
      <c r="V13" s="18"/>
      <c r="W13" s="17"/>
      <c r="X13" s="18"/>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row>
    <row r="14" spans="1:60" x14ac:dyDescent="0.2">
      <c r="A14" s="16">
        <v>1982</v>
      </c>
      <c r="B14" s="16"/>
      <c r="C14" s="17">
        <v>368720.136402959</v>
      </c>
      <c r="D14" s="18">
        <v>-1.30941744124111E-2</v>
      </c>
      <c r="E14" s="17"/>
      <c r="F14" s="18"/>
      <c r="G14" s="17"/>
      <c r="H14" s="18"/>
      <c r="I14" s="17"/>
      <c r="J14" s="18"/>
      <c r="K14" s="17"/>
      <c r="L14" s="18"/>
      <c r="M14" s="17"/>
      <c r="N14" s="18"/>
      <c r="O14" s="17"/>
      <c r="P14" s="18"/>
      <c r="Q14" s="17"/>
      <c r="R14" s="18"/>
      <c r="S14" s="17"/>
      <c r="T14" s="18"/>
      <c r="U14" s="17"/>
      <c r="V14" s="18"/>
      <c r="W14" s="17"/>
      <c r="X14" s="18"/>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row>
    <row r="15" spans="1:60" x14ac:dyDescent="0.2">
      <c r="A15" s="16">
        <v>1983</v>
      </c>
      <c r="B15" s="16"/>
      <c r="C15" s="17">
        <v>371076.55105185503</v>
      </c>
      <c r="D15" s="18">
        <v>6.3907945790111498E-3</v>
      </c>
      <c r="E15" s="17"/>
      <c r="F15" s="18"/>
      <c r="G15" s="17"/>
      <c r="H15" s="18"/>
      <c r="I15" s="17"/>
      <c r="J15" s="18"/>
      <c r="K15" s="17"/>
      <c r="L15" s="18"/>
      <c r="M15" s="17"/>
      <c r="N15" s="18"/>
      <c r="O15" s="17"/>
      <c r="P15" s="18"/>
      <c r="Q15" s="17"/>
      <c r="R15" s="18"/>
      <c r="S15" s="17"/>
      <c r="T15" s="18"/>
      <c r="U15" s="17"/>
      <c r="V15" s="18"/>
      <c r="W15" s="17"/>
      <c r="X15" s="18"/>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row>
    <row r="16" spans="1:60" x14ac:dyDescent="0.2">
      <c r="A16" s="16">
        <v>1984</v>
      </c>
      <c r="B16" s="16"/>
      <c r="C16" s="17">
        <v>382240.22734115302</v>
      </c>
      <c r="D16" s="18">
        <v>3.0084564108546999E-2</v>
      </c>
      <c r="E16" s="17"/>
      <c r="F16" s="18"/>
      <c r="G16" s="17"/>
      <c r="H16" s="18"/>
      <c r="I16" s="17"/>
      <c r="J16" s="18"/>
      <c r="K16" s="17"/>
      <c r="L16" s="18"/>
      <c r="M16" s="17"/>
      <c r="N16" s="18"/>
      <c r="O16" s="17"/>
      <c r="P16" s="18"/>
      <c r="Q16" s="17"/>
      <c r="R16" s="18"/>
      <c r="S16" s="17"/>
      <c r="T16" s="18"/>
      <c r="U16" s="17"/>
      <c r="V16" s="18"/>
      <c r="W16" s="17"/>
      <c r="X16" s="18"/>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row>
    <row r="17" spans="1:60" x14ac:dyDescent="0.2">
      <c r="A17" s="16">
        <v>1985</v>
      </c>
      <c r="B17" s="16"/>
      <c r="C17" s="17">
        <v>396282.18873124197</v>
      </c>
      <c r="D17" s="18">
        <v>3.6735959184003297E-2</v>
      </c>
      <c r="E17" s="17"/>
      <c r="F17" s="18"/>
      <c r="G17" s="17"/>
      <c r="H17" s="18"/>
      <c r="I17" s="17"/>
      <c r="J17" s="18"/>
      <c r="K17" s="17"/>
      <c r="L17" s="18"/>
      <c r="M17" s="17"/>
      <c r="N17" s="18"/>
      <c r="O17" s="17"/>
      <c r="P17" s="18"/>
      <c r="Q17" s="17"/>
      <c r="R17" s="18"/>
      <c r="S17" s="17"/>
      <c r="T17" s="18"/>
      <c r="U17" s="17"/>
      <c r="V17" s="18"/>
      <c r="W17" s="17"/>
      <c r="X17" s="18"/>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row>
    <row r="18" spans="1:60" x14ac:dyDescent="0.2">
      <c r="A18" s="16">
        <v>1986</v>
      </c>
      <c r="B18" s="16"/>
      <c r="C18" s="17">
        <v>403647.61943168199</v>
      </c>
      <c r="D18" s="18">
        <v>1.85863278993736E-2</v>
      </c>
      <c r="E18" s="17"/>
      <c r="F18" s="18"/>
      <c r="G18" s="17"/>
      <c r="H18" s="18"/>
      <c r="I18" s="17"/>
      <c r="J18" s="18"/>
      <c r="K18" s="17"/>
      <c r="L18" s="18"/>
      <c r="M18" s="17"/>
      <c r="N18" s="18"/>
      <c r="O18" s="17"/>
      <c r="P18" s="18"/>
      <c r="Q18" s="17"/>
      <c r="R18" s="18"/>
      <c r="S18" s="17"/>
      <c r="T18" s="18"/>
      <c r="U18" s="17"/>
      <c r="V18" s="18"/>
      <c r="W18" s="17"/>
      <c r="X18" s="18"/>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row>
    <row r="19" spans="1:60" x14ac:dyDescent="0.2">
      <c r="A19" s="16">
        <v>1987</v>
      </c>
      <c r="B19" s="16"/>
      <c r="C19" s="17">
        <v>410047.36430921999</v>
      </c>
      <c r="D19" s="18">
        <v>1.5854781669586399E-2</v>
      </c>
      <c r="E19" s="17"/>
      <c r="F19" s="18"/>
      <c r="G19" s="17"/>
      <c r="H19" s="18"/>
      <c r="I19" s="17"/>
      <c r="J19" s="18"/>
      <c r="K19" s="17"/>
      <c r="L19" s="18"/>
      <c r="M19" s="17"/>
      <c r="N19" s="18"/>
      <c r="O19" s="17"/>
      <c r="P19" s="18"/>
      <c r="Q19" s="17"/>
      <c r="R19" s="18"/>
      <c r="S19" s="17"/>
      <c r="T19" s="18"/>
      <c r="U19" s="17"/>
      <c r="V19" s="18"/>
      <c r="W19" s="17"/>
      <c r="X19" s="18"/>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row>
    <row r="20" spans="1:60" x14ac:dyDescent="0.2">
      <c r="A20" s="16">
        <v>1988</v>
      </c>
      <c r="B20" s="16"/>
      <c r="C20" s="17">
        <v>423487.06135492102</v>
      </c>
      <c r="D20" s="18">
        <v>3.2775962524090901E-2</v>
      </c>
      <c r="E20" s="17"/>
      <c r="F20" s="18"/>
      <c r="G20" s="17"/>
      <c r="H20" s="18"/>
      <c r="I20" s="17"/>
      <c r="J20" s="18"/>
      <c r="K20" s="17"/>
      <c r="L20" s="18"/>
      <c r="M20" s="17"/>
      <c r="N20" s="18"/>
      <c r="O20" s="17"/>
      <c r="P20" s="18"/>
      <c r="Q20" s="17"/>
      <c r="R20" s="18"/>
      <c r="S20" s="17"/>
      <c r="T20" s="18"/>
      <c r="U20" s="17"/>
      <c r="V20" s="18"/>
      <c r="W20" s="17"/>
      <c r="X20" s="18"/>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row>
    <row r="21" spans="1:60" x14ac:dyDescent="0.2">
      <c r="A21" s="16">
        <v>1989</v>
      </c>
      <c r="B21" s="16"/>
      <c r="C21" s="17">
        <v>441827.41382399399</v>
      </c>
      <c r="D21" s="18">
        <v>4.33079405316283E-2</v>
      </c>
      <c r="E21" s="17"/>
      <c r="F21" s="18"/>
      <c r="G21" s="17"/>
      <c r="H21" s="18"/>
      <c r="I21" s="17"/>
      <c r="J21" s="18"/>
      <c r="K21" s="17"/>
      <c r="L21" s="18"/>
      <c r="M21" s="17"/>
      <c r="N21" s="18"/>
      <c r="O21" s="17"/>
      <c r="P21" s="18"/>
      <c r="Q21" s="17"/>
      <c r="R21" s="18"/>
      <c r="S21" s="17"/>
      <c r="T21" s="18"/>
      <c r="U21" s="17"/>
      <c r="V21" s="18"/>
      <c r="W21" s="17"/>
      <c r="X21" s="18"/>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row>
    <row r="22" spans="1:60" x14ac:dyDescent="0.2">
      <c r="A22" s="16">
        <v>1990</v>
      </c>
      <c r="B22" s="16"/>
      <c r="C22" s="17">
        <v>458062.91722703801</v>
      </c>
      <c r="D22" s="18">
        <v>3.6746256332368797E-2</v>
      </c>
      <c r="E22" s="17">
        <v>448113.27416596701</v>
      </c>
      <c r="F22" s="18"/>
      <c r="G22" s="17">
        <v>5048.1492459276096</v>
      </c>
      <c r="H22" s="18"/>
      <c r="I22" s="17">
        <v>795.21160847419503</v>
      </c>
      <c r="J22" s="18"/>
      <c r="K22" s="17">
        <v>70297.833962917895</v>
      </c>
      <c r="L22" s="18"/>
      <c r="M22" s="17">
        <v>5424.2045266307496</v>
      </c>
      <c r="N22" s="18"/>
      <c r="O22" s="17">
        <v>77256.0313775502</v>
      </c>
      <c r="P22" s="18"/>
      <c r="Q22" s="17">
        <v>13495.932049516199</v>
      </c>
      <c r="R22" s="18"/>
      <c r="S22" s="17">
        <v>1311.35828599872</v>
      </c>
      <c r="T22" s="18"/>
      <c r="U22" s="17">
        <v>36823.930378815101</v>
      </c>
      <c r="V22" s="18"/>
      <c r="W22" s="17">
        <v>66255.862034545295</v>
      </c>
      <c r="X22" s="18"/>
      <c r="Y22" s="17">
        <v>19156.676729921601</v>
      </c>
      <c r="Z22" s="18"/>
      <c r="AA22" s="17">
        <v>23786.135024596599</v>
      </c>
      <c r="AB22" s="18"/>
      <c r="AC22" s="17">
        <v>14859.341078191301</v>
      </c>
      <c r="AD22" s="18"/>
      <c r="AE22" s="17">
        <v>17115.7504170348</v>
      </c>
      <c r="AF22" s="18"/>
      <c r="AG22" s="17">
        <v>25494.3879499492</v>
      </c>
      <c r="AH22" s="18"/>
      <c r="AI22" s="17">
        <v>14592.027439228301</v>
      </c>
      <c r="AJ22" s="18"/>
      <c r="AK22" s="17">
        <v>8447.2426869144492</v>
      </c>
      <c r="AL22" s="18"/>
      <c r="AM22" s="17">
        <v>89703.847554201493</v>
      </c>
      <c r="AN22" s="18"/>
      <c r="AO22" s="17">
        <v>34935.026613324</v>
      </c>
      <c r="AP22" s="18"/>
      <c r="AQ22" s="17">
        <v>27429.197583001998</v>
      </c>
      <c r="AR22" s="18"/>
      <c r="AS22" s="17">
        <v>22502.4008977413</v>
      </c>
      <c r="AT22" s="18"/>
      <c r="AU22" s="17">
        <v>2951.7198845794401</v>
      </c>
      <c r="AV22" s="18"/>
      <c r="AW22" s="17">
        <v>12838.050484378</v>
      </c>
      <c r="AX22" s="18"/>
      <c r="AY22" s="17">
        <v>1690.75439491213</v>
      </c>
      <c r="AZ22" s="18"/>
      <c r="BA22" s="17">
        <v>10669.9752398241</v>
      </c>
      <c r="BB22" s="18"/>
      <c r="BC22" s="17">
        <v>21668.5186732043</v>
      </c>
      <c r="BD22" s="18"/>
      <c r="BE22" s="17">
        <v>-11553.651116782599</v>
      </c>
      <c r="BF22" s="18"/>
      <c r="BG22" s="17"/>
      <c r="BH22" s="18"/>
    </row>
    <row r="23" spans="1:60" x14ac:dyDescent="0.2">
      <c r="A23" s="16">
        <v>1991</v>
      </c>
      <c r="B23" s="16"/>
      <c r="C23" s="17">
        <v>453867.90112403699</v>
      </c>
      <c r="D23" s="18">
        <v>-9.1581657131215594E-3</v>
      </c>
      <c r="E23" s="17">
        <v>445030.198337832</v>
      </c>
      <c r="F23" s="18">
        <v>-6.8801260883706297E-3</v>
      </c>
      <c r="G23" s="17">
        <v>5019.5776925720902</v>
      </c>
      <c r="H23" s="18">
        <v>-5.6598075777111196E-3</v>
      </c>
      <c r="I23" s="17">
        <v>784.74762861817896</v>
      </c>
      <c r="J23" s="18">
        <v>-1.3158736296737E-2</v>
      </c>
      <c r="K23" s="17">
        <v>70737.460932572198</v>
      </c>
      <c r="L23" s="18">
        <v>6.2537768928443401E-3</v>
      </c>
      <c r="M23" s="17">
        <v>5721.5893853547996</v>
      </c>
      <c r="N23" s="18">
        <v>5.4825524602550399E-2</v>
      </c>
      <c r="O23" s="17">
        <v>77024.894662098799</v>
      </c>
      <c r="P23" s="18">
        <v>-2.9918274512683602E-3</v>
      </c>
      <c r="Q23" s="17">
        <v>13908.540612336699</v>
      </c>
      <c r="R23" s="18">
        <v>3.05728097404947E-2</v>
      </c>
      <c r="S23" s="17">
        <v>1478.6053954392</v>
      </c>
      <c r="T23" s="18">
        <v>0.127537310913554</v>
      </c>
      <c r="U23" s="17">
        <v>35702.166662079297</v>
      </c>
      <c r="V23" s="18">
        <v>-3.0462900217224E-2</v>
      </c>
      <c r="W23" s="17">
        <v>60505.418725781099</v>
      </c>
      <c r="X23" s="18">
        <v>-8.6791464667171997E-2</v>
      </c>
      <c r="Y23" s="17">
        <v>18223.416668899699</v>
      </c>
      <c r="Z23" s="18">
        <v>-4.8717221372966003E-2</v>
      </c>
      <c r="AA23" s="17">
        <v>26312.375208228601</v>
      </c>
      <c r="AB23" s="18">
        <v>0.10620641735278499</v>
      </c>
      <c r="AC23" s="17">
        <v>15011.3734107076</v>
      </c>
      <c r="AD23" s="18">
        <v>1.0231431643993301E-2</v>
      </c>
      <c r="AE23" s="17">
        <v>17442.645627694401</v>
      </c>
      <c r="AF23" s="18">
        <v>1.9099087255575398E-2</v>
      </c>
      <c r="AG23" s="17">
        <v>26556.1345707244</v>
      </c>
      <c r="AH23" s="18">
        <v>4.1646287914803799E-2</v>
      </c>
      <c r="AI23" s="17">
        <v>15090.6539752013</v>
      </c>
      <c r="AJ23" s="18">
        <v>3.4171162167124999E-2</v>
      </c>
      <c r="AK23" s="17">
        <v>8838.0325679386297</v>
      </c>
      <c r="AL23" s="18">
        <v>4.62624190529708E-2</v>
      </c>
      <c r="AM23" s="17">
        <v>89635.696412024699</v>
      </c>
      <c r="AN23" s="18">
        <v>-7.5973488356373398E-4</v>
      </c>
      <c r="AO23" s="17">
        <v>35457.764715286801</v>
      </c>
      <c r="AP23" s="18">
        <v>1.4963151674355401E-2</v>
      </c>
      <c r="AQ23" s="17">
        <v>26960.223158240999</v>
      </c>
      <c r="AR23" s="18">
        <v>-1.70976355885681E-2</v>
      </c>
      <c r="AS23" s="17">
        <v>22713.134651633201</v>
      </c>
      <c r="AT23" s="18">
        <v>9.3649453162598702E-3</v>
      </c>
      <c r="AU23" s="17">
        <v>3167.6953803603301</v>
      </c>
      <c r="AV23" s="18">
        <v>7.3169373865454607E-2</v>
      </c>
      <c r="AW23" s="17">
        <v>11344.3234755908</v>
      </c>
      <c r="AX23" s="18">
        <v>-0.116351545011041</v>
      </c>
      <c r="AY23" s="17">
        <v>1689.4698698187799</v>
      </c>
      <c r="AZ23" s="18">
        <v>-7.5973488356173601E-4</v>
      </c>
      <c r="BA23" s="17">
        <v>9675.3736423742503</v>
      </c>
      <c r="BB23" s="18">
        <v>-9.3214986454482104E-2</v>
      </c>
      <c r="BC23" s="17">
        <v>21257.722598839599</v>
      </c>
      <c r="BD23" s="18">
        <v>-1.8958198322652099E-2</v>
      </c>
      <c r="BE23" s="17">
        <v>-12391.958161905301</v>
      </c>
      <c r="BF23" s="18">
        <v>7.2557760023148593E-2</v>
      </c>
      <c r="BG23" s="17"/>
      <c r="BH23" s="18"/>
    </row>
    <row r="24" spans="1:60" x14ac:dyDescent="0.2">
      <c r="A24" s="16">
        <v>1992</v>
      </c>
      <c r="B24" s="16"/>
      <c r="C24" s="17">
        <v>453669.411106741</v>
      </c>
      <c r="D24" s="18">
        <v>-4.3732992970924001E-4</v>
      </c>
      <c r="E24" s="17">
        <v>445220.57490124198</v>
      </c>
      <c r="F24" s="18">
        <v>4.2778347204364099E-4</v>
      </c>
      <c r="G24" s="17">
        <v>5164.1706812748798</v>
      </c>
      <c r="H24" s="18">
        <v>2.8805807491883301E-2</v>
      </c>
      <c r="I24" s="17">
        <v>663.98746395941998</v>
      </c>
      <c r="J24" s="18">
        <v>-0.15388407719230601</v>
      </c>
      <c r="K24" s="17">
        <v>70789.393296582406</v>
      </c>
      <c r="L24" s="18">
        <v>7.3415646145003099E-4</v>
      </c>
      <c r="M24" s="17">
        <v>6076.68340036067</v>
      </c>
      <c r="N24" s="18">
        <v>6.2062128386000601E-2</v>
      </c>
      <c r="O24" s="17">
        <v>76150.0103274516</v>
      </c>
      <c r="P24" s="18">
        <v>-1.13584619425348E-2</v>
      </c>
      <c r="Q24" s="17">
        <v>14365.309981012701</v>
      </c>
      <c r="R24" s="18">
        <v>3.2840927125802097E-2</v>
      </c>
      <c r="S24" s="17">
        <v>1633.1741496212501</v>
      </c>
      <c r="T24" s="18">
        <v>0.104536852536065</v>
      </c>
      <c r="U24" s="17">
        <v>34628.711592321</v>
      </c>
      <c r="V24" s="18">
        <v>-3.0066944673653999E-2</v>
      </c>
      <c r="W24" s="17">
        <v>60673.431652187799</v>
      </c>
      <c r="X24" s="18">
        <v>2.7768244554786702E-3</v>
      </c>
      <c r="Y24" s="17">
        <v>18202.711443914301</v>
      </c>
      <c r="Z24" s="18">
        <v>-1.1361878708905399E-3</v>
      </c>
      <c r="AA24" s="17">
        <v>26789.623228290598</v>
      </c>
      <c r="AB24" s="18">
        <v>1.8137777995532098E-2</v>
      </c>
      <c r="AC24" s="17">
        <v>14512.3952028411</v>
      </c>
      <c r="AD24" s="18">
        <v>-3.32400103717745E-2</v>
      </c>
      <c r="AE24" s="17">
        <v>16957.7786018402</v>
      </c>
      <c r="AF24" s="18">
        <v>-2.7797791470598798E-2</v>
      </c>
      <c r="AG24" s="17">
        <v>27862.575722961501</v>
      </c>
      <c r="AH24" s="18">
        <v>4.9195456091614402E-2</v>
      </c>
      <c r="AI24" s="17">
        <v>15276.0331965573</v>
      </c>
      <c r="AJ24" s="18">
        <v>1.22843729410704E-2</v>
      </c>
      <c r="AK24" s="17">
        <v>9578.0984496433593</v>
      </c>
      <c r="AL24" s="18">
        <v>8.3736496331710694E-2</v>
      </c>
      <c r="AM24" s="17">
        <v>89218.258043949696</v>
      </c>
      <c r="AN24" s="18">
        <v>-4.6570549991173903E-3</v>
      </c>
      <c r="AO24" s="17">
        <v>35442.964367099798</v>
      </c>
      <c r="AP24" s="18">
        <v>-4.1740781760646301E-4</v>
      </c>
      <c r="AQ24" s="17">
        <v>26949.760253468499</v>
      </c>
      <c r="AR24" s="18">
        <v>-3.8808672729040401E-4</v>
      </c>
      <c r="AS24" s="17">
        <v>22761.485367768899</v>
      </c>
      <c r="AT24" s="18">
        <v>2.12875575640648E-3</v>
      </c>
      <c r="AU24" s="17">
        <v>2800.9705049765398</v>
      </c>
      <c r="AV24" s="18">
        <v>-0.11577024661445599</v>
      </c>
      <c r="AW24" s="17">
        <v>10591.9916123884</v>
      </c>
      <c r="AX24" s="18">
        <v>-6.63179135204683E-2</v>
      </c>
      <c r="AY24" s="17">
        <v>1681.60191571567</v>
      </c>
      <c r="AZ24" s="18">
        <v>-4.6570549991246102E-3</v>
      </c>
      <c r="BA24" s="17">
        <v>9315.1750370768095</v>
      </c>
      <c r="BB24" s="18">
        <v>-3.7228392267965101E-2</v>
      </c>
      <c r="BC24" s="17">
        <v>20721.331764274601</v>
      </c>
      <c r="BD24" s="18">
        <v>-2.5232751630425501E-2</v>
      </c>
      <c r="BE24" s="17">
        <v>-12225.3844598411</v>
      </c>
      <c r="BF24" s="18">
        <v>-1.3442080733960899E-2</v>
      </c>
      <c r="BG24" s="17"/>
      <c r="BH24" s="18"/>
    </row>
    <row r="25" spans="1:60" x14ac:dyDescent="0.2">
      <c r="A25" s="16">
        <v>1993</v>
      </c>
      <c r="B25" s="16"/>
      <c r="C25" s="17">
        <v>453097.86229530902</v>
      </c>
      <c r="D25" s="18">
        <v>-1.2598354604455E-3</v>
      </c>
      <c r="E25" s="17">
        <v>444238.46337748901</v>
      </c>
      <c r="F25" s="18">
        <v>-2.2058987816769801E-3</v>
      </c>
      <c r="G25" s="17">
        <v>4951.93780104499</v>
      </c>
      <c r="H25" s="18">
        <v>-4.1097185458923997E-2</v>
      </c>
      <c r="I25" s="17">
        <v>651.49407823737897</v>
      </c>
      <c r="J25" s="18">
        <v>-1.8815695175239799E-2</v>
      </c>
      <c r="K25" s="17">
        <v>70760.440871904095</v>
      </c>
      <c r="L25" s="18">
        <v>-4.0899382421533099E-4</v>
      </c>
      <c r="M25" s="17">
        <v>6434.65877621243</v>
      </c>
      <c r="N25" s="18">
        <v>5.8909663753506002E-2</v>
      </c>
      <c r="O25" s="17">
        <v>75162.157119689902</v>
      </c>
      <c r="P25" s="18">
        <v>-1.2972463214565799E-2</v>
      </c>
      <c r="Q25" s="17">
        <v>15126.458746005899</v>
      </c>
      <c r="R25" s="18">
        <v>5.29851960033745E-2</v>
      </c>
      <c r="S25" s="17">
        <v>1667.0034161131</v>
      </c>
      <c r="T25" s="18">
        <v>2.0713814567594E-2</v>
      </c>
      <c r="U25" s="17">
        <v>33705.864032817997</v>
      </c>
      <c r="V25" s="18">
        <v>-2.6649780400944699E-2</v>
      </c>
      <c r="W25" s="17">
        <v>58430.925390899902</v>
      </c>
      <c r="X25" s="18">
        <v>-3.6960267455171301E-2</v>
      </c>
      <c r="Y25" s="17">
        <v>17765.997538474701</v>
      </c>
      <c r="Z25" s="18">
        <v>-2.39916952364576E-2</v>
      </c>
      <c r="AA25" s="17">
        <v>26121.3202055088</v>
      </c>
      <c r="AB25" s="18">
        <v>-2.4946339001738801E-2</v>
      </c>
      <c r="AC25" s="17">
        <v>13965.7137126037</v>
      </c>
      <c r="AD25" s="18">
        <v>-3.7669969884115098E-2</v>
      </c>
      <c r="AE25" s="17">
        <v>16146.5911967839</v>
      </c>
      <c r="AF25" s="18">
        <v>-4.78357115104849E-2</v>
      </c>
      <c r="AG25" s="17">
        <v>30288.684243081199</v>
      </c>
      <c r="AH25" s="18">
        <v>8.7074093373223693E-2</v>
      </c>
      <c r="AI25" s="17">
        <v>17638.169294699499</v>
      </c>
      <c r="AJ25" s="18">
        <v>0.15463020194761801</v>
      </c>
      <c r="AK25" s="17">
        <v>9874.92074088138</v>
      </c>
      <c r="AL25" s="18">
        <v>3.0989688903132299E-2</v>
      </c>
      <c r="AM25" s="17">
        <v>90150.847934901205</v>
      </c>
      <c r="AN25" s="18">
        <v>1.0452904051232699E-2</v>
      </c>
      <c r="AO25" s="17">
        <v>35647.209523963204</v>
      </c>
      <c r="AP25" s="18">
        <v>5.7626431792765498E-3</v>
      </c>
      <c r="AQ25" s="17">
        <v>27354.0420271978</v>
      </c>
      <c r="AR25" s="18">
        <v>1.5001312439403501E-2</v>
      </c>
      <c r="AS25" s="17">
        <v>22995.9272200579</v>
      </c>
      <c r="AT25" s="18">
        <v>1.02999364277419E-2</v>
      </c>
      <c r="AU25" s="17">
        <v>2613.47418516781</v>
      </c>
      <c r="AV25" s="18">
        <v>-6.6939769439057301E-2</v>
      </c>
      <c r="AW25" s="17">
        <v>10148.1258183264</v>
      </c>
      <c r="AX25" s="18">
        <v>-4.1905791687265902E-2</v>
      </c>
      <c r="AY25" s="17">
        <v>1699.17953919302</v>
      </c>
      <c r="AZ25" s="18">
        <v>1.0452904051235799E-2</v>
      </c>
      <c r="BA25" s="17">
        <v>9707.8279550266707</v>
      </c>
      <c r="BB25" s="18">
        <v>4.2151963477551999E-2</v>
      </c>
      <c r="BC25" s="17">
        <v>20738.863326581799</v>
      </c>
      <c r="BD25" s="18">
        <v>8.4606349179860995E-4</v>
      </c>
      <c r="BE25" s="17">
        <v>-11781.9527441311</v>
      </c>
      <c r="BF25" s="18">
        <v>-3.6271392295810799E-2</v>
      </c>
      <c r="BG25" s="17"/>
      <c r="BH25" s="18"/>
    </row>
    <row r="26" spans="1:60" x14ac:dyDescent="0.2">
      <c r="A26" s="16">
        <v>1994</v>
      </c>
      <c r="B26" s="16"/>
      <c r="C26" s="17">
        <v>458851.10727512097</v>
      </c>
      <c r="D26" s="18">
        <v>1.26975769664113E-2</v>
      </c>
      <c r="E26" s="17">
        <v>448995.26103694999</v>
      </c>
      <c r="F26" s="18">
        <v>1.0707757323162599E-2</v>
      </c>
      <c r="G26" s="17">
        <v>4663.7283282396102</v>
      </c>
      <c r="H26" s="18">
        <v>-5.8201351548590498E-2</v>
      </c>
      <c r="I26" s="17">
        <v>615.41553761775594</v>
      </c>
      <c r="J26" s="18">
        <v>-5.5378155880148203E-2</v>
      </c>
      <c r="K26" s="17">
        <v>73338.557817499095</v>
      </c>
      <c r="L26" s="18">
        <v>3.6434438703710499E-2</v>
      </c>
      <c r="M26" s="17">
        <v>7148.1865721518298</v>
      </c>
      <c r="N26" s="18">
        <v>0.110888210355016</v>
      </c>
      <c r="O26" s="17">
        <v>76637.796262403994</v>
      </c>
      <c r="P26" s="18">
        <v>1.9632740720363102E-2</v>
      </c>
      <c r="Q26" s="17">
        <v>17362.433592204201</v>
      </c>
      <c r="R26" s="18">
        <v>0.14781879114890001</v>
      </c>
      <c r="S26" s="17">
        <v>1647.2281762509199</v>
      </c>
      <c r="T26" s="18">
        <v>-1.1862747053201599E-2</v>
      </c>
      <c r="U26" s="17">
        <v>34173.537047036501</v>
      </c>
      <c r="V26" s="18">
        <v>1.38751231466183E-2</v>
      </c>
      <c r="W26" s="17">
        <v>58160.713444592096</v>
      </c>
      <c r="X26" s="18">
        <v>-4.62446802784833E-3</v>
      </c>
      <c r="Y26" s="17">
        <v>17467.306716939602</v>
      </c>
      <c r="Z26" s="18">
        <v>-1.6812499320024401E-2</v>
      </c>
      <c r="AA26" s="17">
        <v>25651.1097475565</v>
      </c>
      <c r="AB26" s="18">
        <v>-1.8001021933536601E-2</v>
      </c>
      <c r="AC26" s="17">
        <v>13184.2526130314</v>
      </c>
      <c r="AD26" s="18">
        <v>-5.5955686594595697E-2</v>
      </c>
      <c r="AE26" s="17">
        <v>15835.090478178499</v>
      </c>
      <c r="AF26" s="18">
        <v>-1.9292042190765898E-2</v>
      </c>
      <c r="AG26" s="17">
        <v>30831.365779988198</v>
      </c>
      <c r="AH26" s="18">
        <v>1.7916972970887901E-2</v>
      </c>
      <c r="AI26" s="17">
        <v>17815.0735267401</v>
      </c>
      <c r="AJ26" s="18">
        <v>1.00296254721726E-2</v>
      </c>
      <c r="AK26" s="17">
        <v>10056.4922287806</v>
      </c>
      <c r="AL26" s="18">
        <v>1.8387133695922001E-2</v>
      </c>
      <c r="AM26" s="17">
        <v>93175.576165039602</v>
      </c>
      <c r="AN26" s="18">
        <v>3.3551855577915103E-2</v>
      </c>
      <c r="AO26" s="17">
        <v>36448.157155626403</v>
      </c>
      <c r="AP26" s="18">
        <v>2.2468732962807901E-2</v>
      </c>
      <c r="AQ26" s="17">
        <v>24546.9205317085</v>
      </c>
      <c r="AR26" s="18">
        <v>-0.102621817013303</v>
      </c>
      <c r="AS26" s="17">
        <v>23999.8271747789</v>
      </c>
      <c r="AT26" s="18">
        <v>4.3655554529907097E-2</v>
      </c>
      <c r="AU26" s="17">
        <v>2483.72484495965</v>
      </c>
      <c r="AV26" s="18">
        <v>-4.9646306416389001E-2</v>
      </c>
      <c r="AW26" s="17">
        <v>8954.1663091224891</v>
      </c>
      <c r="AX26" s="18">
        <v>-0.117653203219823</v>
      </c>
      <c r="AY26" s="17">
        <v>1756.1901656929799</v>
      </c>
      <c r="AZ26" s="18">
        <v>3.3551855577919502E-2</v>
      </c>
      <c r="BA26" s="17">
        <v>10659.0983658102</v>
      </c>
      <c r="BB26" s="18">
        <v>9.7990035998830397E-2</v>
      </c>
      <c r="BC26" s="17">
        <v>21402.731321524199</v>
      </c>
      <c r="BD26" s="18">
        <v>3.2010818745861203E-2</v>
      </c>
      <c r="BE26" s="17">
        <v>-11392.195857058299</v>
      </c>
      <c r="BF26" s="18">
        <v>-3.3080839444628397E-2</v>
      </c>
      <c r="BG26" s="17"/>
      <c r="BH26" s="18"/>
    </row>
    <row r="27" spans="1:60" x14ac:dyDescent="0.2">
      <c r="A27" s="16">
        <v>1995</v>
      </c>
      <c r="B27" s="16"/>
      <c r="C27" s="17">
        <v>461057.56827869901</v>
      </c>
      <c r="D27" s="18">
        <v>4.8086644416780499E-3</v>
      </c>
      <c r="E27" s="17">
        <v>451030.31122895202</v>
      </c>
      <c r="F27" s="18">
        <v>4.532453610538E-3</v>
      </c>
      <c r="G27" s="17">
        <v>4779.4036042808002</v>
      </c>
      <c r="H27" s="18">
        <v>2.4803176321560601E-2</v>
      </c>
      <c r="I27" s="17">
        <v>726.60154102196805</v>
      </c>
      <c r="J27" s="18">
        <v>0.18066817720366299</v>
      </c>
      <c r="K27" s="17">
        <v>72874.838824832201</v>
      </c>
      <c r="L27" s="18">
        <v>-6.3229903405084302E-3</v>
      </c>
      <c r="M27" s="17">
        <v>7587.0307467662296</v>
      </c>
      <c r="N27" s="18">
        <v>6.1392378358458899E-2</v>
      </c>
      <c r="O27" s="17">
        <v>74955.1926863236</v>
      </c>
      <c r="P27" s="18">
        <v>-2.19552708733857E-2</v>
      </c>
      <c r="Q27" s="17">
        <v>18231.119082342098</v>
      </c>
      <c r="R27" s="18">
        <v>5.00324730127659E-2</v>
      </c>
      <c r="S27" s="17">
        <v>1826.8715987278199</v>
      </c>
      <c r="T27" s="18">
        <v>0.10905800730398101</v>
      </c>
      <c r="U27" s="17">
        <v>32960.398223705997</v>
      </c>
      <c r="V27" s="18">
        <v>-3.5499363781418998E-2</v>
      </c>
      <c r="W27" s="17">
        <v>59111.524170923702</v>
      </c>
      <c r="X27" s="18">
        <v>1.63479893904224E-2</v>
      </c>
      <c r="Y27" s="17">
        <v>17310.893804716201</v>
      </c>
      <c r="Z27" s="18">
        <v>-8.9546095891075393E-3</v>
      </c>
      <c r="AA27" s="17">
        <v>25420.4221288062</v>
      </c>
      <c r="AB27" s="18">
        <v>-8.9932802526141407E-3</v>
      </c>
      <c r="AC27" s="17">
        <v>12501.000844226301</v>
      </c>
      <c r="AD27" s="18">
        <v>-5.1823322023560797E-2</v>
      </c>
      <c r="AE27" s="17">
        <v>16340.1359801866</v>
      </c>
      <c r="AF27" s="18">
        <v>3.1894071126661497E-2</v>
      </c>
      <c r="AG27" s="17">
        <v>30572.9974140544</v>
      </c>
      <c r="AH27" s="18">
        <v>-8.3800493230684597E-3</v>
      </c>
      <c r="AI27" s="17">
        <v>16597.118449596299</v>
      </c>
      <c r="AJ27" s="18">
        <v>-6.8366547873947997E-2</v>
      </c>
      <c r="AK27" s="17">
        <v>10824.5357159219</v>
      </c>
      <c r="AL27" s="18">
        <v>7.6372901173556607E-2</v>
      </c>
      <c r="AM27" s="17">
        <v>93293.8004924407</v>
      </c>
      <c r="AN27" s="18">
        <v>1.2688338754325301E-3</v>
      </c>
      <c r="AO27" s="17">
        <v>36181.286318627899</v>
      </c>
      <c r="AP27" s="18">
        <v>-7.3219294972585204E-3</v>
      </c>
      <c r="AQ27" s="17">
        <v>25490.353926720902</v>
      </c>
      <c r="AR27" s="18">
        <v>3.8433879874819402E-2</v>
      </c>
      <c r="AS27" s="17">
        <v>25119.225548939001</v>
      </c>
      <c r="AT27" s="18">
        <v>4.6641934794283003E-2</v>
      </c>
      <c r="AU27" s="17">
        <v>2928.9211058026999</v>
      </c>
      <c r="AV27" s="18">
        <v>0.17924540302703601</v>
      </c>
      <c r="AW27" s="17">
        <v>8787.8249079376401</v>
      </c>
      <c r="AX27" s="18">
        <v>-1.85769836568015E-2</v>
      </c>
      <c r="AY27" s="17">
        <v>1758.41847926691</v>
      </c>
      <c r="AZ27" s="18">
        <v>1.2688338754309699E-3</v>
      </c>
      <c r="BA27" s="17">
        <v>10833.4451205075</v>
      </c>
      <c r="BB27" s="18">
        <v>1.6356613731659801E-2</v>
      </c>
      <c r="BC27" s="17">
        <v>21558.095355560701</v>
      </c>
      <c r="BD27" s="18">
        <v>7.2590751013288397E-3</v>
      </c>
      <c r="BE27" s="17">
        <v>-11365.9435053218</v>
      </c>
      <c r="BF27" s="18">
        <v>-2.3044154143676602E-3</v>
      </c>
      <c r="BG27" s="17"/>
      <c r="BH27" s="18"/>
    </row>
    <row r="28" spans="1:60" x14ac:dyDescent="0.2">
      <c r="A28" s="16">
        <v>1996</v>
      </c>
      <c r="B28" s="16"/>
      <c r="C28" s="17">
        <v>463640.25987926399</v>
      </c>
      <c r="D28" s="18">
        <v>5.6016683777850903E-3</v>
      </c>
      <c r="E28" s="17">
        <v>453065.911454777</v>
      </c>
      <c r="F28" s="18">
        <v>4.5132226707305101E-3</v>
      </c>
      <c r="G28" s="17">
        <v>4769.1291555468997</v>
      </c>
      <c r="H28" s="18">
        <v>-2.1497344824979998E-3</v>
      </c>
      <c r="I28" s="17">
        <v>657.372439291521</v>
      </c>
      <c r="J28" s="18">
        <v>-9.5277945093642499E-2</v>
      </c>
      <c r="K28" s="17">
        <v>73507.744750392303</v>
      </c>
      <c r="L28" s="18">
        <v>8.6848346530325991E-3</v>
      </c>
      <c r="M28" s="17">
        <v>7678.86599572872</v>
      </c>
      <c r="N28" s="18">
        <v>1.21042410433934E-2</v>
      </c>
      <c r="O28" s="17">
        <v>75546.748006579306</v>
      </c>
      <c r="P28" s="18">
        <v>7.8921192655894094E-3</v>
      </c>
      <c r="Q28" s="17">
        <v>17004.652022486702</v>
      </c>
      <c r="R28" s="18">
        <v>-6.7273273479042994E-2</v>
      </c>
      <c r="S28" s="17">
        <v>1699.36663933421</v>
      </c>
      <c r="T28" s="18">
        <v>-6.9794154927143706E-2</v>
      </c>
      <c r="U28" s="17">
        <v>30947.369880685801</v>
      </c>
      <c r="V28" s="18">
        <v>-6.10741511482202E-2</v>
      </c>
      <c r="W28" s="17">
        <v>58043.994549291201</v>
      </c>
      <c r="X28" s="18">
        <v>-1.8059585446412299E-2</v>
      </c>
      <c r="Y28" s="17">
        <v>16921.389355389601</v>
      </c>
      <c r="Z28" s="18">
        <v>-2.25005394707271E-2</v>
      </c>
      <c r="AA28" s="17">
        <v>25948.447283713002</v>
      </c>
      <c r="AB28" s="18">
        <v>2.0771691053410399E-2</v>
      </c>
      <c r="AC28" s="17">
        <v>12532.2267372106</v>
      </c>
      <c r="AD28" s="18">
        <v>2.4978714403274299E-3</v>
      </c>
      <c r="AE28" s="17">
        <v>16396.076496262202</v>
      </c>
      <c r="AF28" s="18">
        <v>3.4235037054410901E-3</v>
      </c>
      <c r="AG28" s="17">
        <v>32901.621616611097</v>
      </c>
      <c r="AH28" s="18">
        <v>7.6166041916658794E-2</v>
      </c>
      <c r="AI28" s="17">
        <v>18791.769938691799</v>
      </c>
      <c r="AJ28" s="18">
        <v>0.132230874640105</v>
      </c>
      <c r="AK28" s="17">
        <v>10926.844608068999</v>
      </c>
      <c r="AL28" s="18">
        <v>9.4515732436091203E-3</v>
      </c>
      <c r="AM28" s="17">
        <v>95149.508007689103</v>
      </c>
      <c r="AN28" s="18">
        <v>1.9891005677260799E-2</v>
      </c>
      <c r="AO28" s="17">
        <v>36137.175876438203</v>
      </c>
      <c r="AP28" s="18">
        <v>-1.2191507455329199E-3</v>
      </c>
      <c r="AQ28" s="17">
        <v>25547.1088499611</v>
      </c>
      <c r="AR28" s="18">
        <v>2.2265255085653899E-3</v>
      </c>
      <c r="AS28" s="17">
        <v>25580.821826076299</v>
      </c>
      <c r="AT28" s="18">
        <v>1.8376214514973101E-2</v>
      </c>
      <c r="AU28" s="17">
        <v>3533.3379245844799</v>
      </c>
      <c r="AV28" s="18">
        <v>0.20636159082070399</v>
      </c>
      <c r="AW28" s="17">
        <v>8481.6782872945005</v>
      </c>
      <c r="AX28" s="18">
        <v>-3.4837587668208998E-2</v>
      </c>
      <c r="AY28" s="17">
        <v>1711.7323360140499</v>
      </c>
      <c r="AZ28" s="18">
        <v>-2.6550075424778202E-2</v>
      </c>
      <c r="BA28" s="17">
        <v>11284.5247901242</v>
      </c>
      <c r="BB28" s="18">
        <v>4.1637693697527997E-2</v>
      </c>
      <c r="BC28" s="17">
        <v>22213.014292038399</v>
      </c>
      <c r="BD28" s="18">
        <v>3.0379257799727701E-2</v>
      </c>
      <c r="BE28" s="17">
        <v>-11542.9525388858</v>
      </c>
      <c r="BF28" s="18">
        <v>1.55736330627654E-2</v>
      </c>
      <c r="BG28" s="17"/>
      <c r="BH28" s="18"/>
    </row>
    <row r="29" spans="1:60" x14ac:dyDescent="0.2">
      <c r="A29" s="16">
        <v>1997</v>
      </c>
      <c r="B29" s="16"/>
      <c r="C29" s="17">
        <v>473365.65609312599</v>
      </c>
      <c r="D29" s="18">
        <v>2.09761684983845E-2</v>
      </c>
      <c r="E29" s="17">
        <v>461341.99337660603</v>
      </c>
      <c r="F29" s="18">
        <v>1.82668386929721E-2</v>
      </c>
      <c r="G29" s="17">
        <v>4809.1741327134796</v>
      </c>
      <c r="H29" s="18">
        <v>8.3967063714360801E-3</v>
      </c>
      <c r="I29" s="17">
        <v>788.70558161473002</v>
      </c>
      <c r="J29" s="18">
        <v>0.19978498408718201</v>
      </c>
      <c r="K29" s="17">
        <v>75764.387527769999</v>
      </c>
      <c r="L29" s="18">
        <v>3.0699388003815799E-2</v>
      </c>
      <c r="M29" s="17">
        <v>8057.2295211881401</v>
      </c>
      <c r="N29" s="18">
        <v>4.9273359591101497E-2</v>
      </c>
      <c r="O29" s="17">
        <v>77538.535520097401</v>
      </c>
      <c r="P29" s="18">
        <v>2.6364966938678101E-2</v>
      </c>
      <c r="Q29" s="17">
        <v>16875.335721022999</v>
      </c>
      <c r="R29" s="18">
        <v>-7.6047602322409898E-3</v>
      </c>
      <c r="S29" s="17">
        <v>1679.5324574533499</v>
      </c>
      <c r="T29" s="18">
        <v>-1.1671514211099901E-2</v>
      </c>
      <c r="U29" s="17">
        <v>28680.285288383999</v>
      </c>
      <c r="V29" s="18">
        <v>-7.3256131330134797E-2</v>
      </c>
      <c r="W29" s="17">
        <v>58982.535770938499</v>
      </c>
      <c r="X29" s="18">
        <v>1.6169480218152898E-2</v>
      </c>
      <c r="Y29" s="17">
        <v>17210.565947958199</v>
      </c>
      <c r="Z29" s="18">
        <v>1.7089411897288399E-2</v>
      </c>
      <c r="AA29" s="17">
        <v>25138.026254295099</v>
      </c>
      <c r="AB29" s="18">
        <v>-3.1231966235089299E-2</v>
      </c>
      <c r="AC29" s="17">
        <v>14978.336042607099</v>
      </c>
      <c r="AD29" s="18">
        <v>0.195185529011658</v>
      </c>
      <c r="AE29" s="17">
        <v>16143.2841986615</v>
      </c>
      <c r="AF29" s="18">
        <v>-1.54178530246761E-2</v>
      </c>
      <c r="AG29" s="17">
        <v>36803.550291596097</v>
      </c>
      <c r="AH29" s="18">
        <v>0.118593810373621</v>
      </c>
      <c r="AI29" s="17">
        <v>21311.2947257616</v>
      </c>
      <c r="AJ29" s="18">
        <v>0.13407597024068299</v>
      </c>
      <c r="AK29" s="17">
        <v>11470.632332484</v>
      </c>
      <c r="AL29" s="18">
        <v>4.9766217414077399E-2</v>
      </c>
      <c r="AM29" s="17">
        <v>95749.652578376394</v>
      </c>
      <c r="AN29" s="18">
        <v>6.3073849066963596E-3</v>
      </c>
      <c r="AO29" s="17">
        <v>36066.123932702001</v>
      </c>
      <c r="AP29" s="18">
        <v>-1.9661731171009E-3</v>
      </c>
      <c r="AQ29" s="17">
        <v>25827.2507767032</v>
      </c>
      <c r="AR29" s="18">
        <v>1.0965699813129601E-2</v>
      </c>
      <c r="AS29" s="17">
        <v>25804.3773549535</v>
      </c>
      <c r="AT29" s="18">
        <v>8.7391847844904297E-3</v>
      </c>
      <c r="AU29" s="17">
        <v>2788.2415047592199</v>
      </c>
      <c r="AV29" s="18">
        <v>-0.21087607121894</v>
      </c>
      <c r="AW29" s="17">
        <v>8260.6417851678307</v>
      </c>
      <c r="AX29" s="18">
        <v>-2.6060467591394101E-2</v>
      </c>
      <c r="AY29" s="17">
        <v>1710.2843643072999</v>
      </c>
      <c r="AZ29" s="18">
        <v>-8.4591012057500003E-4</v>
      </c>
      <c r="BA29" s="17">
        <v>12560.78856479</v>
      </c>
      <c r="BB29" s="18">
        <v>0.113098583981375</v>
      </c>
      <c r="BC29" s="17">
        <v>23458.234516325901</v>
      </c>
      <c r="BD29" s="18">
        <v>5.6058138166949198E-2</v>
      </c>
      <c r="BE29" s="17">
        <v>-11362.465360350699</v>
      </c>
      <c r="BF29" s="18">
        <v>-1.56361362421856E-2</v>
      </c>
      <c r="BG29" s="17"/>
      <c r="BH29" s="18"/>
    </row>
    <row r="30" spans="1:60" x14ac:dyDescent="0.2">
      <c r="A30" s="16">
        <v>1998</v>
      </c>
      <c r="B30" s="16"/>
      <c r="C30" s="17">
        <v>486506.82526546402</v>
      </c>
      <c r="D30" s="18">
        <v>2.7761137723419298E-2</v>
      </c>
      <c r="E30" s="17">
        <v>474452.05053364497</v>
      </c>
      <c r="F30" s="18">
        <v>2.8417220511589299E-2</v>
      </c>
      <c r="G30" s="17">
        <v>4866.73749258107</v>
      </c>
      <c r="H30" s="18">
        <v>1.1969489621103099E-2</v>
      </c>
      <c r="I30" s="17">
        <v>848.94941238653996</v>
      </c>
      <c r="J30" s="18">
        <v>7.6383167782929196E-2</v>
      </c>
      <c r="K30" s="17">
        <v>77495.750249707795</v>
      </c>
      <c r="L30" s="18">
        <v>2.2851933189628901E-2</v>
      </c>
      <c r="M30" s="17">
        <v>8770.7600129252805</v>
      </c>
      <c r="N30" s="18">
        <v>8.8557796431236693E-2</v>
      </c>
      <c r="O30" s="17">
        <v>78131.274166184798</v>
      </c>
      <c r="P30" s="18">
        <v>7.6444395307650997E-3</v>
      </c>
      <c r="Q30" s="17">
        <v>16390.358944996999</v>
      </c>
      <c r="R30" s="18">
        <v>-2.8738792759057601E-2</v>
      </c>
      <c r="S30" s="17">
        <v>1635.5621540857401</v>
      </c>
      <c r="T30" s="18">
        <v>-2.6180085518730901E-2</v>
      </c>
      <c r="U30" s="17">
        <v>28919.051606329798</v>
      </c>
      <c r="V30" s="18">
        <v>8.3251026112529693E-3</v>
      </c>
      <c r="W30" s="17">
        <v>60046.311853644802</v>
      </c>
      <c r="X30" s="18">
        <v>1.8035441657467999E-2</v>
      </c>
      <c r="Y30" s="17">
        <v>17546.650194785001</v>
      </c>
      <c r="Z30" s="18">
        <v>1.95277858870526E-2</v>
      </c>
      <c r="AA30" s="17">
        <v>26339.613457880499</v>
      </c>
      <c r="AB30" s="18">
        <v>4.7799584240630903E-2</v>
      </c>
      <c r="AC30" s="17">
        <v>15526.412047506699</v>
      </c>
      <c r="AD30" s="18">
        <v>3.6591247742109499E-2</v>
      </c>
      <c r="AE30" s="17">
        <v>17921.876092691</v>
      </c>
      <c r="AF30" s="18">
        <v>0.11017534425721</v>
      </c>
      <c r="AG30" s="17">
        <v>38597.750923609798</v>
      </c>
      <c r="AH30" s="18">
        <v>4.8750748713050102E-2</v>
      </c>
      <c r="AI30" s="17">
        <v>21792.645040498599</v>
      </c>
      <c r="AJ30" s="18">
        <v>2.2586629340500201E-2</v>
      </c>
      <c r="AK30" s="17">
        <v>11941.4541425033</v>
      </c>
      <c r="AL30" s="18">
        <v>4.1045846154964302E-2</v>
      </c>
      <c r="AM30" s="17">
        <v>97990.4741284802</v>
      </c>
      <c r="AN30" s="18">
        <v>2.34029209481421E-2</v>
      </c>
      <c r="AO30" s="17">
        <v>35923.693295984202</v>
      </c>
      <c r="AP30" s="18">
        <v>-3.9491528666504303E-3</v>
      </c>
      <c r="AQ30" s="17">
        <v>26337.325605461301</v>
      </c>
      <c r="AR30" s="18">
        <v>1.9749482171686199E-2</v>
      </c>
      <c r="AS30" s="17">
        <v>27155.805636369001</v>
      </c>
      <c r="AT30" s="18">
        <v>5.2372055439504003E-2</v>
      </c>
      <c r="AU30" s="17">
        <v>3895.9816314642899</v>
      </c>
      <c r="AV30" s="18">
        <v>0.39728987780085501</v>
      </c>
      <c r="AW30" s="17">
        <v>8176.8900070311702</v>
      </c>
      <c r="AX30" s="18">
        <v>-1.01386526997258E-2</v>
      </c>
      <c r="AY30" s="17">
        <v>1725.8373952450299</v>
      </c>
      <c r="AZ30" s="18">
        <v>9.0938274723859607E-3</v>
      </c>
      <c r="BA30" s="17">
        <v>12644.9239457366</v>
      </c>
      <c r="BB30" s="18">
        <v>6.6982562848434402E-3</v>
      </c>
      <c r="BC30" s="17">
        <v>24536.113497799401</v>
      </c>
      <c r="BD30" s="18">
        <v>4.5948853513394297E-2</v>
      </c>
      <c r="BE30" s="17">
        <v>-12494.422631368499</v>
      </c>
      <c r="BF30" s="18">
        <v>9.9622505778346596E-2</v>
      </c>
      <c r="BG30" s="17"/>
      <c r="BH30" s="18"/>
    </row>
    <row r="31" spans="1:60" x14ac:dyDescent="0.2">
      <c r="A31" s="16">
        <v>1999</v>
      </c>
      <c r="B31" s="16"/>
      <c r="C31" s="17">
        <v>494680.50768559601</v>
      </c>
      <c r="D31" s="18">
        <v>1.6800755910612301E-2</v>
      </c>
      <c r="E31" s="17">
        <v>479869.19798831601</v>
      </c>
      <c r="F31" s="18">
        <v>1.14176921536713E-2</v>
      </c>
      <c r="G31" s="17">
        <v>4999.7904842480402</v>
      </c>
      <c r="H31" s="18">
        <v>2.7339257946374498E-2</v>
      </c>
      <c r="I31" s="17">
        <v>819.24253074101</v>
      </c>
      <c r="J31" s="18">
        <v>-3.4992522772374697E-2</v>
      </c>
      <c r="K31" s="17">
        <v>78483.636284792403</v>
      </c>
      <c r="L31" s="18">
        <v>1.2747615603454899E-2</v>
      </c>
      <c r="M31" s="17">
        <v>8943.4915837196295</v>
      </c>
      <c r="N31" s="18">
        <v>1.96940254367701E-2</v>
      </c>
      <c r="O31" s="17">
        <v>78996.1664283149</v>
      </c>
      <c r="P31" s="18">
        <v>1.1069731952539699E-2</v>
      </c>
      <c r="Q31" s="17">
        <v>16909.166004631501</v>
      </c>
      <c r="R31" s="18">
        <v>3.16531847396095E-2</v>
      </c>
      <c r="S31" s="17">
        <v>1642.5909986184699</v>
      </c>
      <c r="T31" s="18">
        <v>4.2975098899009599E-3</v>
      </c>
      <c r="U31" s="17">
        <v>28044.561107166399</v>
      </c>
      <c r="V31" s="18">
        <v>-3.02392523471273E-2</v>
      </c>
      <c r="W31" s="17">
        <v>62315.343880055399</v>
      </c>
      <c r="X31" s="18">
        <v>3.7788033209117597E-2</v>
      </c>
      <c r="Y31" s="17">
        <v>17835.010544526001</v>
      </c>
      <c r="Z31" s="18">
        <v>1.6433925936859599E-2</v>
      </c>
      <c r="AA31" s="17">
        <v>22766.625381538099</v>
      </c>
      <c r="AB31" s="18">
        <v>-0.13565074073907299</v>
      </c>
      <c r="AC31" s="17">
        <v>15348.919218036801</v>
      </c>
      <c r="AD31" s="18">
        <v>-1.14316706864934E-2</v>
      </c>
      <c r="AE31" s="17">
        <v>18968.7913099994</v>
      </c>
      <c r="AF31" s="18">
        <v>5.8415492434706499E-2</v>
      </c>
      <c r="AG31" s="17">
        <v>40115.057977396304</v>
      </c>
      <c r="AH31" s="18">
        <v>3.9310763385912897E-2</v>
      </c>
      <c r="AI31" s="17">
        <v>23022.334736487901</v>
      </c>
      <c r="AJ31" s="18">
        <v>5.6426821696226502E-2</v>
      </c>
      <c r="AK31" s="17">
        <v>12101.768682981799</v>
      </c>
      <c r="AL31" s="18">
        <v>1.3425043429835699E-2</v>
      </c>
      <c r="AM31" s="17">
        <v>99299.386451172206</v>
      </c>
      <c r="AN31" s="18">
        <v>1.3357546581271199E-2</v>
      </c>
      <c r="AO31" s="17">
        <v>36203.592738964297</v>
      </c>
      <c r="AP31" s="18">
        <v>7.7914996287806702E-3</v>
      </c>
      <c r="AQ31" s="17">
        <v>26644.243376593298</v>
      </c>
      <c r="AR31" s="18">
        <v>1.16533385253199E-2</v>
      </c>
      <c r="AS31" s="17">
        <v>27739.9534510228</v>
      </c>
      <c r="AT31" s="18">
        <v>2.1510973471965799E-2</v>
      </c>
      <c r="AU31" s="17">
        <v>3071.6092073701402</v>
      </c>
      <c r="AV31" s="18">
        <v>-0.21159556231898999</v>
      </c>
      <c r="AW31" s="17">
        <v>7843.1405492656404</v>
      </c>
      <c r="AX31" s="18">
        <v>-4.0816185307438503E-2</v>
      </c>
      <c r="AY31" s="17">
        <v>1752.8784598106299</v>
      </c>
      <c r="AZ31" s="18">
        <v>1.5668373301043599E-2</v>
      </c>
      <c r="BA31" s="17">
        <v>14910.607878172201</v>
      </c>
      <c r="BB31" s="18">
        <v>0.179177347539484</v>
      </c>
      <c r="BC31" s="17">
        <v>25457.1517481193</v>
      </c>
      <c r="BD31" s="18">
        <v>3.7538066100097502E-2</v>
      </c>
      <c r="BE31" s="17">
        <v>-10577.2947228926</v>
      </c>
      <c r="BF31" s="18">
        <v>-0.15343869541140401</v>
      </c>
      <c r="BG31" s="17"/>
      <c r="BH31" s="18"/>
    </row>
    <row r="32" spans="1:60" x14ac:dyDescent="0.2">
      <c r="A32" s="16">
        <v>2000</v>
      </c>
      <c r="B32" s="16"/>
      <c r="C32" s="17">
        <v>512653.323301428</v>
      </c>
      <c r="D32" s="18">
        <v>3.6332168615091302E-2</v>
      </c>
      <c r="E32" s="17">
        <v>495956.60548918799</v>
      </c>
      <c r="F32" s="18">
        <v>3.3524567878731697E-2</v>
      </c>
      <c r="G32" s="17">
        <v>5114.4365659183904</v>
      </c>
      <c r="H32" s="18">
        <v>2.2930177180733299E-2</v>
      </c>
      <c r="I32" s="17">
        <v>792.99879108884204</v>
      </c>
      <c r="J32" s="18">
        <v>-3.20341518749402E-2</v>
      </c>
      <c r="K32" s="17">
        <v>80099.678251313497</v>
      </c>
      <c r="L32" s="18">
        <v>2.05908141240678E-2</v>
      </c>
      <c r="M32" s="17">
        <v>9709.4418830199702</v>
      </c>
      <c r="N32" s="18">
        <v>8.5643318622297598E-2</v>
      </c>
      <c r="O32" s="17">
        <v>79393.913986770698</v>
      </c>
      <c r="P32" s="18">
        <v>5.0350235516392096E-3</v>
      </c>
      <c r="Q32" s="17">
        <v>16861.866670207499</v>
      </c>
      <c r="R32" s="18">
        <v>-2.7972600429283499E-3</v>
      </c>
      <c r="S32" s="17">
        <v>1587.41490957509</v>
      </c>
      <c r="T32" s="18">
        <v>-3.3590887256648702E-2</v>
      </c>
      <c r="U32" s="17">
        <v>27790.844464235601</v>
      </c>
      <c r="V32" s="18">
        <v>-9.0469108060316997E-3</v>
      </c>
      <c r="W32" s="17">
        <v>64699.1645731752</v>
      </c>
      <c r="X32" s="18">
        <v>3.8254152905073099E-2</v>
      </c>
      <c r="Y32" s="17">
        <v>18167.0589645984</v>
      </c>
      <c r="Z32" s="18">
        <v>1.8617786585738198E-2</v>
      </c>
      <c r="AA32" s="17">
        <v>23901.195172732001</v>
      </c>
      <c r="AB32" s="18">
        <v>4.9834781052529697E-2</v>
      </c>
      <c r="AC32" s="17">
        <v>15646.713117978201</v>
      </c>
      <c r="AD32" s="18">
        <v>1.9401620121334499E-2</v>
      </c>
      <c r="AE32" s="17">
        <v>21565.0976544554</v>
      </c>
      <c r="AF32" s="18">
        <v>0.13687252403306099</v>
      </c>
      <c r="AG32" s="17">
        <v>44054.518067161996</v>
      </c>
      <c r="AH32" s="18">
        <v>9.8204023336709897E-2</v>
      </c>
      <c r="AI32" s="17">
        <v>25400.112001275102</v>
      </c>
      <c r="AJ32" s="18">
        <v>0.10328132624267</v>
      </c>
      <c r="AK32" s="17">
        <v>12811.6365876052</v>
      </c>
      <c r="AL32" s="18">
        <v>5.8658194782855298E-2</v>
      </c>
      <c r="AM32" s="17">
        <v>98934.684005748102</v>
      </c>
      <c r="AN32" s="18">
        <v>-3.6727562823707402E-3</v>
      </c>
      <c r="AO32" s="17">
        <v>36938.560735980602</v>
      </c>
      <c r="AP32" s="18">
        <v>2.0300968534134E-2</v>
      </c>
      <c r="AQ32" s="17">
        <v>26195.209987729999</v>
      </c>
      <c r="AR32" s="18">
        <v>-1.68529232568785E-2</v>
      </c>
      <c r="AS32" s="17">
        <v>28967.928166972099</v>
      </c>
      <c r="AT32" s="18">
        <v>4.4267367575702397E-2</v>
      </c>
      <c r="AU32" s="17">
        <v>4200.4988024423501</v>
      </c>
      <c r="AV32" s="18">
        <v>0.36752383485617202</v>
      </c>
      <c r="AW32" s="17">
        <v>7856.8400558114899</v>
      </c>
      <c r="AX32" s="18">
        <v>1.746686350933E-3</v>
      </c>
      <c r="AY32" s="17">
        <v>1768.7995179807999</v>
      </c>
      <c r="AZ32" s="18">
        <v>9.0828078130929003E-3</v>
      </c>
      <c r="BA32" s="17">
        <v>16464.9765803195</v>
      </c>
      <c r="BB32" s="18">
        <v>0.104245830542072</v>
      </c>
      <c r="BC32" s="17">
        <v>26798.993842095198</v>
      </c>
      <c r="BD32" s="18">
        <v>5.2709828155658597E-2</v>
      </c>
      <c r="BE32" s="17">
        <v>-10038.282234837599</v>
      </c>
      <c r="BF32" s="18">
        <v>-5.0959390106470701E-2</v>
      </c>
      <c r="BG32" s="17"/>
      <c r="BH32" s="18"/>
    </row>
    <row r="33" spans="1:60" x14ac:dyDescent="0.2">
      <c r="A33" s="16">
        <v>2001</v>
      </c>
      <c r="B33" s="16"/>
      <c r="C33" s="17">
        <v>520815.77781889698</v>
      </c>
      <c r="D33" s="18">
        <v>1.5921977185095099E-2</v>
      </c>
      <c r="E33" s="17">
        <v>504946.98350742302</v>
      </c>
      <c r="F33" s="18">
        <v>1.81273480758808E-2</v>
      </c>
      <c r="G33" s="17">
        <v>4714.9890456516796</v>
      </c>
      <c r="H33" s="18">
        <v>-7.8101960033790802E-2</v>
      </c>
      <c r="I33" s="17">
        <v>797.17179196572204</v>
      </c>
      <c r="J33" s="18">
        <v>5.2623042100097299E-3</v>
      </c>
      <c r="K33" s="17">
        <v>84842.315901471404</v>
      </c>
      <c r="L33" s="18">
        <v>5.9209197261415297E-2</v>
      </c>
      <c r="M33" s="17">
        <v>11184.5655709357</v>
      </c>
      <c r="N33" s="18">
        <v>0.15192672304836499</v>
      </c>
      <c r="O33" s="17">
        <v>82282.883108543203</v>
      </c>
      <c r="P33" s="18">
        <v>3.6387790659293498E-2</v>
      </c>
      <c r="Q33" s="17">
        <v>17123.494039471501</v>
      </c>
      <c r="R33" s="18">
        <v>1.55159197010055E-2</v>
      </c>
      <c r="S33" s="17">
        <v>1610.25498013622</v>
      </c>
      <c r="T33" s="18">
        <v>1.4388217235050901E-2</v>
      </c>
      <c r="U33" s="17">
        <v>27641.2697208877</v>
      </c>
      <c r="V33" s="18">
        <v>-5.3821589890994401E-3</v>
      </c>
      <c r="W33" s="17">
        <v>66600.677439535299</v>
      </c>
      <c r="X33" s="18">
        <v>2.93900683092971E-2</v>
      </c>
      <c r="Y33" s="17">
        <v>19072.723824231201</v>
      </c>
      <c r="Z33" s="18">
        <v>4.9852035015552E-2</v>
      </c>
      <c r="AA33" s="17">
        <v>23912.191004081698</v>
      </c>
      <c r="AB33" s="18">
        <v>4.6005361950429702E-4</v>
      </c>
      <c r="AC33" s="17">
        <v>15965.625195062899</v>
      </c>
      <c r="AD33" s="18">
        <v>2.0382049231686E-2</v>
      </c>
      <c r="AE33" s="17">
        <v>22770.904201782701</v>
      </c>
      <c r="AF33" s="18">
        <v>5.5914726965226001E-2</v>
      </c>
      <c r="AG33" s="17">
        <v>40940.338390345401</v>
      </c>
      <c r="AH33" s="18">
        <v>-7.0689223567691903E-2</v>
      </c>
      <c r="AI33" s="17">
        <v>22203.453216488098</v>
      </c>
      <c r="AJ33" s="18">
        <v>-0.12585215311753301</v>
      </c>
      <c r="AK33" s="17">
        <v>13115.0198512475</v>
      </c>
      <c r="AL33" s="18">
        <v>2.3680289521778301E-2</v>
      </c>
      <c r="AM33" s="17">
        <v>102486.127855545</v>
      </c>
      <c r="AN33" s="18">
        <v>3.5896853418873297E-2</v>
      </c>
      <c r="AO33" s="17">
        <v>37668.338505537104</v>
      </c>
      <c r="AP33" s="18">
        <v>1.97565296269284E-2</v>
      </c>
      <c r="AQ33" s="17">
        <v>26344.9646540508</v>
      </c>
      <c r="AR33" s="18">
        <v>5.7168721453613198E-3</v>
      </c>
      <c r="AS33" s="17">
        <v>30747.758459156499</v>
      </c>
      <c r="AT33" s="18">
        <v>6.1441407957289799E-2</v>
      </c>
      <c r="AU33" s="17">
        <v>3177.7470439355302</v>
      </c>
      <c r="AV33" s="18">
        <v>-0.24348340675925201</v>
      </c>
      <c r="AW33" s="17">
        <v>8036.6680943974297</v>
      </c>
      <c r="AX33" s="18">
        <v>2.28880869800729E-2</v>
      </c>
      <c r="AY33" s="17">
        <v>1800.88825651448</v>
      </c>
      <c r="AZ33" s="18">
        <v>1.8141535096250602E-2</v>
      </c>
      <c r="BA33" s="17">
        <v>15928.9922557549</v>
      </c>
      <c r="BB33" s="18">
        <v>-3.2552996474057301E-2</v>
      </c>
      <c r="BC33" s="17">
        <v>26758.4721767993</v>
      </c>
      <c r="BD33" s="18">
        <v>-1.5120592039634701E-3</v>
      </c>
      <c r="BE33" s="17">
        <v>-10759.2255702558</v>
      </c>
      <c r="BF33" s="18">
        <v>7.1819392855501304E-2</v>
      </c>
      <c r="BG33" s="17"/>
      <c r="BH33" s="18"/>
    </row>
    <row r="34" spans="1:60" x14ac:dyDescent="0.2">
      <c r="A34" s="16">
        <v>2002</v>
      </c>
      <c r="B34" s="16"/>
      <c r="C34" s="17">
        <v>522797.01421946299</v>
      </c>
      <c r="D34" s="18">
        <v>3.8041021123886901E-3</v>
      </c>
      <c r="E34" s="17">
        <v>507580.27755654702</v>
      </c>
      <c r="F34" s="18">
        <v>5.2149911478482896E-3</v>
      </c>
      <c r="G34" s="17">
        <v>4842.8928993795498</v>
      </c>
      <c r="H34" s="18">
        <v>2.7127073358914601E-2</v>
      </c>
      <c r="I34" s="17">
        <v>788.65484748073197</v>
      </c>
      <c r="J34" s="18">
        <v>-1.06839511518446E-2</v>
      </c>
      <c r="K34" s="17">
        <v>86976.3790522169</v>
      </c>
      <c r="L34" s="18">
        <v>2.5153287343356E-2</v>
      </c>
      <c r="M34" s="17">
        <v>12840.2643717009</v>
      </c>
      <c r="N34" s="18">
        <v>0.14803425222590999</v>
      </c>
      <c r="O34" s="17">
        <v>81644.068435191104</v>
      </c>
      <c r="P34" s="18">
        <v>-7.7636398874043602E-3</v>
      </c>
      <c r="Q34" s="17">
        <v>14582.993936311599</v>
      </c>
      <c r="R34" s="18">
        <v>-0.1483634179627</v>
      </c>
      <c r="S34" s="17">
        <v>1637.3952006776201</v>
      </c>
      <c r="T34" s="18">
        <v>1.6854610528266801E-2</v>
      </c>
      <c r="U34" s="17">
        <v>28898.318736748701</v>
      </c>
      <c r="V34" s="18">
        <v>4.5477252982740302E-2</v>
      </c>
      <c r="W34" s="17">
        <v>68586.264291906104</v>
      </c>
      <c r="X34" s="18">
        <v>2.9813313147954799E-2</v>
      </c>
      <c r="Y34" s="17">
        <v>19081.180124171999</v>
      </c>
      <c r="Z34" s="18">
        <v>4.4337138306960199E-4</v>
      </c>
      <c r="AA34" s="17">
        <v>24407.2934164014</v>
      </c>
      <c r="AB34" s="18">
        <v>2.0705020808638602E-2</v>
      </c>
      <c r="AC34" s="17">
        <v>15202.416523308801</v>
      </c>
      <c r="AD34" s="18">
        <v>-4.78032436831917E-2</v>
      </c>
      <c r="AE34" s="17">
        <v>23191.549392217599</v>
      </c>
      <c r="AF34" s="18">
        <v>1.8472924338333498E-2</v>
      </c>
      <c r="AG34" s="17">
        <v>39469.027415035504</v>
      </c>
      <c r="AH34" s="18">
        <v>-3.59379290244679E-2</v>
      </c>
      <c r="AI34" s="17">
        <v>21175.950918297502</v>
      </c>
      <c r="AJ34" s="18">
        <v>-4.6276688953393201E-2</v>
      </c>
      <c r="AK34" s="17">
        <v>12762.8487032678</v>
      </c>
      <c r="AL34" s="18">
        <v>-2.68525059034662E-2</v>
      </c>
      <c r="AM34" s="17">
        <v>98097.427738527302</v>
      </c>
      <c r="AN34" s="18">
        <v>-4.2822382002797497E-2</v>
      </c>
      <c r="AO34" s="17">
        <v>37962.258512796601</v>
      </c>
      <c r="AP34" s="18">
        <v>7.8028397035960796E-3</v>
      </c>
      <c r="AQ34" s="17">
        <v>27412.340786026401</v>
      </c>
      <c r="AR34" s="18">
        <v>4.0515375366486403E-2</v>
      </c>
      <c r="AS34" s="17">
        <v>31788.450665529701</v>
      </c>
      <c r="AT34" s="18">
        <v>3.3846116221954797E-2</v>
      </c>
      <c r="AU34" s="17">
        <v>4990.0778470149198</v>
      </c>
      <c r="AV34" s="18">
        <v>0.57031940491867705</v>
      </c>
      <c r="AW34" s="17">
        <v>8443.4708483245395</v>
      </c>
      <c r="AX34" s="18">
        <v>5.0618334507394502E-2</v>
      </c>
      <c r="AY34" s="17">
        <v>1809.4404361009799</v>
      </c>
      <c r="AZ34" s="18">
        <v>4.7488674300382198E-3</v>
      </c>
      <c r="BA34" s="17">
        <v>15457.4866098982</v>
      </c>
      <c r="BB34" s="18">
        <v>-2.9600469275536102E-2</v>
      </c>
      <c r="BC34" s="17">
        <v>26746.628107253098</v>
      </c>
      <c r="BD34" s="18">
        <v>-4.4262876699163701E-4</v>
      </c>
      <c r="BE34" s="17">
        <v>-11408.346126839901</v>
      </c>
      <c r="BF34" s="18">
        <v>6.0331531516414801E-2</v>
      </c>
      <c r="BG34" s="17"/>
      <c r="BH34" s="18"/>
    </row>
    <row r="35" spans="1:60" x14ac:dyDescent="0.2">
      <c r="A35" s="16">
        <v>2003</v>
      </c>
      <c r="B35" s="16"/>
      <c r="C35" s="17">
        <v>521311.10771313799</v>
      </c>
      <c r="D35" s="18">
        <v>-2.8422245458757898E-3</v>
      </c>
      <c r="E35" s="17">
        <v>506039.55555927299</v>
      </c>
      <c r="F35" s="18">
        <v>-3.0354252625632802E-3</v>
      </c>
      <c r="G35" s="17">
        <v>4120.3076673482501</v>
      </c>
      <c r="H35" s="18">
        <v>-0.149205288459687</v>
      </c>
      <c r="I35" s="17">
        <v>748.03260411532096</v>
      </c>
      <c r="J35" s="18">
        <v>-5.1508265618570297E-2</v>
      </c>
      <c r="K35" s="17">
        <v>86705.548402066401</v>
      </c>
      <c r="L35" s="18">
        <v>-3.11384140270876E-3</v>
      </c>
      <c r="M35" s="17">
        <v>13433.9707370947</v>
      </c>
      <c r="N35" s="18">
        <v>4.6237861480664E-2</v>
      </c>
      <c r="O35" s="17">
        <v>80173.186366519105</v>
      </c>
      <c r="P35" s="18">
        <v>-1.8015786043778698E-2</v>
      </c>
      <c r="Q35" s="17">
        <v>13528.5200907402</v>
      </c>
      <c r="R35" s="18">
        <v>-7.23084608124097E-2</v>
      </c>
      <c r="S35" s="17">
        <v>1632.12103243569</v>
      </c>
      <c r="T35" s="18">
        <v>-3.2210722492286301E-3</v>
      </c>
      <c r="U35" s="17">
        <v>29429.342568779801</v>
      </c>
      <c r="V35" s="18">
        <v>1.8375596063857899E-2</v>
      </c>
      <c r="W35" s="17">
        <v>70442.516920401395</v>
      </c>
      <c r="X35" s="18">
        <v>2.7064495313449601E-2</v>
      </c>
      <c r="Y35" s="17">
        <v>19503.160936073</v>
      </c>
      <c r="Z35" s="18">
        <v>2.2115026908969201E-2</v>
      </c>
      <c r="AA35" s="17">
        <v>24696.608319884301</v>
      </c>
      <c r="AB35" s="18">
        <v>1.18536250024566E-2</v>
      </c>
      <c r="AC35" s="17">
        <v>13904.5695844282</v>
      </c>
      <c r="AD35" s="18">
        <v>-8.5371094581621607E-2</v>
      </c>
      <c r="AE35" s="17">
        <v>22084.684646276</v>
      </c>
      <c r="AF35" s="18">
        <v>-4.77270719270304E-2</v>
      </c>
      <c r="AG35" s="17">
        <v>41199.803009507799</v>
      </c>
      <c r="AH35" s="18">
        <v>4.3851488314429601E-2</v>
      </c>
      <c r="AI35" s="17">
        <v>21844.796448465499</v>
      </c>
      <c r="AJ35" s="18">
        <v>3.1585147356479402E-2</v>
      </c>
      <c r="AK35" s="17">
        <v>14099.584295078201</v>
      </c>
      <c r="AL35" s="18">
        <v>0.104736459930622</v>
      </c>
      <c r="AM35" s="17">
        <v>94755.483679027602</v>
      </c>
      <c r="AN35" s="18">
        <v>-3.4067601328012703E-2</v>
      </c>
      <c r="AO35" s="17">
        <v>38494.1939435022</v>
      </c>
      <c r="AP35" s="18">
        <v>1.4012217701069999E-2</v>
      </c>
      <c r="AQ35" s="17">
        <v>27524.845186426101</v>
      </c>
      <c r="AR35" s="18">
        <v>4.1041515307964601E-3</v>
      </c>
      <c r="AS35" s="17">
        <v>32395.638648548302</v>
      </c>
      <c r="AT35" s="18">
        <v>1.9100898921035302E-2</v>
      </c>
      <c r="AU35" s="17">
        <v>3796.50862197366</v>
      </c>
      <c r="AV35" s="18">
        <v>-0.23918849798210201</v>
      </c>
      <c r="AW35" s="17">
        <v>8352.5955233402601</v>
      </c>
      <c r="AX35" s="18">
        <v>-1.0762792531262199E-2</v>
      </c>
      <c r="AY35" s="17">
        <v>1807.96279718305</v>
      </c>
      <c r="AZ35" s="18">
        <v>-8.1662755426970002E-4</v>
      </c>
      <c r="BA35" s="17">
        <v>15491.012210037799</v>
      </c>
      <c r="BB35" s="18">
        <v>2.1688907767323201E-3</v>
      </c>
      <c r="BC35" s="17">
        <v>27077.366351439199</v>
      </c>
      <c r="BD35" s="18">
        <v>1.2365605221706899E-2</v>
      </c>
      <c r="BE35" s="17">
        <v>-11756.847548412899</v>
      </c>
      <c r="BF35" s="18">
        <v>3.0547935493742601E-2</v>
      </c>
      <c r="BG35" s="17"/>
      <c r="BH35" s="18"/>
    </row>
    <row r="36" spans="1:60" x14ac:dyDescent="0.2">
      <c r="A36" s="16">
        <v>2004</v>
      </c>
      <c r="B36" s="16"/>
      <c r="C36" s="17">
        <v>534797.05567569402</v>
      </c>
      <c r="D36" s="18">
        <v>2.5869289495317201E-2</v>
      </c>
      <c r="E36" s="17">
        <v>518422.43051228701</v>
      </c>
      <c r="F36" s="18">
        <v>2.4470171979596798E-2</v>
      </c>
      <c r="G36" s="17">
        <v>4853.8118107543496</v>
      </c>
      <c r="H36" s="18">
        <v>0.178021692219447</v>
      </c>
      <c r="I36" s="17">
        <v>777.45141447773096</v>
      </c>
      <c r="J36" s="18">
        <v>3.9328246122644503E-2</v>
      </c>
      <c r="K36" s="17">
        <v>88237.132390074898</v>
      </c>
      <c r="L36" s="18">
        <v>1.7664198153805301E-2</v>
      </c>
      <c r="M36" s="17">
        <v>14430.731113792401</v>
      </c>
      <c r="N36" s="18">
        <v>7.4197003715769302E-2</v>
      </c>
      <c r="O36" s="17">
        <v>80136.4711308806</v>
      </c>
      <c r="P36" s="18">
        <v>-4.5794906380081102E-4</v>
      </c>
      <c r="Q36" s="17">
        <v>12285.7598549584</v>
      </c>
      <c r="R36" s="18">
        <v>-9.1862245644475898E-2</v>
      </c>
      <c r="S36" s="17">
        <v>1722.81916936014</v>
      </c>
      <c r="T36" s="18">
        <v>5.5570717564425998E-2</v>
      </c>
      <c r="U36" s="17">
        <v>28964.518221081202</v>
      </c>
      <c r="V36" s="18">
        <v>-1.5794588228137198E-2</v>
      </c>
      <c r="W36" s="17">
        <v>74236.879584483395</v>
      </c>
      <c r="X36" s="18">
        <v>5.3864666255034201E-2</v>
      </c>
      <c r="Y36" s="17">
        <v>19485.505139928799</v>
      </c>
      <c r="Z36" s="18">
        <v>-9.0527869826273499E-4</v>
      </c>
      <c r="AA36" s="17">
        <v>25436.261616433902</v>
      </c>
      <c r="AB36" s="18">
        <v>2.9949590120602401E-2</v>
      </c>
      <c r="AC36" s="17">
        <v>13315.4613814848</v>
      </c>
      <c r="AD36" s="18">
        <v>-4.2367956761721302E-2</v>
      </c>
      <c r="AE36" s="17">
        <v>22512.251798154499</v>
      </c>
      <c r="AF36" s="18">
        <v>1.9360346716593702E-2</v>
      </c>
      <c r="AG36" s="17">
        <v>43227.476346487798</v>
      </c>
      <c r="AH36" s="18">
        <v>4.9215607572492798E-2</v>
      </c>
      <c r="AI36" s="17">
        <v>23516.887693250101</v>
      </c>
      <c r="AJ36" s="18">
        <v>7.6544143990046498E-2</v>
      </c>
      <c r="AK36" s="17">
        <v>14099.344047672699</v>
      </c>
      <c r="AL36" s="18">
        <v>-1.70393254490531E-5</v>
      </c>
      <c r="AM36" s="17">
        <v>95805.0910345257</v>
      </c>
      <c r="AN36" s="18">
        <v>1.10770091053884E-2</v>
      </c>
      <c r="AO36" s="17">
        <v>38955.641649417797</v>
      </c>
      <c r="AP36" s="18">
        <v>1.1987462488313399E-2</v>
      </c>
      <c r="AQ36" s="17">
        <v>28004.923453289801</v>
      </c>
      <c r="AR36" s="18">
        <v>1.7441633680845801E-2</v>
      </c>
      <c r="AS36" s="17">
        <v>33046.990935772599</v>
      </c>
      <c r="AT36" s="18">
        <v>2.01061721391156E-2</v>
      </c>
      <c r="AU36" s="17">
        <v>5065.9743111145999</v>
      </c>
      <c r="AV36" s="18">
        <v>0.33437713845648998</v>
      </c>
      <c r="AW36" s="17">
        <v>8488.59593851924</v>
      </c>
      <c r="AX36" s="18">
        <v>1.6282413628068801E-2</v>
      </c>
      <c r="AY36" s="17">
        <v>1829.16463562537</v>
      </c>
      <c r="AZ36" s="18">
        <v>1.1726921856663399E-2</v>
      </c>
      <c r="BA36" s="17">
        <v>16460.3221292034</v>
      </c>
      <c r="BB36" s="18">
        <v>6.2572406891363105E-2</v>
      </c>
      <c r="BC36" s="17">
        <v>28185.904198508699</v>
      </c>
      <c r="BD36" s="18">
        <v>4.0939647995366799E-2</v>
      </c>
      <c r="BE36" s="17">
        <v>-11803.859450989399</v>
      </c>
      <c r="BF36" s="18">
        <v>3.9986826726225999E-3</v>
      </c>
      <c r="BG36" s="17"/>
      <c r="BH36" s="18"/>
    </row>
    <row r="37" spans="1:60" x14ac:dyDescent="0.2">
      <c r="A37" s="16">
        <v>2005</v>
      </c>
      <c r="B37" s="16"/>
      <c r="C37" s="17">
        <v>550584.71877029398</v>
      </c>
      <c r="D37" s="18">
        <v>2.9520848940825201E-2</v>
      </c>
      <c r="E37" s="17">
        <v>533641.06164351897</v>
      </c>
      <c r="F37" s="18">
        <v>2.93556571543283E-2</v>
      </c>
      <c r="G37" s="17">
        <v>4677.1704779394004</v>
      </c>
      <c r="H37" s="18">
        <v>-3.6392291193403002E-2</v>
      </c>
      <c r="I37" s="17">
        <v>803.67088962093601</v>
      </c>
      <c r="J37" s="18">
        <v>3.3724905061518498E-2</v>
      </c>
      <c r="K37" s="17">
        <v>92621.3920850063</v>
      </c>
      <c r="L37" s="18">
        <v>4.9687241370783397E-2</v>
      </c>
      <c r="M37" s="17">
        <v>15531.7701185114</v>
      </c>
      <c r="N37" s="18">
        <v>7.6298213585773905E-2</v>
      </c>
      <c r="O37" s="17">
        <v>83391.431768539696</v>
      </c>
      <c r="P37" s="18">
        <v>4.0617718645770802E-2</v>
      </c>
      <c r="Q37" s="17">
        <v>12944.505508603001</v>
      </c>
      <c r="R37" s="18">
        <v>5.3618633395209801E-2</v>
      </c>
      <c r="S37" s="17">
        <v>1891.89796744573</v>
      </c>
      <c r="T37" s="18">
        <v>9.8140768974833703E-2</v>
      </c>
      <c r="U37" s="17">
        <v>29691.3730353428</v>
      </c>
      <c r="V37" s="18">
        <v>2.5094662673611001E-2</v>
      </c>
      <c r="W37" s="17">
        <v>76589.371248564203</v>
      </c>
      <c r="X37" s="18">
        <v>3.1688989047601798E-2</v>
      </c>
      <c r="Y37" s="17">
        <v>19937.677589950501</v>
      </c>
      <c r="Z37" s="18">
        <v>2.32055800850204E-2</v>
      </c>
      <c r="AA37" s="17">
        <v>25532.590030336502</v>
      </c>
      <c r="AB37" s="18">
        <v>3.78705076064834E-3</v>
      </c>
      <c r="AC37" s="17">
        <v>13475.9287149711</v>
      </c>
      <c r="AD37" s="18">
        <v>1.20512034009901E-2</v>
      </c>
      <c r="AE37" s="17">
        <v>23481.465232881401</v>
      </c>
      <c r="AF37" s="18">
        <v>4.3052709405389002E-2</v>
      </c>
      <c r="AG37" s="17">
        <v>45421.880714834399</v>
      </c>
      <c r="AH37" s="18">
        <v>5.0764110094179797E-2</v>
      </c>
      <c r="AI37" s="17">
        <v>25186.171899911002</v>
      </c>
      <c r="AJ37" s="18">
        <v>7.0982360779822798E-2</v>
      </c>
      <c r="AK37" s="17">
        <v>14485.7880512419</v>
      </c>
      <c r="AL37" s="18">
        <v>2.7408651229628499E-2</v>
      </c>
      <c r="AM37" s="17">
        <v>98229.990468495598</v>
      </c>
      <c r="AN37" s="18">
        <v>2.5310757578592899E-2</v>
      </c>
      <c r="AO37" s="17">
        <v>39113.444714959704</v>
      </c>
      <c r="AP37" s="18">
        <v>4.0508398491303499E-3</v>
      </c>
      <c r="AQ37" s="17">
        <v>28333.620702772201</v>
      </c>
      <c r="AR37" s="18">
        <v>1.1737123653655E-2</v>
      </c>
      <c r="AS37" s="17">
        <v>33398.372573417902</v>
      </c>
      <c r="AT37" s="18">
        <v>1.06327876667567E-2</v>
      </c>
      <c r="AU37" s="17">
        <v>4270.46757943991</v>
      </c>
      <c r="AV37" s="18">
        <v>-0.157029365492314</v>
      </c>
      <c r="AW37" s="17">
        <v>8549.2679185290308</v>
      </c>
      <c r="AX37" s="18">
        <v>7.1474694341939803E-3</v>
      </c>
      <c r="AY37" s="17">
        <v>1865.2827498024201</v>
      </c>
      <c r="AZ37" s="18">
        <v>1.97456879898084E-2</v>
      </c>
      <c r="BA37" s="17">
        <v>17015.745392884201</v>
      </c>
      <c r="BB37" s="18">
        <v>3.3743158810687297E-2</v>
      </c>
      <c r="BC37" s="17">
        <v>28828.8677146591</v>
      </c>
      <c r="BD37" s="18">
        <v>2.28115270534563E-2</v>
      </c>
      <c r="BE37" s="17">
        <v>-11842.520838569701</v>
      </c>
      <c r="BF37" s="18">
        <v>3.2753175129562901E-3</v>
      </c>
      <c r="BG37" s="17"/>
      <c r="BH37" s="18"/>
    </row>
    <row r="38" spans="1:60" x14ac:dyDescent="0.2">
      <c r="A38" s="16">
        <v>2006</v>
      </c>
      <c r="B38" s="16"/>
      <c r="C38" s="17">
        <v>573347.66719402105</v>
      </c>
      <c r="D38" s="18">
        <v>4.13432259336355E-2</v>
      </c>
      <c r="E38" s="17">
        <v>555032.88107585302</v>
      </c>
      <c r="F38" s="18">
        <v>4.0086531884279401E-2</v>
      </c>
      <c r="G38" s="17">
        <v>4474.806613707</v>
      </c>
      <c r="H38" s="18">
        <v>-4.3266300680481803E-2</v>
      </c>
      <c r="I38" s="17">
        <v>769.797936930231</v>
      </c>
      <c r="J38" s="18">
        <v>-4.2147791002708997E-2</v>
      </c>
      <c r="K38" s="17">
        <v>98829.545468074197</v>
      </c>
      <c r="L38" s="18">
        <v>6.7027208761558404E-2</v>
      </c>
      <c r="M38" s="17">
        <v>17327.932824307401</v>
      </c>
      <c r="N38" s="18">
        <v>0.115644430228543</v>
      </c>
      <c r="O38" s="17">
        <v>87575.4574239754</v>
      </c>
      <c r="P38" s="18">
        <v>5.0173327963104003E-2</v>
      </c>
      <c r="Q38" s="17">
        <v>13608.544276716701</v>
      </c>
      <c r="R38" s="18">
        <v>5.1298890303100399E-2</v>
      </c>
      <c r="S38" s="17">
        <v>1971.2029759295899</v>
      </c>
      <c r="T38" s="18">
        <v>4.1918227012492898E-2</v>
      </c>
      <c r="U38" s="17">
        <v>29038.660938538302</v>
      </c>
      <c r="V38" s="18">
        <v>-2.1983223747437799E-2</v>
      </c>
      <c r="W38" s="17">
        <v>81135.859059489696</v>
      </c>
      <c r="X38" s="18">
        <v>5.9361863621654201E-2</v>
      </c>
      <c r="Y38" s="17">
        <v>20172.659497316599</v>
      </c>
      <c r="Z38" s="18">
        <v>1.1785821408035101E-2</v>
      </c>
      <c r="AA38" s="17">
        <v>26218.219261395701</v>
      </c>
      <c r="AB38" s="18">
        <v>2.6853101477153599E-2</v>
      </c>
      <c r="AC38" s="17">
        <v>13814.6264232752</v>
      </c>
      <c r="AD38" s="18">
        <v>2.5133533685721E-2</v>
      </c>
      <c r="AE38" s="17">
        <v>24370.543147390701</v>
      </c>
      <c r="AF38" s="18">
        <v>3.7862965777122302E-2</v>
      </c>
      <c r="AG38" s="17">
        <v>48618.515191076403</v>
      </c>
      <c r="AH38" s="18">
        <v>7.0376532762060198E-2</v>
      </c>
      <c r="AI38" s="17">
        <v>26958.991661330001</v>
      </c>
      <c r="AJ38" s="18">
        <v>7.0388615168043497E-2</v>
      </c>
      <c r="AK38" s="17">
        <v>14870.8951809558</v>
      </c>
      <c r="AL38" s="18">
        <v>2.6585169433076501E-2</v>
      </c>
      <c r="AM38" s="17">
        <v>100116.074491085</v>
      </c>
      <c r="AN38" s="18">
        <v>1.92006943459322E-2</v>
      </c>
      <c r="AO38" s="17">
        <v>39522.317395542501</v>
      </c>
      <c r="AP38" s="18">
        <v>1.04535073185823E-2</v>
      </c>
      <c r="AQ38" s="17">
        <v>28096.266558953099</v>
      </c>
      <c r="AR38" s="18">
        <v>-8.3771201114387593E-3</v>
      </c>
      <c r="AS38" s="17">
        <v>33720.637890196602</v>
      </c>
      <c r="AT38" s="18">
        <v>9.6491323363219195E-3</v>
      </c>
      <c r="AU38" s="17">
        <v>5798.02342995247</v>
      </c>
      <c r="AV38" s="18">
        <v>0.35770224737612799</v>
      </c>
      <c r="AW38" s="17">
        <v>8742.8930449792897</v>
      </c>
      <c r="AX38" s="18">
        <v>2.2648152835474101E-2</v>
      </c>
      <c r="AY38" s="17">
        <v>1887.9720152989501</v>
      </c>
      <c r="AZ38" s="18">
        <v>1.21639818407873E-2</v>
      </c>
      <c r="BA38" s="17">
        <v>18279.3242697772</v>
      </c>
      <c r="BB38" s="18">
        <v>7.4259390212869605E-2</v>
      </c>
      <c r="BC38" s="17">
        <v>30094.0031107248</v>
      </c>
      <c r="BD38" s="18">
        <v>4.38843248575587E-2</v>
      </c>
      <c r="BE38" s="17">
        <v>-11725.863696050699</v>
      </c>
      <c r="BF38" s="18">
        <v>-9.8507018994691293E-3</v>
      </c>
      <c r="BG38" s="17"/>
      <c r="BH38" s="18"/>
    </row>
    <row r="39" spans="1:60" x14ac:dyDescent="0.2">
      <c r="A39" s="16">
        <v>2007</v>
      </c>
      <c r="B39" s="16"/>
      <c r="C39" s="17">
        <v>596185.21556237596</v>
      </c>
      <c r="D39" s="18">
        <v>3.9831937365547597E-2</v>
      </c>
      <c r="E39" s="17">
        <v>576596.72806752101</v>
      </c>
      <c r="F39" s="18">
        <v>3.8851476600575197E-2</v>
      </c>
      <c r="G39" s="17">
        <v>4781.9479655916803</v>
      </c>
      <c r="H39" s="18">
        <v>6.8637905142954397E-2</v>
      </c>
      <c r="I39" s="17">
        <v>772.18498918171201</v>
      </c>
      <c r="J39" s="18">
        <v>3.1008815910835699E-3</v>
      </c>
      <c r="K39" s="17">
        <v>104074.43029614699</v>
      </c>
      <c r="L39" s="18">
        <v>5.3070008601501503E-2</v>
      </c>
      <c r="M39" s="17">
        <v>18643.8620404754</v>
      </c>
      <c r="N39" s="18">
        <v>7.5942654528418502E-2</v>
      </c>
      <c r="O39" s="17">
        <v>91504.8688146153</v>
      </c>
      <c r="P39" s="18">
        <v>4.4868865161805903E-2</v>
      </c>
      <c r="Q39" s="17">
        <v>14252.985198139701</v>
      </c>
      <c r="R39" s="18">
        <v>4.73556104399495E-2</v>
      </c>
      <c r="S39" s="17">
        <v>1874.2412880429899</v>
      </c>
      <c r="T39" s="18">
        <v>-4.9189093700955797E-2</v>
      </c>
      <c r="U39" s="17">
        <v>28317.853309635699</v>
      </c>
      <c r="V39" s="18">
        <v>-2.4822343923783401E-2</v>
      </c>
      <c r="W39" s="17">
        <v>85858.955059744505</v>
      </c>
      <c r="X39" s="18">
        <v>5.8212189468428897E-2</v>
      </c>
      <c r="Y39" s="17">
        <v>20804.740411643299</v>
      </c>
      <c r="Z39" s="18">
        <v>3.1333544018366903E-2</v>
      </c>
      <c r="AA39" s="17">
        <v>26912.9453537915</v>
      </c>
      <c r="AB39" s="18">
        <v>2.64978366939961E-2</v>
      </c>
      <c r="AC39" s="17">
        <v>14385.565283449399</v>
      </c>
      <c r="AD39" s="18">
        <v>4.1328577601799497E-2</v>
      </c>
      <c r="AE39" s="17">
        <v>24669.271716494099</v>
      </c>
      <c r="AF39" s="18">
        <v>1.2257772315402E-2</v>
      </c>
      <c r="AG39" s="17">
        <v>52421.790499672803</v>
      </c>
      <c r="AH39" s="18">
        <v>7.8226891414703695E-2</v>
      </c>
      <c r="AI39" s="17">
        <v>29542.9019224189</v>
      </c>
      <c r="AJ39" s="18">
        <v>9.5845953496669994E-2</v>
      </c>
      <c r="AK39" s="17">
        <v>15128.465137220301</v>
      </c>
      <c r="AL39" s="18">
        <v>1.7320406951314898E-2</v>
      </c>
      <c r="AM39" s="17">
        <v>103185.14838226599</v>
      </c>
      <c r="AN39" s="18">
        <v>3.06551560953809E-2</v>
      </c>
      <c r="AO39" s="17">
        <v>40354.714527981501</v>
      </c>
      <c r="AP39" s="18">
        <v>2.1061445464047601E-2</v>
      </c>
      <c r="AQ39" s="17">
        <v>28278.040622480399</v>
      </c>
      <c r="AR39" s="18">
        <v>6.4696874634879702E-3</v>
      </c>
      <c r="AS39" s="17">
        <v>34905.090060320203</v>
      </c>
      <c r="AT39" s="18">
        <v>3.51254378395955E-2</v>
      </c>
      <c r="AU39" s="17">
        <v>4691.03230245741</v>
      </c>
      <c r="AV39" s="18">
        <v>-0.19092560436654499</v>
      </c>
      <c r="AW39" s="17">
        <v>8896.1975108369297</v>
      </c>
      <c r="AX39" s="18">
        <v>1.7534752520582501E-2</v>
      </c>
      <c r="AY39" s="17">
        <v>1965.7849923017</v>
      </c>
      <c r="AZ39" s="18">
        <v>4.1215111438200197E-2</v>
      </c>
      <c r="BA39" s="17">
        <v>19470.704723872601</v>
      </c>
      <c r="BB39" s="18">
        <v>6.5176394734962798E-2</v>
      </c>
      <c r="BC39" s="17">
        <v>31162.782303610998</v>
      </c>
      <c r="BD39" s="18">
        <v>3.5514690051497801E-2</v>
      </c>
      <c r="BE39" s="17">
        <v>-11480.3374791637</v>
      </c>
      <c r="BF39" s="18">
        <v>-2.0938859878585799E-2</v>
      </c>
      <c r="BG39" s="17"/>
      <c r="BH39" s="18"/>
    </row>
    <row r="40" spans="1:60" x14ac:dyDescent="0.2">
      <c r="A40" s="16">
        <v>2008</v>
      </c>
      <c r="B40" s="16"/>
      <c r="C40" s="17">
        <v>611278.21835853998</v>
      </c>
      <c r="D40" s="18">
        <v>2.5315962895736E-2</v>
      </c>
      <c r="E40" s="17">
        <v>591378.20285595395</v>
      </c>
      <c r="F40" s="18">
        <v>2.5635724361415799E-2</v>
      </c>
      <c r="G40" s="17">
        <v>4781.9139288631904</v>
      </c>
      <c r="H40" s="18">
        <v>-7.1177538403244298E-6</v>
      </c>
      <c r="I40" s="17">
        <v>762.25946723034997</v>
      </c>
      <c r="J40" s="18">
        <v>-1.28538136462362E-2</v>
      </c>
      <c r="K40" s="17">
        <v>107540.31012704301</v>
      </c>
      <c r="L40" s="18">
        <v>3.3301934212215598E-2</v>
      </c>
      <c r="M40" s="17">
        <v>19449.606209641799</v>
      </c>
      <c r="N40" s="18">
        <v>4.3217664205899203E-2</v>
      </c>
      <c r="O40" s="17">
        <v>94222.113780550004</v>
      </c>
      <c r="P40" s="18">
        <v>2.9695086186503499E-2</v>
      </c>
      <c r="Q40" s="17">
        <v>14888.402206479101</v>
      </c>
      <c r="R40" s="18">
        <v>4.4581328016977798E-2</v>
      </c>
      <c r="S40" s="17">
        <v>1667.8931917073</v>
      </c>
      <c r="T40" s="18">
        <v>-0.1100968683446</v>
      </c>
      <c r="U40" s="17">
        <v>28658.9483779654</v>
      </c>
      <c r="V40" s="18">
        <v>1.2045230427605301E-2</v>
      </c>
      <c r="W40" s="17">
        <v>90013.840163471104</v>
      </c>
      <c r="X40" s="18">
        <v>4.8391983117374901E-2</v>
      </c>
      <c r="Y40" s="17">
        <v>21686.766963092799</v>
      </c>
      <c r="Z40" s="18">
        <v>4.2395460553591897E-2</v>
      </c>
      <c r="AA40" s="17">
        <v>26255.6471896488</v>
      </c>
      <c r="AB40" s="18">
        <v>-2.44231226089172E-2</v>
      </c>
      <c r="AC40" s="17">
        <v>14944.764612763</v>
      </c>
      <c r="AD40" s="18">
        <v>3.88722527266245E-2</v>
      </c>
      <c r="AE40" s="17">
        <v>25858.547181800299</v>
      </c>
      <c r="AF40" s="18">
        <v>4.8208778879803599E-2</v>
      </c>
      <c r="AG40" s="17">
        <v>50384.914527826499</v>
      </c>
      <c r="AH40" s="18">
        <v>-3.8855520813601802E-2</v>
      </c>
      <c r="AI40" s="17">
        <v>26362.504961525399</v>
      </c>
      <c r="AJ40" s="18">
        <v>-0.107653505713331</v>
      </c>
      <c r="AK40" s="17">
        <v>16692.0172529759</v>
      </c>
      <c r="AL40" s="18">
        <v>0.10335166863086601</v>
      </c>
      <c r="AM40" s="17">
        <v>107967.85291801899</v>
      </c>
      <c r="AN40" s="18">
        <v>4.6350706576829201E-2</v>
      </c>
      <c r="AO40" s="17">
        <v>40880.335671968001</v>
      </c>
      <c r="AP40" s="18">
        <v>1.3025024464540199E-2</v>
      </c>
      <c r="AQ40" s="17">
        <v>28130.984903343498</v>
      </c>
      <c r="AR40" s="18">
        <v>-5.2003503743445201E-3</v>
      </c>
      <c r="AS40" s="17">
        <v>36825.979881652398</v>
      </c>
      <c r="AT40" s="18">
        <v>5.50317967383172E-2</v>
      </c>
      <c r="AU40" s="17">
        <v>5995.4555266634297</v>
      </c>
      <c r="AV40" s="18">
        <v>0.27806741461206702</v>
      </c>
      <c r="AW40" s="17">
        <v>9152.8077359397394</v>
      </c>
      <c r="AX40" s="18">
        <v>2.8844933443780099E-2</v>
      </c>
      <c r="AY40" s="17">
        <v>2110.72476589592</v>
      </c>
      <c r="AZ40" s="18">
        <v>7.3731244343519201E-2</v>
      </c>
      <c r="BA40" s="17">
        <v>19803.843959220401</v>
      </c>
      <c r="BB40" s="18">
        <v>1.71097677291248E-2</v>
      </c>
      <c r="BC40" s="17">
        <v>31868.5461661224</v>
      </c>
      <c r="BD40" s="18">
        <v>2.2647652434732501E-2</v>
      </c>
      <c r="BE40" s="17">
        <v>-11872.7126702818</v>
      </c>
      <c r="BF40" s="18">
        <v>3.4178018880563599E-2</v>
      </c>
      <c r="BG40" s="17"/>
      <c r="BH40" s="18"/>
    </row>
    <row r="41" spans="1:60" x14ac:dyDescent="0.2">
      <c r="A41" s="16">
        <v>2009</v>
      </c>
      <c r="B41" s="16"/>
      <c r="C41" s="17">
        <v>599450.538071346</v>
      </c>
      <c r="D41" s="18">
        <v>-1.9349094948866899E-2</v>
      </c>
      <c r="E41" s="17">
        <v>580005.48105887801</v>
      </c>
      <c r="F41" s="18">
        <v>-1.92308775368338E-2</v>
      </c>
      <c r="G41" s="17">
        <v>5032.5612581679197</v>
      </c>
      <c r="H41" s="18">
        <v>5.2415692342735701E-2</v>
      </c>
      <c r="I41" s="17">
        <v>697.51549589508795</v>
      </c>
      <c r="J41" s="18">
        <v>-8.49369199316172E-2</v>
      </c>
      <c r="K41" s="17">
        <v>94923.706409747101</v>
      </c>
      <c r="L41" s="18">
        <v>-0.117319763188256</v>
      </c>
      <c r="M41" s="17">
        <v>18848.7073966307</v>
      </c>
      <c r="N41" s="18">
        <v>-3.08951660272309E-2</v>
      </c>
      <c r="O41" s="17">
        <v>80288.988853214498</v>
      </c>
      <c r="P41" s="18">
        <v>-0.14787531682622501</v>
      </c>
      <c r="Q41" s="17">
        <v>13688.602554798599</v>
      </c>
      <c r="R41" s="18">
        <v>-8.0586192866174106E-2</v>
      </c>
      <c r="S41" s="17">
        <v>2313.1884249916102</v>
      </c>
      <c r="T41" s="18">
        <v>0.38689242002586599</v>
      </c>
      <c r="U41" s="17">
        <v>29127.094087930702</v>
      </c>
      <c r="V41" s="18">
        <v>1.6335062396259901E-2</v>
      </c>
      <c r="W41" s="17">
        <v>94615.743170069807</v>
      </c>
      <c r="X41" s="18">
        <v>5.11243937403549E-2</v>
      </c>
      <c r="Y41" s="17">
        <v>22151.944550951699</v>
      </c>
      <c r="Z41" s="18">
        <v>2.1449835683230199E-2</v>
      </c>
      <c r="AA41" s="17">
        <v>24616.094179915599</v>
      </c>
      <c r="AB41" s="18">
        <v>-6.2445728261446003E-2</v>
      </c>
      <c r="AC41" s="17">
        <v>14000.011520157601</v>
      </c>
      <c r="AD41" s="18">
        <v>-6.3216324718729205E-2</v>
      </c>
      <c r="AE41" s="17">
        <v>26379.696600515999</v>
      </c>
      <c r="AF41" s="18">
        <v>2.0153855321092502E-2</v>
      </c>
      <c r="AG41" s="17">
        <v>48867.146934926597</v>
      </c>
      <c r="AH41" s="18">
        <v>-3.0123452766040101E-2</v>
      </c>
      <c r="AI41" s="17">
        <v>24725.391081313199</v>
      </c>
      <c r="AJ41" s="18">
        <v>-6.2100088083490997E-2</v>
      </c>
      <c r="AK41" s="17">
        <v>17540.662514703301</v>
      </c>
      <c r="AL41" s="18">
        <v>5.0841384169795403E-2</v>
      </c>
      <c r="AM41" s="17">
        <v>106635.2363944</v>
      </c>
      <c r="AN41" s="18">
        <v>-1.2342715795514299E-2</v>
      </c>
      <c r="AO41" s="17">
        <v>41668.847388236398</v>
      </c>
      <c r="AP41" s="18">
        <v>1.9288288692039399E-2</v>
      </c>
      <c r="AQ41" s="17">
        <v>27939.158577049198</v>
      </c>
      <c r="AR41" s="18">
        <v>-6.8190405331864899E-3</v>
      </c>
      <c r="AS41" s="17">
        <v>38023.069846486796</v>
      </c>
      <c r="AT41" s="18">
        <v>3.2506669712021097E-2</v>
      </c>
      <c r="AU41" s="17">
        <v>4866.10380535063</v>
      </c>
      <c r="AV41" s="18">
        <v>-0.188367959080049</v>
      </c>
      <c r="AW41" s="17">
        <v>9114.6564866946901</v>
      </c>
      <c r="AX41" s="18">
        <v>-4.1682563805254301E-3</v>
      </c>
      <c r="AY41" s="17">
        <v>2090.78476109955</v>
      </c>
      <c r="AZ41" s="18">
        <v>-9.4469942829832308E-3</v>
      </c>
      <c r="BA41" s="17">
        <v>19359.064872130301</v>
      </c>
      <c r="BB41" s="18">
        <v>-2.2459230036655699E-2</v>
      </c>
      <c r="BC41" s="17">
        <v>31993.9466406598</v>
      </c>
      <c r="BD41" s="18">
        <v>3.9349292523012096E-3</v>
      </c>
      <c r="BE41" s="17">
        <v>-12549.5340179787</v>
      </c>
      <c r="BF41" s="18">
        <v>5.7006462338723397E-2</v>
      </c>
      <c r="BG41" s="17"/>
      <c r="BH41" s="18"/>
    </row>
    <row r="42" spans="1:60" x14ac:dyDescent="0.2">
      <c r="A42" s="16">
        <v>2010</v>
      </c>
      <c r="B42" s="16"/>
      <c r="C42" s="17">
        <v>618996.40692477801</v>
      </c>
      <c r="D42" s="18">
        <v>3.2606307963819497E-2</v>
      </c>
      <c r="E42" s="17">
        <v>598429.95268598304</v>
      </c>
      <c r="F42" s="18">
        <v>3.1766030199349198E-2</v>
      </c>
      <c r="G42" s="17">
        <v>4867.8779290197999</v>
      </c>
      <c r="H42" s="18">
        <v>-3.2723561761088801E-2</v>
      </c>
      <c r="I42" s="17">
        <v>761.28184245344005</v>
      </c>
      <c r="J42" s="18">
        <v>9.1419254387349297E-2</v>
      </c>
      <c r="K42" s="17">
        <v>101745.155164212</v>
      </c>
      <c r="L42" s="18">
        <v>7.1862435765197796E-2</v>
      </c>
      <c r="M42" s="17">
        <v>20617.499661997899</v>
      </c>
      <c r="N42" s="18">
        <v>9.3841568450651502E-2</v>
      </c>
      <c r="O42" s="17">
        <v>85362.5488571108</v>
      </c>
      <c r="P42" s="18">
        <v>6.3191230533140796E-2</v>
      </c>
      <c r="Q42" s="17">
        <v>13546.538301443999</v>
      </c>
      <c r="R42" s="18">
        <v>-1.03782875414702E-2</v>
      </c>
      <c r="S42" s="17">
        <v>1872.48840325486</v>
      </c>
      <c r="T42" s="18">
        <v>-0.1905162661958</v>
      </c>
      <c r="U42" s="17">
        <v>31135.431041981999</v>
      </c>
      <c r="V42" s="18">
        <v>6.8950817681586105E-2</v>
      </c>
      <c r="W42" s="17">
        <v>98037.962036209196</v>
      </c>
      <c r="X42" s="18">
        <v>3.6169655825543302E-2</v>
      </c>
      <c r="Y42" s="17">
        <v>23171.188487912601</v>
      </c>
      <c r="Z42" s="18">
        <v>4.6011488274383797E-2</v>
      </c>
      <c r="AA42" s="17">
        <v>25838.337784073901</v>
      </c>
      <c r="AB42" s="18">
        <v>4.9652215141244398E-2</v>
      </c>
      <c r="AC42" s="17">
        <v>14149.750825273901</v>
      </c>
      <c r="AD42" s="18">
        <v>1.06956558500468E-2</v>
      </c>
      <c r="AE42" s="17">
        <v>27267.7587909709</v>
      </c>
      <c r="AF42" s="18">
        <v>3.3664609714941597E-2</v>
      </c>
      <c r="AG42" s="17">
        <v>48873.049189656798</v>
      </c>
      <c r="AH42" s="18">
        <v>1.2078165189533E-4</v>
      </c>
      <c r="AI42" s="17">
        <v>25183.181145472601</v>
      </c>
      <c r="AJ42" s="18">
        <v>1.8514977686452799E-2</v>
      </c>
      <c r="AK42" s="17">
        <v>16820.920974311801</v>
      </c>
      <c r="AL42" s="18">
        <v>-4.1032745472879599E-2</v>
      </c>
      <c r="AM42" s="17">
        <v>108719.972095369</v>
      </c>
      <c r="AN42" s="18">
        <v>1.95501578226773E-2</v>
      </c>
      <c r="AO42" s="17">
        <v>41886.945389414097</v>
      </c>
      <c r="AP42" s="18">
        <v>5.2340780906570102E-3</v>
      </c>
      <c r="AQ42" s="17">
        <v>28019.634653511901</v>
      </c>
      <c r="AR42" s="18">
        <v>2.8804044416996799E-3</v>
      </c>
      <c r="AS42" s="17">
        <v>38417.137501855999</v>
      </c>
      <c r="AT42" s="18">
        <v>1.0363909514939E-2</v>
      </c>
      <c r="AU42" s="17">
        <v>6702.1251388310102</v>
      </c>
      <c r="AV42" s="18">
        <v>0.377308295696762</v>
      </c>
      <c r="AW42" s="17">
        <v>9005.6482000605101</v>
      </c>
      <c r="AX42" s="18">
        <v>-1.19596703170657E-2</v>
      </c>
      <c r="AY42" s="17">
        <v>2065.1991859434702</v>
      </c>
      <c r="AZ42" s="18">
        <v>-1.2237307078239799E-2</v>
      </c>
      <c r="BA42" s="17">
        <v>20442.1189416956</v>
      </c>
      <c r="BB42" s="18">
        <v>5.5945577780696802E-2</v>
      </c>
      <c r="BC42" s="17">
        <v>33105.330014578103</v>
      </c>
      <c r="BD42" s="18">
        <v>3.4737301602731703E-2</v>
      </c>
      <c r="BE42" s="17">
        <v>-12514.557904494101</v>
      </c>
      <c r="BF42" s="18">
        <v>-2.7870447966036301E-3</v>
      </c>
      <c r="BG42" s="17"/>
      <c r="BH42" s="18"/>
    </row>
    <row r="43" spans="1:60" x14ac:dyDescent="0.2">
      <c r="A43" s="16">
        <v>2011</v>
      </c>
      <c r="B43" s="16"/>
      <c r="C43" s="17">
        <v>627709.77554362605</v>
      </c>
      <c r="D43" s="18">
        <v>1.40766061343334E-2</v>
      </c>
      <c r="E43" s="17">
        <v>607750.020496513</v>
      </c>
      <c r="F43" s="18">
        <v>1.5574200069195E-2</v>
      </c>
      <c r="G43" s="17">
        <v>5361.3633991409097</v>
      </c>
      <c r="H43" s="18">
        <v>0.10137589259977101</v>
      </c>
      <c r="I43" s="17">
        <v>762.63478872412099</v>
      </c>
      <c r="J43" s="18">
        <v>1.7771949825064999E-3</v>
      </c>
      <c r="K43" s="17">
        <v>111479.02372817</v>
      </c>
      <c r="L43" s="18">
        <v>9.5669111204829099E-2</v>
      </c>
      <c r="M43" s="17">
        <v>23455.831936864899</v>
      </c>
      <c r="N43" s="18">
        <v>0.13766617297919201</v>
      </c>
      <c r="O43" s="17">
        <v>92153.186399180995</v>
      </c>
      <c r="P43" s="18">
        <v>7.9550548021207507E-2</v>
      </c>
      <c r="Q43" s="17">
        <v>13076.0689435188</v>
      </c>
      <c r="R43" s="18">
        <v>-3.4729858466871197E-2</v>
      </c>
      <c r="S43" s="17">
        <v>1846.3951228211899</v>
      </c>
      <c r="T43" s="18">
        <v>-1.3935082528849301E-2</v>
      </c>
      <c r="U43" s="17">
        <v>31348.7468770874</v>
      </c>
      <c r="V43" s="18">
        <v>6.85122472908062E-3</v>
      </c>
      <c r="W43" s="17">
        <v>93537.014066946504</v>
      </c>
      <c r="X43" s="18">
        <v>-4.5910256351517E-2</v>
      </c>
      <c r="Y43" s="17">
        <v>23333.040149640001</v>
      </c>
      <c r="Z43" s="18">
        <v>6.9850392789230203E-3</v>
      </c>
      <c r="AA43" s="17">
        <v>26443.148512309799</v>
      </c>
      <c r="AB43" s="18">
        <v>2.3407493674328698E-2</v>
      </c>
      <c r="AC43" s="17">
        <v>13983.5117812025</v>
      </c>
      <c r="AD43" s="18">
        <v>-1.1748549223529E-2</v>
      </c>
      <c r="AE43" s="17">
        <v>26889.633346521401</v>
      </c>
      <c r="AF43" s="18">
        <v>-1.38671259104266E-2</v>
      </c>
      <c r="AG43" s="17">
        <v>49647.158062560899</v>
      </c>
      <c r="AH43" s="18">
        <v>1.5839176923465099E-2</v>
      </c>
      <c r="AI43" s="17">
        <v>25111.8520702881</v>
      </c>
      <c r="AJ43" s="18">
        <v>-2.8324092485565401E-3</v>
      </c>
      <c r="AK43" s="17">
        <v>17369.4769550698</v>
      </c>
      <c r="AL43" s="18">
        <v>3.2611530700116201E-2</v>
      </c>
      <c r="AM43" s="17">
        <v>111368.01395951099</v>
      </c>
      <c r="AN43" s="18">
        <v>2.43565355390187E-2</v>
      </c>
      <c r="AO43" s="17">
        <v>42355.122041287497</v>
      </c>
      <c r="AP43" s="18">
        <v>1.11771495276358E-2</v>
      </c>
      <c r="AQ43" s="17">
        <v>28593.640365099101</v>
      </c>
      <c r="AR43" s="18">
        <v>2.0485838544484599E-2</v>
      </c>
      <c r="AS43" s="17">
        <v>38765.317044350297</v>
      </c>
      <c r="AT43" s="18">
        <v>9.0631308091988494E-3</v>
      </c>
      <c r="AU43" s="17">
        <v>4871.0849618656403</v>
      </c>
      <c r="AV43" s="18">
        <v>-0.273202922809755</v>
      </c>
      <c r="AW43" s="17">
        <v>9247.9305748914794</v>
      </c>
      <c r="AX43" s="18">
        <v>2.69033799065506E-2</v>
      </c>
      <c r="AY43" s="17">
        <v>2054.4918168382201</v>
      </c>
      <c r="AZ43" s="18">
        <v>-5.1846665339249096E-3</v>
      </c>
      <c r="BA43" s="17">
        <v>19898.092472819499</v>
      </c>
      <c r="BB43" s="18">
        <v>-2.6613017487461098E-2</v>
      </c>
      <c r="BC43" s="17">
        <v>33191.891116154497</v>
      </c>
      <c r="BD43" s="18">
        <v>2.6147179785933599E-3</v>
      </c>
      <c r="BE43" s="17">
        <v>-13230.2624153047</v>
      </c>
      <c r="BF43" s="18">
        <v>5.7189755824582002E-2</v>
      </c>
      <c r="BG43" s="17"/>
      <c r="BH43" s="18"/>
    </row>
    <row r="44" spans="1:60" x14ac:dyDescent="0.2">
      <c r="A44" s="16">
        <v>2012</v>
      </c>
      <c r="B44" s="16"/>
      <c r="C44" s="17">
        <v>634766.08641963301</v>
      </c>
      <c r="D44" s="18">
        <v>1.12413589065046E-2</v>
      </c>
      <c r="E44" s="17">
        <v>615319.03972224297</v>
      </c>
      <c r="F44" s="18">
        <v>1.24541653154462E-2</v>
      </c>
      <c r="G44" s="17">
        <v>5173.0103490644296</v>
      </c>
      <c r="H44" s="18">
        <v>-3.51315581604974E-2</v>
      </c>
      <c r="I44" s="17">
        <v>794.95078740021802</v>
      </c>
      <c r="J44" s="18">
        <v>4.2374147041155399E-2</v>
      </c>
      <c r="K44" s="17">
        <v>109385.31248574999</v>
      </c>
      <c r="L44" s="18">
        <v>-1.8781212576142702E-2</v>
      </c>
      <c r="M44" s="17">
        <v>23138.171307906701</v>
      </c>
      <c r="N44" s="18">
        <v>-1.3542927397043301E-2</v>
      </c>
      <c r="O44" s="17">
        <v>90255.282470729901</v>
      </c>
      <c r="P44" s="18">
        <v>-2.0595098255528101E-2</v>
      </c>
      <c r="Q44" s="17">
        <v>14061.1137228716</v>
      </c>
      <c r="R44" s="18">
        <v>7.5331874098220106E-2</v>
      </c>
      <c r="S44" s="17">
        <v>1708.43464200376</v>
      </c>
      <c r="T44" s="18">
        <v>-7.4718828658211098E-2</v>
      </c>
      <c r="U44" s="17">
        <v>31766.480613773001</v>
      </c>
      <c r="V44" s="18">
        <v>1.3325372727765799E-2</v>
      </c>
      <c r="W44" s="17">
        <v>96265.783660429704</v>
      </c>
      <c r="X44" s="18">
        <v>2.9173152689373899E-2</v>
      </c>
      <c r="Y44" s="17">
        <v>23984.9572785325</v>
      </c>
      <c r="Z44" s="18">
        <v>2.79396565861816E-2</v>
      </c>
      <c r="AA44" s="17">
        <v>27214.103033148702</v>
      </c>
      <c r="AB44" s="18">
        <v>2.9155171158232299E-2</v>
      </c>
      <c r="AC44" s="17">
        <v>13459.043041454701</v>
      </c>
      <c r="AD44" s="18">
        <v>-3.7506225042325703E-2</v>
      </c>
      <c r="AE44" s="17">
        <v>27318.508056421699</v>
      </c>
      <c r="AF44" s="18">
        <v>1.59494443220345E-2</v>
      </c>
      <c r="AG44" s="17">
        <v>51184.596166359901</v>
      </c>
      <c r="AH44" s="18">
        <v>3.0967293271079398E-2</v>
      </c>
      <c r="AI44" s="17">
        <v>25819.4489717824</v>
      </c>
      <c r="AJ44" s="18">
        <v>2.8177806221292699E-2</v>
      </c>
      <c r="AK44" s="17">
        <v>18136.502983989401</v>
      </c>
      <c r="AL44" s="18">
        <v>4.4159420050683899E-2</v>
      </c>
      <c r="AM44" s="17">
        <v>112277.294038319</v>
      </c>
      <c r="AN44" s="18">
        <v>8.1646430288195796E-3</v>
      </c>
      <c r="AO44" s="17">
        <v>42623.663786534198</v>
      </c>
      <c r="AP44" s="18">
        <v>6.3402425091569903E-3</v>
      </c>
      <c r="AQ44" s="17">
        <v>28250.125780453</v>
      </c>
      <c r="AR44" s="18">
        <v>-1.20136708813564E-2</v>
      </c>
      <c r="AS44" s="17">
        <v>40661.970608684998</v>
      </c>
      <c r="AT44" s="18">
        <v>4.8926558814540201E-2</v>
      </c>
      <c r="AU44" s="17">
        <v>6005.7549459741103</v>
      </c>
      <c r="AV44" s="18">
        <v>0.23293988772346999</v>
      </c>
      <c r="AW44" s="17">
        <v>9173.1879495304493</v>
      </c>
      <c r="AX44" s="18">
        <v>-8.0820919616294597E-3</v>
      </c>
      <c r="AY44" s="17">
        <v>2132.9525130127399</v>
      </c>
      <c r="AZ44" s="18">
        <v>3.8189831437375601E-2</v>
      </c>
      <c r="BA44" s="17">
        <v>19450.695763951298</v>
      </c>
      <c r="BB44" s="18">
        <v>-2.2484401933469299E-2</v>
      </c>
      <c r="BC44" s="17">
        <v>33376.570188427402</v>
      </c>
      <c r="BD44" s="18">
        <v>5.5639816251087399E-3</v>
      </c>
      <c r="BE44" s="17">
        <v>-13945.740862377999</v>
      </c>
      <c r="BF44" s="18">
        <v>5.4078930909611897E-2</v>
      </c>
      <c r="BG44" s="17"/>
      <c r="BH44" s="18"/>
    </row>
    <row r="45" spans="1:60" x14ac:dyDescent="0.2">
      <c r="A45" s="16">
        <v>2013</v>
      </c>
      <c r="B45" s="16"/>
      <c r="C45" s="17">
        <v>646421.178282368</v>
      </c>
      <c r="D45" s="18">
        <v>1.8361239064416598E-2</v>
      </c>
      <c r="E45" s="17">
        <v>626886.87505507702</v>
      </c>
      <c r="F45" s="18">
        <v>1.8799735724179801E-2</v>
      </c>
      <c r="G45" s="17">
        <v>4841.3018709403004</v>
      </c>
      <c r="H45" s="18">
        <v>-6.4122910209163206E-2</v>
      </c>
      <c r="I45" s="17">
        <v>819.57610527636302</v>
      </c>
      <c r="J45" s="18">
        <v>3.0977160179537E-2</v>
      </c>
      <c r="K45" s="17">
        <v>111882.55906669299</v>
      </c>
      <c r="L45" s="18">
        <v>2.2829816217492901E-2</v>
      </c>
      <c r="M45" s="17">
        <v>24729.015655595998</v>
      </c>
      <c r="N45" s="18">
        <v>6.8754108806589304E-2</v>
      </c>
      <c r="O45" s="17">
        <v>90797.992178669199</v>
      </c>
      <c r="P45" s="18">
        <v>6.0130520129417801E-3</v>
      </c>
      <c r="Q45" s="17">
        <v>14034.042362271601</v>
      </c>
      <c r="R45" s="18">
        <v>-1.9252643235483399E-3</v>
      </c>
      <c r="S45" s="17">
        <v>1875.4887437612999</v>
      </c>
      <c r="T45" s="18">
        <v>9.7781968153963103E-2</v>
      </c>
      <c r="U45" s="17">
        <v>32360.075763420798</v>
      </c>
      <c r="V45" s="18">
        <v>1.8686210690600499E-2</v>
      </c>
      <c r="W45" s="17">
        <v>97448.541510076393</v>
      </c>
      <c r="X45" s="18">
        <v>1.22863784480143E-2</v>
      </c>
      <c r="Y45" s="17">
        <v>24641.515200535399</v>
      </c>
      <c r="Z45" s="18">
        <v>2.7373737396250999E-2</v>
      </c>
      <c r="AA45" s="17">
        <v>26040.262780644302</v>
      </c>
      <c r="AB45" s="18">
        <v>-4.3133527166946697E-2</v>
      </c>
      <c r="AC45" s="17">
        <v>13700.2084176518</v>
      </c>
      <c r="AD45" s="18">
        <v>1.7918463850237699E-2</v>
      </c>
      <c r="AE45" s="17">
        <v>27993.7274714083</v>
      </c>
      <c r="AF45" s="18">
        <v>2.4716555296215002E-2</v>
      </c>
      <c r="AG45" s="17">
        <v>54799.682950888302</v>
      </c>
      <c r="AH45" s="18">
        <v>7.0628412750950706E-2</v>
      </c>
      <c r="AI45" s="17">
        <v>27630.804995555802</v>
      </c>
      <c r="AJ45" s="18">
        <v>7.0154712664588906E-2</v>
      </c>
      <c r="AK45" s="17">
        <v>19559.7854333125</v>
      </c>
      <c r="AL45" s="18">
        <v>7.8476123571316295E-2</v>
      </c>
      <c r="AM45" s="17">
        <v>113522.556067959</v>
      </c>
      <c r="AN45" s="18">
        <v>1.1090951561542099E-2</v>
      </c>
      <c r="AO45" s="17">
        <v>43192.844717550302</v>
      </c>
      <c r="AP45" s="18">
        <v>1.3353636934324601E-2</v>
      </c>
      <c r="AQ45" s="17">
        <v>28556.619374865899</v>
      </c>
      <c r="AR45" s="18">
        <v>1.08492824702762E-2</v>
      </c>
      <c r="AS45" s="17">
        <v>42669.836446760797</v>
      </c>
      <c r="AT45" s="18">
        <v>4.9379452299513897E-2</v>
      </c>
      <c r="AU45" s="17">
        <v>4473.6194994441003</v>
      </c>
      <c r="AV45" s="18">
        <v>-0.25511121587754099</v>
      </c>
      <c r="AW45" s="17">
        <v>9311.8190608617206</v>
      </c>
      <c r="AX45" s="18">
        <v>1.5112642637870001E-2</v>
      </c>
      <c r="AY45" s="17">
        <v>2086.9760923467902</v>
      </c>
      <c r="AZ45" s="18">
        <v>-2.15552950126436E-2</v>
      </c>
      <c r="BA45" s="17">
        <v>19552.5135471391</v>
      </c>
      <c r="BB45" s="18">
        <v>5.2346602107924403E-3</v>
      </c>
      <c r="BC45" s="17">
        <v>33461.555586749098</v>
      </c>
      <c r="BD45" s="18">
        <v>2.5462591824720899E-3</v>
      </c>
      <c r="BE45" s="17">
        <v>-13924.8459628889</v>
      </c>
      <c r="BF45" s="18">
        <v>-1.49829970994719E-3</v>
      </c>
      <c r="BG45" s="17"/>
      <c r="BH45" s="18"/>
    </row>
    <row r="46" spans="1:60" x14ac:dyDescent="0.2">
      <c r="A46" s="16">
        <v>2014</v>
      </c>
      <c r="B46" s="16"/>
      <c r="C46" s="17">
        <v>662862.40631210397</v>
      </c>
      <c r="D46" s="18">
        <v>2.54342348024903E-2</v>
      </c>
      <c r="E46" s="17">
        <v>642896.90219879197</v>
      </c>
      <c r="F46" s="18">
        <v>2.5538941363717298E-2</v>
      </c>
      <c r="G46" s="17">
        <v>5368.0304061154502</v>
      </c>
      <c r="H46" s="18">
        <v>0.108798944832755</v>
      </c>
      <c r="I46" s="17">
        <v>764.26259084973196</v>
      </c>
      <c r="J46" s="18">
        <v>-6.7490394205648105E-2</v>
      </c>
      <c r="K46" s="17">
        <v>114307.780097839</v>
      </c>
      <c r="L46" s="18">
        <v>2.16764887340575E-2</v>
      </c>
      <c r="M46" s="17">
        <v>25850.867751852598</v>
      </c>
      <c r="N46" s="18">
        <v>4.5365820940096203E-2</v>
      </c>
      <c r="O46" s="17">
        <v>91950.794852243896</v>
      </c>
      <c r="P46" s="18">
        <v>1.2696345435770501E-2</v>
      </c>
      <c r="Q46" s="17">
        <v>11996.9038007035</v>
      </c>
      <c r="R46" s="18">
        <v>-0.14515693404522101</v>
      </c>
      <c r="S46" s="17">
        <v>2028.0487940059299</v>
      </c>
      <c r="T46" s="18">
        <v>8.1344156690948993E-2</v>
      </c>
      <c r="U46" s="17">
        <v>32884.968388547102</v>
      </c>
      <c r="V46" s="18">
        <v>1.62203768916904E-2</v>
      </c>
      <c r="W46" s="17">
        <v>101465.863417147</v>
      </c>
      <c r="X46" s="18">
        <v>4.1225059347398597E-2</v>
      </c>
      <c r="Y46" s="17">
        <v>25120.3289497029</v>
      </c>
      <c r="Z46" s="18">
        <v>1.94311812918526E-2</v>
      </c>
      <c r="AA46" s="17">
        <v>26803.128980249101</v>
      </c>
      <c r="AB46" s="18">
        <v>2.92956413700955E-2</v>
      </c>
      <c r="AC46" s="17">
        <v>13741.552629075501</v>
      </c>
      <c r="AD46" s="18">
        <v>3.01777974198014E-3</v>
      </c>
      <c r="AE46" s="17">
        <v>28714.128510112401</v>
      </c>
      <c r="AF46" s="18">
        <v>2.57343735106332E-2</v>
      </c>
      <c r="AG46" s="17">
        <v>54756.387385945302</v>
      </c>
      <c r="AH46" s="18">
        <v>-7.90069624704959E-4</v>
      </c>
      <c r="AI46" s="17">
        <v>27570.429969660901</v>
      </c>
      <c r="AJ46" s="18">
        <v>-2.1850621400501002E-3</v>
      </c>
      <c r="AK46" s="17">
        <v>19596.502349393999</v>
      </c>
      <c r="AL46" s="18">
        <v>1.8771635408110199E-3</v>
      </c>
      <c r="AM46" s="17">
        <v>116505.24042325</v>
      </c>
      <c r="AN46" s="18">
        <v>2.62739358467707E-2</v>
      </c>
      <c r="AO46" s="17">
        <v>43840.966149326203</v>
      </c>
      <c r="AP46" s="18">
        <v>1.5005296271041199E-2</v>
      </c>
      <c r="AQ46" s="17">
        <v>29227.989658575902</v>
      </c>
      <c r="AR46" s="18">
        <v>2.3510145752785799E-2</v>
      </c>
      <c r="AS46" s="17">
        <v>44508.823764546003</v>
      </c>
      <c r="AT46" s="18">
        <v>4.3098063431288497E-2</v>
      </c>
      <c r="AU46" s="17">
        <v>7228.1659680538596</v>
      </c>
      <c r="AV46" s="18">
        <v>0.61573105825205998</v>
      </c>
      <c r="AW46" s="17">
        <v>9184.4899966715402</v>
      </c>
      <c r="AX46" s="18">
        <v>-1.3673919494994699E-2</v>
      </c>
      <c r="AY46" s="17">
        <v>2162.7757327456302</v>
      </c>
      <c r="AZ46" s="18">
        <v>3.6320320427630802E-2</v>
      </c>
      <c r="BA46" s="17">
        <v>19988.081640209501</v>
      </c>
      <c r="BB46" s="18">
        <v>2.2276833718607E-2</v>
      </c>
      <c r="BC46" s="17">
        <v>33922.312270136797</v>
      </c>
      <c r="BD46" s="18">
        <v>1.3769732916128199E-2</v>
      </c>
      <c r="BE46" s="17">
        <v>-13937.4396092273</v>
      </c>
      <c r="BF46" s="18">
        <v>9.04401123858811E-4</v>
      </c>
      <c r="BG46" s="17"/>
      <c r="BH46" s="18"/>
    </row>
    <row r="47" spans="1:60" x14ac:dyDescent="0.2">
      <c r="A47" s="16">
        <v>2015</v>
      </c>
      <c r="B47" s="16"/>
      <c r="C47" s="17">
        <v>672503.76154870098</v>
      </c>
      <c r="D47" s="18">
        <v>1.4545032490585599E-2</v>
      </c>
      <c r="E47" s="17">
        <v>652320.46744258702</v>
      </c>
      <c r="F47" s="18">
        <v>1.4657972703811001E-2</v>
      </c>
      <c r="G47" s="17">
        <v>4813.6083943925996</v>
      </c>
      <c r="H47" s="18">
        <v>-0.103282204044752</v>
      </c>
      <c r="I47" s="17">
        <v>624.509209071604</v>
      </c>
      <c r="J47" s="18">
        <v>-0.18286042448151901</v>
      </c>
      <c r="K47" s="17">
        <v>114899.21240331299</v>
      </c>
      <c r="L47" s="18">
        <v>5.17403369191016E-3</v>
      </c>
      <c r="M47" s="17">
        <v>30273.274313353701</v>
      </c>
      <c r="N47" s="18">
        <v>0.17107381477297301</v>
      </c>
      <c r="O47" s="17">
        <v>86596.4835481466</v>
      </c>
      <c r="P47" s="18">
        <v>-5.8230179659688797E-2</v>
      </c>
      <c r="Q47" s="17">
        <v>11417.5699302624</v>
      </c>
      <c r="R47" s="18">
        <v>-4.82902822315813E-2</v>
      </c>
      <c r="S47" s="17">
        <v>2368.352918175</v>
      </c>
      <c r="T47" s="18">
        <v>0.16779878530283199</v>
      </c>
      <c r="U47" s="17">
        <v>32399.107367678</v>
      </c>
      <c r="V47" s="18">
        <v>-1.47745625031018E-2</v>
      </c>
      <c r="W47" s="17">
        <v>109838.326948549</v>
      </c>
      <c r="X47" s="18">
        <v>8.2515076986843905E-2</v>
      </c>
      <c r="Y47" s="17">
        <v>25246.7335824779</v>
      </c>
      <c r="Z47" s="18">
        <v>5.03196566526176E-3</v>
      </c>
      <c r="AA47" s="17">
        <v>25887.3419800622</v>
      </c>
      <c r="AB47" s="18">
        <v>-3.4167167604264498E-2</v>
      </c>
      <c r="AC47" s="17">
        <v>13285.539267619501</v>
      </c>
      <c r="AD47" s="18">
        <v>-3.3184995448849799E-2</v>
      </c>
      <c r="AE47" s="17">
        <v>29028.200362592699</v>
      </c>
      <c r="AF47" s="18">
        <v>1.09378855906999E-2</v>
      </c>
      <c r="AG47" s="17">
        <v>56253.468561079899</v>
      </c>
      <c r="AH47" s="18">
        <v>2.7340758706057899E-2</v>
      </c>
      <c r="AI47" s="17">
        <v>28137.928332436699</v>
      </c>
      <c r="AJ47" s="18">
        <v>2.05835876843516E-2</v>
      </c>
      <c r="AK47" s="17">
        <v>20396.742918384301</v>
      </c>
      <c r="AL47" s="18">
        <v>4.0835887686612803E-2</v>
      </c>
      <c r="AM47" s="17">
        <v>117632.027306897</v>
      </c>
      <c r="AN47" s="18">
        <v>9.6715553699859794E-3</v>
      </c>
      <c r="AO47" s="17">
        <v>44479.1304958931</v>
      </c>
      <c r="AP47" s="18">
        <v>1.4556347695286799E-2</v>
      </c>
      <c r="AQ47" s="17">
        <v>29321.6442348993</v>
      </c>
      <c r="AR47" s="18">
        <v>3.2042770446232302E-3</v>
      </c>
      <c r="AS47" s="17">
        <v>45508.381336904997</v>
      </c>
      <c r="AT47" s="18">
        <v>2.24575148884343E-2</v>
      </c>
      <c r="AU47" s="17">
        <v>3922.7517672094</v>
      </c>
      <c r="AV47" s="18">
        <v>-0.45729638963096803</v>
      </c>
      <c r="AW47" s="17">
        <v>9097.8972468874399</v>
      </c>
      <c r="AX47" s="18">
        <v>-9.4281500459442204E-3</v>
      </c>
      <c r="AY47" s="17">
        <v>2231.13409715744</v>
      </c>
      <c r="AZ47" s="18">
        <v>3.1606774284002701E-2</v>
      </c>
      <c r="BA47" s="17">
        <v>20209.848980566501</v>
      </c>
      <c r="BB47" s="18">
        <v>1.1094978715260599E-2</v>
      </c>
      <c r="BC47" s="17">
        <v>34676.739919284199</v>
      </c>
      <c r="BD47" s="18">
        <v>2.22398651111868E-2</v>
      </c>
      <c r="BE47" s="17">
        <v>-14485.045111062</v>
      </c>
      <c r="BF47" s="18">
        <v>3.9290251092614699E-2</v>
      </c>
      <c r="BG47" s="17"/>
      <c r="BH47" s="18"/>
    </row>
    <row r="48" spans="1:60" x14ac:dyDescent="0.2">
      <c r="A48" s="16">
        <v>2016</v>
      </c>
      <c r="B48" s="16"/>
      <c r="C48" s="17">
        <v>685359.28335051099</v>
      </c>
      <c r="D48" s="18">
        <v>1.91159106265886E-2</v>
      </c>
      <c r="E48" s="17">
        <v>664619.96016126603</v>
      </c>
      <c r="F48" s="18">
        <v>1.8854985137748401E-2</v>
      </c>
      <c r="G48" s="17">
        <v>4914.6688378838498</v>
      </c>
      <c r="H48" s="18">
        <v>2.0994737255522099E-2</v>
      </c>
      <c r="I48" s="17">
        <v>639.69530905867998</v>
      </c>
      <c r="J48" s="18">
        <v>2.4316855166397301E-2</v>
      </c>
      <c r="K48" s="17">
        <v>120184.646780583</v>
      </c>
      <c r="L48" s="18">
        <v>4.6000614510023997E-2</v>
      </c>
      <c r="M48" s="17">
        <v>35240.585287808703</v>
      </c>
      <c r="N48" s="18">
        <v>0.164082382468415</v>
      </c>
      <c r="O48" s="17">
        <v>86087.059445757099</v>
      </c>
      <c r="P48" s="18">
        <v>-5.8827342810773304E-3</v>
      </c>
      <c r="Q48" s="17">
        <v>9467.2383624453305</v>
      </c>
      <c r="R48" s="18">
        <v>-0.17081844733419899</v>
      </c>
      <c r="S48" s="17">
        <v>2425.89624866438</v>
      </c>
      <c r="T48" s="18">
        <v>2.4296771839955201E-2</v>
      </c>
      <c r="U48" s="17">
        <v>32723.208845920599</v>
      </c>
      <c r="V48" s="18">
        <v>1.00034076422084E-2</v>
      </c>
      <c r="W48" s="17">
        <v>111204.540832358</v>
      </c>
      <c r="X48" s="18">
        <v>1.2438407628414999E-2</v>
      </c>
      <c r="Y48" s="17">
        <v>25268.690296737801</v>
      </c>
      <c r="Z48" s="18">
        <v>8.6968534714193502E-4</v>
      </c>
      <c r="AA48" s="17">
        <v>25541.6500086001</v>
      </c>
      <c r="AB48" s="18">
        <v>-1.3353706677509901E-2</v>
      </c>
      <c r="AC48" s="17">
        <v>13283.668205578</v>
      </c>
      <c r="AD48" s="18">
        <v>-1.4083448204926799E-4</v>
      </c>
      <c r="AE48" s="17">
        <v>29869.585715695601</v>
      </c>
      <c r="AF48" s="18">
        <v>2.8985102162487598E-2</v>
      </c>
      <c r="AG48" s="17">
        <v>56241.829000612503</v>
      </c>
      <c r="AH48" s="18">
        <v>-2.0691276049500401E-4</v>
      </c>
      <c r="AI48" s="17">
        <v>27952.944908080601</v>
      </c>
      <c r="AJ48" s="18">
        <v>-6.57416644788489E-3</v>
      </c>
      <c r="AK48" s="17">
        <v>20248.298028356199</v>
      </c>
      <c r="AL48" s="18">
        <v>-7.2778722868690497E-3</v>
      </c>
      <c r="AM48" s="17">
        <v>118404.315292211</v>
      </c>
      <c r="AN48" s="18">
        <v>6.5652867080079301E-3</v>
      </c>
      <c r="AO48" s="17">
        <v>44890.205684635403</v>
      </c>
      <c r="AP48" s="18">
        <v>9.2419789721442901E-3</v>
      </c>
      <c r="AQ48" s="17">
        <v>29342.053674478699</v>
      </c>
      <c r="AR48" s="18">
        <v>6.96053721131351E-4</v>
      </c>
      <c r="AS48" s="17">
        <v>47861.215165763999</v>
      </c>
      <c r="AT48" s="18">
        <v>5.1701109987644503E-2</v>
      </c>
      <c r="AU48" s="17">
        <v>6861.2143354125301</v>
      </c>
      <c r="AV48" s="18">
        <v>0.74908195638734398</v>
      </c>
      <c r="AW48" s="17">
        <v>8999.0265310573996</v>
      </c>
      <c r="AX48" s="18">
        <v>-1.08674249826098E-2</v>
      </c>
      <c r="AY48" s="17">
        <v>2311.84598207304</v>
      </c>
      <c r="AZ48" s="18">
        <v>3.6175272933361799E-2</v>
      </c>
      <c r="BA48" s="17">
        <v>20760.868615594001</v>
      </c>
      <c r="BB48" s="18">
        <v>2.7264906113714901E-2</v>
      </c>
      <c r="BC48" s="17">
        <v>35657.995389429299</v>
      </c>
      <c r="BD48" s="18">
        <v>2.8297223799847799E-2</v>
      </c>
      <c r="BE48" s="17">
        <v>-14916.575205629801</v>
      </c>
      <c r="BF48" s="18">
        <v>2.97914222053925E-2</v>
      </c>
      <c r="BG48" s="17"/>
      <c r="BH48" s="18"/>
    </row>
    <row r="49" spans="1:60" x14ac:dyDescent="0.2">
      <c r="A49" s="16">
        <v>2017</v>
      </c>
      <c r="B49" s="16"/>
      <c r="C49" s="17">
        <v>695093.75738472794</v>
      </c>
      <c r="D49" s="18">
        <v>1.42034612657875E-2</v>
      </c>
      <c r="E49" s="17">
        <v>674013.62661656504</v>
      </c>
      <c r="F49" s="18">
        <v>1.41338915746974E-2</v>
      </c>
      <c r="G49" s="17">
        <v>4837.9993541592903</v>
      </c>
      <c r="H49" s="18">
        <v>-1.5600132227336401E-2</v>
      </c>
      <c r="I49" s="17">
        <v>672.65911688038796</v>
      </c>
      <c r="J49" s="18">
        <v>5.1530482332620801E-2</v>
      </c>
      <c r="K49" s="17">
        <v>126413.511226106</v>
      </c>
      <c r="L49" s="18">
        <v>5.1827455605824899E-2</v>
      </c>
      <c r="M49" s="17">
        <v>38812.4718693584</v>
      </c>
      <c r="N49" s="18">
        <v>0.101357186674917</v>
      </c>
      <c r="O49" s="17">
        <v>88447.886072805195</v>
      </c>
      <c r="P49" s="18">
        <v>2.7423710860232701E-2</v>
      </c>
      <c r="Q49" s="17">
        <v>10336.0064170476</v>
      </c>
      <c r="R49" s="18">
        <v>9.1765731604318598E-2</v>
      </c>
      <c r="S49" s="17">
        <v>2127.1135960125098</v>
      </c>
      <c r="T49" s="18">
        <v>-0.123163821542812</v>
      </c>
      <c r="U49" s="17">
        <v>32943.937568198802</v>
      </c>
      <c r="V49" s="18">
        <v>6.7453263314574104E-3</v>
      </c>
      <c r="W49" s="17">
        <v>109415.072676241</v>
      </c>
      <c r="X49" s="18">
        <v>-1.60916824324208E-2</v>
      </c>
      <c r="Y49" s="17">
        <v>25013.332853980599</v>
      </c>
      <c r="Z49" s="18">
        <v>-1.01056857224652E-2</v>
      </c>
      <c r="AA49" s="17">
        <v>25920.103485856602</v>
      </c>
      <c r="AB49" s="18">
        <v>1.48171115463993E-2</v>
      </c>
      <c r="AC49" s="17">
        <v>13596.658405564</v>
      </c>
      <c r="AD49" s="18">
        <v>2.3562030844354299E-2</v>
      </c>
      <c r="AE49" s="17">
        <v>30403.183867524502</v>
      </c>
      <c r="AF49" s="18">
        <v>1.78642635658821E-2</v>
      </c>
      <c r="AG49" s="17">
        <v>55257.241940231797</v>
      </c>
      <c r="AH49" s="18">
        <v>-1.7506312968057599E-2</v>
      </c>
      <c r="AI49" s="17">
        <v>26122.0940123402</v>
      </c>
      <c r="AJ49" s="18">
        <v>-6.5497603267236901E-2</v>
      </c>
      <c r="AK49" s="17">
        <v>19880.430236046599</v>
      </c>
      <c r="AL49" s="18">
        <v>-1.8167837701441699E-2</v>
      </c>
      <c r="AM49" s="17">
        <v>121051.80251446601</v>
      </c>
      <c r="AN49" s="18">
        <v>2.2359719033223199E-2</v>
      </c>
      <c r="AO49" s="17">
        <v>45853.286654180898</v>
      </c>
      <c r="AP49" s="18">
        <v>2.14541447261654E-2</v>
      </c>
      <c r="AQ49" s="17">
        <v>29454.1831162286</v>
      </c>
      <c r="AR49" s="18">
        <v>3.8214585452620601E-3</v>
      </c>
      <c r="AS49" s="17">
        <v>49774.364316108498</v>
      </c>
      <c r="AT49" s="18">
        <v>3.9972849492401E-2</v>
      </c>
      <c r="AU49" s="17">
        <v>4905.9926794974599</v>
      </c>
      <c r="AV49" s="18">
        <v>-0.28496729009377503</v>
      </c>
      <c r="AW49" s="17">
        <v>9082.9310684751108</v>
      </c>
      <c r="AX49" s="18">
        <v>9.3237348648922396E-3</v>
      </c>
      <c r="AY49" s="17">
        <v>2371.0453629610502</v>
      </c>
      <c r="AZ49" s="18">
        <v>2.5606974403599998E-2</v>
      </c>
      <c r="BA49" s="17">
        <v>21103.016635626202</v>
      </c>
      <c r="BB49" s="18">
        <v>1.64804289438647E-2</v>
      </c>
      <c r="BC49" s="17">
        <v>36436.698079713999</v>
      </c>
      <c r="BD49" s="18">
        <v>2.1838094984877099E-2</v>
      </c>
      <c r="BE49" s="17">
        <v>-15351.637327009999</v>
      </c>
      <c r="BF49" s="18">
        <v>2.9166354567501399E-2</v>
      </c>
      <c r="BG49" s="17"/>
      <c r="BH49" s="18"/>
    </row>
    <row r="50" spans="1:60" x14ac:dyDescent="0.2">
      <c r="A50" s="16">
        <v>2018</v>
      </c>
      <c r="B50" s="16"/>
      <c r="C50" s="17">
        <v>718222.53303125699</v>
      </c>
      <c r="D50" s="18">
        <v>3.3274325083209003E-2</v>
      </c>
      <c r="E50" s="17">
        <v>697736.36049886001</v>
      </c>
      <c r="F50" s="18">
        <v>3.5196222962699898E-2</v>
      </c>
      <c r="G50" s="17">
        <v>5138.8029722688498</v>
      </c>
      <c r="H50" s="18">
        <v>6.2175208405298901E-2</v>
      </c>
      <c r="I50" s="17">
        <v>782.17698111090897</v>
      </c>
      <c r="J50" s="18">
        <v>0.16281332027199</v>
      </c>
      <c r="K50" s="17">
        <v>133171.21815354199</v>
      </c>
      <c r="L50" s="18">
        <v>5.3457157086235697E-2</v>
      </c>
      <c r="M50" s="17">
        <v>43141.634493835598</v>
      </c>
      <c r="N50" s="18">
        <v>0.11154050272935399</v>
      </c>
      <c r="O50" s="17">
        <v>90564.901542845197</v>
      </c>
      <c r="P50" s="18">
        <v>2.3935173174149098E-2</v>
      </c>
      <c r="Q50" s="17">
        <v>11901.3067700255</v>
      </c>
      <c r="R50" s="18">
        <v>0.15144150359622299</v>
      </c>
      <c r="S50" s="17">
        <v>2233.04361277817</v>
      </c>
      <c r="T50" s="18">
        <v>4.97998870226024E-2</v>
      </c>
      <c r="U50" s="17">
        <v>34124.7261715895</v>
      </c>
      <c r="V50" s="18">
        <v>3.58423640448675E-2</v>
      </c>
      <c r="W50" s="17">
        <v>107845.141842346</v>
      </c>
      <c r="X50" s="18">
        <v>-1.4348396390871E-2</v>
      </c>
      <c r="Y50" s="17">
        <v>24753.960360476402</v>
      </c>
      <c r="Z50" s="18">
        <v>-1.0369369608533499E-2</v>
      </c>
      <c r="AA50" s="17">
        <v>26927.766086652598</v>
      </c>
      <c r="AB50" s="18">
        <v>3.8875716732607001E-2</v>
      </c>
      <c r="AC50" s="17">
        <v>14187.850124779199</v>
      </c>
      <c r="AD50" s="18">
        <v>4.3480662790886603E-2</v>
      </c>
      <c r="AE50" s="17">
        <v>31885.897893723799</v>
      </c>
      <c r="AF50" s="18">
        <v>4.8768380070323802E-2</v>
      </c>
      <c r="AG50" s="17">
        <v>57227.572602703804</v>
      </c>
      <c r="AH50" s="18">
        <v>3.5657419612132202E-2</v>
      </c>
      <c r="AI50" s="17">
        <v>26042.008559668098</v>
      </c>
      <c r="AJ50" s="18">
        <v>-3.0658128951810402E-3</v>
      </c>
      <c r="AK50" s="17">
        <v>20496.6770953755</v>
      </c>
      <c r="AL50" s="18">
        <v>3.0997662123606301E-2</v>
      </c>
      <c r="AM50" s="17">
        <v>126600.166392738</v>
      </c>
      <c r="AN50" s="18">
        <v>4.58346242106469E-2</v>
      </c>
      <c r="AO50" s="17">
        <v>46349.561300798799</v>
      </c>
      <c r="AP50" s="18">
        <v>1.08230986877937E-2</v>
      </c>
      <c r="AQ50" s="17">
        <v>29706.001690150701</v>
      </c>
      <c r="AR50" s="18">
        <v>8.5495012008445209E-3</v>
      </c>
      <c r="AS50" s="17">
        <v>51284.348451187601</v>
      </c>
      <c r="AT50" s="18">
        <v>3.0336583014691099E-2</v>
      </c>
      <c r="AU50" s="17">
        <v>7320.200703728</v>
      </c>
      <c r="AV50" s="18">
        <v>0.49209368662935699</v>
      </c>
      <c r="AW50" s="17">
        <v>9353.7664676350796</v>
      </c>
      <c r="AX50" s="18">
        <v>2.9818061715780199E-2</v>
      </c>
      <c r="AY50" s="17">
        <v>2428.4486790496098</v>
      </c>
      <c r="AZ50" s="18">
        <v>2.4210129837782798E-2</v>
      </c>
      <c r="BA50" s="17">
        <v>20508.709416591701</v>
      </c>
      <c r="BB50" s="18">
        <v>-2.8162192604786002E-2</v>
      </c>
      <c r="BC50" s="17">
        <v>36190.152488013402</v>
      </c>
      <c r="BD50" s="18">
        <v>-6.7664087223604499E-3</v>
      </c>
      <c r="BE50" s="17">
        <v>-15700.8021569226</v>
      </c>
      <c r="BF50" s="18">
        <v>2.2744468389588501E-2</v>
      </c>
      <c r="BG50" s="17"/>
      <c r="BH50" s="18"/>
    </row>
    <row r="51" spans="1:60" x14ac:dyDescent="0.2">
      <c r="A51" s="16">
        <v>2019</v>
      </c>
      <c r="B51" s="16"/>
      <c r="C51" s="17">
        <v>726233.02622593602</v>
      </c>
      <c r="D51" s="18">
        <v>1.11532189903196E-2</v>
      </c>
      <c r="E51" s="17">
        <v>705929.34740076598</v>
      </c>
      <c r="F51" s="18">
        <v>1.1742238710404701E-2</v>
      </c>
      <c r="G51" s="17">
        <v>4999.7867230737602</v>
      </c>
      <c r="H51" s="18">
        <v>-2.7052262938523901E-2</v>
      </c>
      <c r="I51" s="17">
        <v>770.01429746685096</v>
      </c>
      <c r="J51" s="18">
        <v>-1.55497846878384E-2</v>
      </c>
      <c r="K51" s="17">
        <v>140026.73089042</v>
      </c>
      <c r="L51" s="18">
        <v>5.1478936904917297E-2</v>
      </c>
      <c r="M51" s="17">
        <v>47115.946927868099</v>
      </c>
      <c r="N51" s="18">
        <v>9.2122435337965297E-2</v>
      </c>
      <c r="O51" s="17">
        <v>93228.954361811804</v>
      </c>
      <c r="P51" s="18">
        <v>2.9415952246204299E-2</v>
      </c>
      <c r="Q51" s="17">
        <v>12501.8079935145</v>
      </c>
      <c r="R51" s="18">
        <v>5.0456746901224002E-2</v>
      </c>
      <c r="S51" s="17">
        <v>2166.8423344401599</v>
      </c>
      <c r="T51" s="18">
        <v>-2.9646209307863498E-2</v>
      </c>
      <c r="U51" s="17">
        <v>34323.266184643297</v>
      </c>
      <c r="V51" s="18">
        <v>5.8180690463418604E-3</v>
      </c>
      <c r="W51" s="17">
        <v>104369.167829342</v>
      </c>
      <c r="X51" s="18">
        <v>-3.2231159917113603E-2</v>
      </c>
      <c r="Y51" s="17">
        <v>24983.1475511848</v>
      </c>
      <c r="Z51" s="18">
        <v>9.2586070015001597E-3</v>
      </c>
      <c r="AA51" s="17">
        <v>28009.370661062101</v>
      </c>
      <c r="AB51" s="18">
        <v>4.0166888368272001E-2</v>
      </c>
      <c r="AC51" s="17">
        <v>14411.685342741799</v>
      </c>
      <c r="AD51" s="18">
        <v>1.5776542322763199E-2</v>
      </c>
      <c r="AE51" s="17">
        <v>32250.701807055098</v>
      </c>
      <c r="AF51" s="18">
        <v>1.14409170645635E-2</v>
      </c>
      <c r="AG51" s="17">
        <v>57606.598804669396</v>
      </c>
      <c r="AH51" s="18">
        <v>6.6231395938625096E-3</v>
      </c>
      <c r="AI51" s="17">
        <v>26298.565785338898</v>
      </c>
      <c r="AJ51" s="18">
        <v>9.8516681262497095E-3</v>
      </c>
      <c r="AK51" s="17">
        <v>20546.883433211999</v>
      </c>
      <c r="AL51" s="18">
        <v>2.4494866949835701E-3</v>
      </c>
      <c r="AM51" s="17">
        <v>128585.19424328</v>
      </c>
      <c r="AN51" s="18">
        <v>1.5679504277933201E-2</v>
      </c>
      <c r="AO51" s="17">
        <v>47093.445459530201</v>
      </c>
      <c r="AP51" s="18">
        <v>1.6049432569679601E-2</v>
      </c>
      <c r="AQ51" s="17">
        <v>29597.5987812249</v>
      </c>
      <c r="AR51" s="18">
        <v>-3.6491921752555001E-3</v>
      </c>
      <c r="AS51" s="17">
        <v>52909.129080670398</v>
      </c>
      <c r="AT51" s="18">
        <v>3.1681803094939703E-2</v>
      </c>
      <c r="AU51" s="17">
        <v>5204.4925335733396</v>
      </c>
      <c r="AV51" s="18">
        <v>-0.28902324619011899</v>
      </c>
      <c r="AW51" s="17">
        <v>9541.7600885059292</v>
      </c>
      <c r="AX51" s="18">
        <v>2.00981734493078E-2</v>
      </c>
      <c r="AY51" s="17">
        <v>2494.9357082056699</v>
      </c>
      <c r="AZ51" s="18">
        <v>2.7378395816904901E-2</v>
      </c>
      <c r="BA51" s="17">
        <v>20322.795702101401</v>
      </c>
      <c r="BB51" s="18">
        <v>-9.0651103740269096E-3</v>
      </c>
      <c r="BC51" s="17">
        <v>36246.742297550001</v>
      </c>
      <c r="BD51" s="18">
        <v>1.5636797760198999E-3</v>
      </c>
      <c r="BE51" s="17">
        <v>-15943.3067450217</v>
      </c>
      <c r="BF51" s="18">
        <v>1.54453629614186E-2</v>
      </c>
      <c r="BG51" s="17"/>
      <c r="BH51" s="18"/>
    </row>
    <row r="52" spans="1:60" x14ac:dyDescent="0.2">
      <c r="A52" s="16">
        <v>2020</v>
      </c>
      <c r="B52" s="16"/>
      <c r="C52" s="17">
        <v>709854.59789991495</v>
      </c>
      <c r="D52" s="18">
        <v>-2.2552579867011199E-2</v>
      </c>
      <c r="E52" s="17">
        <v>690804.28147462499</v>
      </c>
      <c r="F52" s="18">
        <v>-2.1425750298995402E-2</v>
      </c>
      <c r="G52" s="17">
        <v>4944.5252868737698</v>
      </c>
      <c r="H52" s="18">
        <v>-1.1052758699679E-2</v>
      </c>
      <c r="I52" s="17">
        <v>755.68031664015496</v>
      </c>
      <c r="J52" s="18">
        <v>-1.8615213865314999E-2</v>
      </c>
      <c r="K52" s="17">
        <v>135203.278237964</v>
      </c>
      <c r="L52" s="18">
        <v>-3.4446656161884602E-2</v>
      </c>
      <c r="M52" s="17">
        <v>49965.097578772897</v>
      </c>
      <c r="N52" s="18">
        <v>6.0471047207578003E-2</v>
      </c>
      <c r="O52" s="17">
        <v>85238.180659191596</v>
      </c>
      <c r="P52" s="18">
        <v>-8.5711287414088594E-2</v>
      </c>
      <c r="Q52" s="17">
        <v>11458.7859538546</v>
      </c>
      <c r="R52" s="18">
        <v>-8.3429695944856899E-2</v>
      </c>
      <c r="S52" s="17">
        <v>2311.7299312289201</v>
      </c>
      <c r="T52" s="18">
        <v>6.6865777212254507E-2</v>
      </c>
      <c r="U52" s="17">
        <v>33570.645279685501</v>
      </c>
      <c r="V52" s="18">
        <v>-2.1927426746309198E-2</v>
      </c>
      <c r="W52" s="17">
        <v>105687.23757237601</v>
      </c>
      <c r="X52" s="18">
        <v>1.26289187740714E-2</v>
      </c>
      <c r="Y52" s="17">
        <v>24632.999689076802</v>
      </c>
      <c r="Z52" s="18">
        <v>-1.40153622112916E-2</v>
      </c>
      <c r="AA52" s="17">
        <v>23308.349739566202</v>
      </c>
      <c r="AB52" s="18">
        <v>-0.16783743477789601</v>
      </c>
      <c r="AC52" s="17">
        <v>8467.9154365613995</v>
      </c>
      <c r="AD52" s="18">
        <v>-0.41242712179903901</v>
      </c>
      <c r="AE52" s="17">
        <v>32983.408938203502</v>
      </c>
      <c r="AF52" s="18">
        <v>2.2719106564935299E-2</v>
      </c>
      <c r="AG52" s="17">
        <v>60531.838050038699</v>
      </c>
      <c r="AH52" s="18">
        <v>5.0779586124987598E-2</v>
      </c>
      <c r="AI52" s="17">
        <v>28301.092178281498</v>
      </c>
      <c r="AJ52" s="18">
        <v>7.61458403963238E-2</v>
      </c>
      <c r="AK52" s="17">
        <v>20845.3131841297</v>
      </c>
      <c r="AL52" s="18">
        <v>1.4524331725916301E-2</v>
      </c>
      <c r="AM52" s="17">
        <v>127278.363441988</v>
      </c>
      <c r="AN52" s="18">
        <v>-1.0163151434212E-2</v>
      </c>
      <c r="AO52" s="17">
        <v>48217.793833028198</v>
      </c>
      <c r="AP52" s="18">
        <v>2.3874837836280499E-2</v>
      </c>
      <c r="AQ52" s="17">
        <v>29718.562960150401</v>
      </c>
      <c r="AR52" s="18">
        <v>4.0869592097545499E-3</v>
      </c>
      <c r="AS52" s="17">
        <v>52087.9313611791</v>
      </c>
      <c r="AT52" s="18">
        <v>-1.55209078992631E-2</v>
      </c>
      <c r="AU52" s="17">
        <v>3524.90244897194</v>
      </c>
      <c r="AV52" s="18">
        <v>-0.32271928026923602</v>
      </c>
      <c r="AW52" s="17">
        <v>8643.1562202966197</v>
      </c>
      <c r="AX52" s="18">
        <v>-9.4175902545670903E-2</v>
      </c>
      <c r="AY52" s="17">
        <v>2110.1764660172498</v>
      </c>
      <c r="AZ52" s="18">
        <v>-0.154216094997147</v>
      </c>
      <c r="BA52" s="17">
        <v>19050.316425289999</v>
      </c>
      <c r="BB52" s="18">
        <v>-6.2613397067209406E-2</v>
      </c>
      <c r="BC52" s="17">
        <v>35548.43695227</v>
      </c>
      <c r="BD52" s="18">
        <v>-1.9265327061603901E-2</v>
      </c>
      <c r="BE52" s="17">
        <v>-16498.120526980001</v>
      </c>
      <c r="BF52" s="18">
        <v>3.47991662477138E-2</v>
      </c>
      <c r="BG52" s="17"/>
      <c r="BH52" s="18"/>
    </row>
    <row r="53" spans="1:60" x14ac:dyDescent="0.2">
      <c r="A53" s="16">
        <v>2021</v>
      </c>
      <c r="B53" s="16"/>
      <c r="C53" s="17">
        <v>753696.83907210804</v>
      </c>
      <c r="D53" s="18">
        <v>6.1762283856298297E-2</v>
      </c>
      <c r="E53" s="17">
        <v>733635.31346468604</v>
      </c>
      <c r="F53" s="18">
        <v>6.20016886673493E-2</v>
      </c>
      <c r="G53" s="17">
        <v>4638.4499880715102</v>
      </c>
      <c r="H53" s="18">
        <v>-6.1901857315766702E-2</v>
      </c>
      <c r="I53" s="17">
        <v>733.23286769289098</v>
      </c>
      <c r="J53" s="18">
        <v>-2.9704953871325199E-2</v>
      </c>
      <c r="K53" s="17">
        <v>164517.255073529</v>
      </c>
      <c r="L53" s="18">
        <v>0.21681409813134001</v>
      </c>
      <c r="M53" s="17">
        <v>65624.572561280394</v>
      </c>
      <c r="N53" s="18">
        <v>0.31340827380191599</v>
      </c>
      <c r="O53" s="17">
        <v>98892.682512248895</v>
      </c>
      <c r="P53" s="18">
        <v>0.160192319304095</v>
      </c>
      <c r="Q53" s="17">
        <v>9577.7080052238798</v>
      </c>
      <c r="R53" s="18">
        <v>-0.16416031822271299</v>
      </c>
      <c r="S53" s="17">
        <v>2190.75546549199</v>
      </c>
      <c r="T53" s="18">
        <v>-5.23307087487596E-2</v>
      </c>
      <c r="U53" s="17">
        <v>34456.584598901201</v>
      </c>
      <c r="V53" s="18">
        <v>2.6390297589896E-2</v>
      </c>
      <c r="W53" s="17">
        <v>96960.995429311704</v>
      </c>
      <c r="X53" s="18">
        <v>-8.2566659357411407E-2</v>
      </c>
      <c r="Y53" s="17">
        <v>25737.1241432965</v>
      </c>
      <c r="Z53" s="18">
        <v>4.4822980073731401E-2</v>
      </c>
      <c r="AA53" s="17">
        <v>25099.932650379498</v>
      </c>
      <c r="AB53" s="18">
        <v>7.68644254454494E-2</v>
      </c>
      <c r="AC53" s="17">
        <v>8279.6082279632592</v>
      </c>
      <c r="AD53" s="18">
        <v>-2.2237728991138999E-2</v>
      </c>
      <c r="AE53" s="17">
        <v>34784.836672998099</v>
      </c>
      <c r="AF53" s="18">
        <v>5.4616178035742598E-2</v>
      </c>
      <c r="AG53" s="17">
        <v>64559.9591446677</v>
      </c>
      <c r="AH53" s="18">
        <v>6.6545494476793601E-2</v>
      </c>
      <c r="AI53" s="17">
        <v>32237.147762661501</v>
      </c>
      <c r="AJ53" s="18">
        <v>0.13907786878276501</v>
      </c>
      <c r="AK53" s="17">
        <v>19328.152445741602</v>
      </c>
      <c r="AL53" s="18">
        <v>-7.2781863481099801E-2</v>
      </c>
      <c r="AM53" s="17">
        <v>135526.444041768</v>
      </c>
      <c r="AN53" s="18">
        <v>6.4803477800367701E-2</v>
      </c>
      <c r="AO53" s="17">
        <v>48760.880739469801</v>
      </c>
      <c r="AP53" s="18">
        <v>1.12632052043327E-2</v>
      </c>
      <c r="AQ53" s="17">
        <v>29808.5481633331</v>
      </c>
      <c r="AR53" s="18">
        <v>3.0279123288499102E-3</v>
      </c>
      <c r="AS53" s="17">
        <v>55583.135765522602</v>
      </c>
      <c r="AT53" s="18">
        <v>6.7102000655538993E-2</v>
      </c>
      <c r="AU53" s="17">
        <v>6290.97656639876</v>
      </c>
      <c r="AV53" s="18">
        <v>0.78472359376457701</v>
      </c>
      <c r="AW53" s="17">
        <v>9615.7034642101207</v>
      </c>
      <c r="AX53" s="18">
        <v>0.112522233675434</v>
      </c>
      <c r="AY53" s="17">
        <v>2250.30659975247</v>
      </c>
      <c r="AZ53" s="18">
        <v>6.6406831841747199E-2</v>
      </c>
      <c r="BA53" s="17">
        <v>20061.525607421499</v>
      </c>
      <c r="BB53" s="18">
        <v>5.3080965142871403E-2</v>
      </c>
      <c r="BC53" s="17">
        <v>36759.108387965804</v>
      </c>
      <c r="BD53" s="18">
        <v>3.4056952695876302E-2</v>
      </c>
      <c r="BE53" s="17">
        <v>-16697.5827805443</v>
      </c>
      <c r="BF53" s="18">
        <v>1.20899985691163E-2</v>
      </c>
      <c r="BG53" s="17"/>
      <c r="BH53" s="18"/>
    </row>
    <row r="54" spans="1:60" x14ac:dyDescent="0.2">
      <c r="A54" s="16">
        <v>2022</v>
      </c>
      <c r="B54" s="16"/>
      <c r="C54" s="17">
        <v>780334.76842328196</v>
      </c>
      <c r="D54" s="18">
        <v>3.5343029146797503E-2</v>
      </c>
      <c r="E54" s="17">
        <v>759529.151045779</v>
      </c>
      <c r="F54" s="18">
        <v>3.5295244252632599E-2</v>
      </c>
      <c r="G54" s="17">
        <v>5156.4551457515599</v>
      </c>
      <c r="H54" s="18">
        <v>0.111676348567341</v>
      </c>
      <c r="I54" s="17">
        <v>646.51679126513204</v>
      </c>
      <c r="J54" s="18">
        <v>-0.118265397322695</v>
      </c>
      <c r="K54" s="17">
        <v>174606.391177788</v>
      </c>
      <c r="L54" s="18">
        <v>6.13257016703148E-2</v>
      </c>
      <c r="M54" s="17">
        <v>69555.469188089497</v>
      </c>
      <c r="N54" s="18">
        <v>5.9899767318688499E-2</v>
      </c>
      <c r="O54" s="17">
        <v>105048.68597646699</v>
      </c>
      <c r="P54" s="18">
        <v>6.22493323856914E-2</v>
      </c>
      <c r="Q54" s="17">
        <v>11276.0465403913</v>
      </c>
      <c r="R54" s="18">
        <v>0.17732202049186599</v>
      </c>
      <c r="S54" s="17">
        <v>2357.8364098966899</v>
      </c>
      <c r="T54" s="18">
        <v>7.6266359726817806E-2</v>
      </c>
      <c r="U54" s="17">
        <v>32946.331584249499</v>
      </c>
      <c r="V54" s="18">
        <v>-4.3830606899440003E-2</v>
      </c>
      <c r="W54" s="17">
        <v>89939.648574536506</v>
      </c>
      <c r="X54" s="18">
        <v>-7.2414137496083303E-2</v>
      </c>
      <c r="Y54" s="17">
        <v>25682.518234352399</v>
      </c>
      <c r="Z54" s="18">
        <v>-2.1216787330257101E-3</v>
      </c>
      <c r="AA54" s="17">
        <v>27675.7931012677</v>
      </c>
      <c r="AB54" s="18">
        <v>0.10262419771270501</v>
      </c>
      <c r="AC54" s="17">
        <v>13397.931891807501</v>
      </c>
      <c r="AD54" s="18">
        <v>0.61818428154097804</v>
      </c>
      <c r="AE54" s="17">
        <v>37208.401024802399</v>
      </c>
      <c r="AF54" s="18">
        <v>6.9673012254951802E-2</v>
      </c>
      <c r="AG54" s="17">
        <v>67540.3908688675</v>
      </c>
      <c r="AH54" s="18">
        <v>4.6165328536239801E-2</v>
      </c>
      <c r="AI54" s="17">
        <v>30769.398265355499</v>
      </c>
      <c r="AJ54" s="18">
        <v>-4.5529756792132101E-2</v>
      </c>
      <c r="AK54" s="17">
        <v>22543.5682906933</v>
      </c>
      <c r="AL54" s="18">
        <v>0.166359193098155</v>
      </c>
      <c r="AM54" s="17">
        <v>139618.30083863999</v>
      </c>
      <c r="AN54" s="18">
        <v>3.0192312841993599E-2</v>
      </c>
      <c r="AO54" s="17">
        <v>49442.276729078701</v>
      </c>
      <c r="AP54" s="18">
        <v>1.39742346585086E-2</v>
      </c>
      <c r="AQ54" s="17">
        <v>30500.961327303699</v>
      </c>
      <c r="AR54" s="18">
        <v>2.3228677900600299E-2</v>
      </c>
      <c r="AS54" s="17">
        <v>58209.192256967501</v>
      </c>
      <c r="AT54" s="18">
        <v>4.7245562080608497E-2</v>
      </c>
      <c r="AU54" s="17">
        <v>8967.8612913234792</v>
      </c>
      <c r="AV54" s="18">
        <v>0.42551179402295802</v>
      </c>
      <c r="AW54" s="17">
        <v>10203.3962805846</v>
      </c>
      <c r="AX54" s="18">
        <v>6.1118026212210401E-2</v>
      </c>
      <c r="AY54" s="17">
        <v>2411.7535383620898</v>
      </c>
      <c r="AZ54" s="18">
        <v>7.1744418572731006E-2</v>
      </c>
      <c r="BA54" s="17">
        <v>20804.4755018908</v>
      </c>
      <c r="BB54" s="18">
        <v>3.7033569081827797E-2</v>
      </c>
      <c r="BC54" s="17">
        <v>37997.455795381997</v>
      </c>
      <c r="BD54" s="18">
        <v>3.3688178569140699E-2</v>
      </c>
      <c r="BE54" s="17">
        <v>-17189.4904623039</v>
      </c>
      <c r="BF54" s="18">
        <v>2.9459813927843699E-2</v>
      </c>
      <c r="BG54" s="17"/>
      <c r="BH54" s="18"/>
    </row>
    <row r="55" spans="1:60" x14ac:dyDescent="0.2">
      <c r="A55" s="16">
        <v>2023</v>
      </c>
      <c r="B55" s="16"/>
      <c r="C55" s="17">
        <v>786776.90694842604</v>
      </c>
      <c r="D55" s="18">
        <v>8.2556087282392703E-3</v>
      </c>
      <c r="E55" s="17">
        <v>766489.79258642299</v>
      </c>
      <c r="F55" s="18">
        <v>9.1644165744793095E-3</v>
      </c>
      <c r="G55" s="17">
        <v>5182.4521582874604</v>
      </c>
      <c r="H55" s="18">
        <v>5.0416442693814699E-3</v>
      </c>
      <c r="I55" s="17">
        <v>646.01560427852405</v>
      </c>
      <c r="J55" s="18">
        <v>-7.7521109022893298E-4</v>
      </c>
      <c r="K55" s="17">
        <v>171653.59789192799</v>
      </c>
      <c r="L55" s="18">
        <v>-1.6911140914955301E-2</v>
      </c>
      <c r="M55" s="17">
        <v>71439.776304905798</v>
      </c>
      <c r="N55" s="18">
        <v>2.7090711036982001E-2</v>
      </c>
      <c r="O55" s="17">
        <v>100447.978197173</v>
      </c>
      <c r="P55" s="18">
        <v>-4.3795957431819597E-2</v>
      </c>
      <c r="Q55" s="17">
        <v>10039.2930825977</v>
      </c>
      <c r="R55" s="18">
        <v>-0.109679704971374</v>
      </c>
      <c r="S55" s="17">
        <v>2680.66401128486</v>
      </c>
      <c r="T55" s="18">
        <v>0.13691687855575699</v>
      </c>
      <c r="U55" s="17">
        <v>32537.806598942901</v>
      </c>
      <c r="V55" s="18">
        <v>-1.2399710852843899E-2</v>
      </c>
      <c r="W55" s="17">
        <v>93528.326401718907</v>
      </c>
      <c r="X55" s="18">
        <v>3.9900954518500099E-2</v>
      </c>
      <c r="Y55" s="17">
        <v>25332.575666791301</v>
      </c>
      <c r="Z55" s="18">
        <v>-1.3625710857788E-2</v>
      </c>
      <c r="AA55" s="17">
        <v>28933.415641753902</v>
      </c>
      <c r="AB55" s="18">
        <v>4.5441246647727397E-2</v>
      </c>
      <c r="AC55" s="17">
        <v>14388.3923903495</v>
      </c>
      <c r="AD55" s="18">
        <v>7.3926372110283897E-2</v>
      </c>
      <c r="AE55" s="17">
        <v>39251.709790831002</v>
      </c>
      <c r="AF55" s="18">
        <v>5.49152532694583E-2</v>
      </c>
      <c r="AG55" s="17">
        <v>66131.769675544507</v>
      </c>
      <c r="AH55" s="18">
        <v>-2.0855982253018102E-2</v>
      </c>
      <c r="AI55" s="17">
        <v>27305.562014708001</v>
      </c>
      <c r="AJ55" s="18">
        <v>-0.112574065335153</v>
      </c>
      <c r="AK55" s="17">
        <v>24094.9943342593</v>
      </c>
      <c r="AL55" s="18">
        <v>6.8819009642163906E-2</v>
      </c>
      <c r="AM55" s="17">
        <v>142364.23756897001</v>
      </c>
      <c r="AN55" s="18">
        <v>1.9667455583086701E-2</v>
      </c>
      <c r="AO55" s="17">
        <v>49454.692525124003</v>
      </c>
      <c r="AP55" s="18">
        <v>2.5111699676227901E-4</v>
      </c>
      <c r="AQ55" s="17">
        <v>31469.6334444477</v>
      </c>
      <c r="AR55" s="18">
        <v>3.17587405442461E-2</v>
      </c>
      <c r="AS55" s="17">
        <v>59645.6164652027</v>
      </c>
      <c r="AT55" s="18">
        <v>2.4676930782582301E-2</v>
      </c>
      <c r="AU55" s="17">
        <v>6420.1188995654602</v>
      </c>
      <c r="AV55" s="18">
        <v>-0.28409698912526699</v>
      </c>
      <c r="AW55" s="17">
        <v>10453.048181468999</v>
      </c>
      <c r="AX55" s="18">
        <v>2.4467529636136701E-2</v>
      </c>
      <c r="AY55" s="17">
        <v>2515.35665106544</v>
      </c>
      <c r="AZ55" s="18">
        <v>4.2957587106396702E-2</v>
      </c>
      <c r="BA55" s="17">
        <v>20278.1508810749</v>
      </c>
      <c r="BB55" s="18">
        <v>-2.5298624844834399E-2</v>
      </c>
      <c r="BC55" s="17">
        <v>37933.921888302</v>
      </c>
      <c r="BD55" s="18">
        <v>-1.6720568719685901E-3</v>
      </c>
      <c r="BE55" s="17">
        <v>-17668.068831426601</v>
      </c>
      <c r="BF55" s="18">
        <v>2.7841335388748601E-2</v>
      </c>
      <c r="BG55" s="17"/>
      <c r="BH55" s="18"/>
    </row>
    <row r="56" spans="1:60" x14ac:dyDescent="0.2">
      <c r="A56" s="16">
        <v>2024</v>
      </c>
      <c r="B56" s="16"/>
      <c r="C56" s="17">
        <v>797715.73105106899</v>
      </c>
      <c r="D56" s="18">
        <v>1.3903336518950499E-2</v>
      </c>
      <c r="E56" s="17">
        <v>777749.01219146897</v>
      </c>
      <c r="F56" s="18">
        <v>1.4689327521314501E-2</v>
      </c>
      <c r="G56" s="17">
        <v>5071.8511744583502</v>
      </c>
      <c r="H56" s="18">
        <v>-2.1341438464076701E-2</v>
      </c>
      <c r="I56" s="17">
        <v>660.24277775562302</v>
      </c>
      <c r="J56" s="18">
        <v>2.2022956385066499E-2</v>
      </c>
      <c r="K56" s="17">
        <v>173278.913684589</v>
      </c>
      <c r="L56" s="18">
        <v>9.4685798178513192E-3</v>
      </c>
      <c r="M56" s="17">
        <v>81004.982072782601</v>
      </c>
      <c r="N56" s="18">
        <v>0.13389187736328401</v>
      </c>
      <c r="O56" s="17">
        <v>94266.012718045706</v>
      </c>
      <c r="P56" s="18">
        <v>-6.1543951307731902E-2</v>
      </c>
      <c r="Q56" s="17">
        <v>8020.1562049494596</v>
      </c>
      <c r="R56" s="18">
        <v>-0.20112341188128599</v>
      </c>
      <c r="S56" s="17">
        <v>2686.1503256309302</v>
      </c>
      <c r="T56" s="18">
        <v>2.0466251357746899E-3</v>
      </c>
      <c r="U56" s="17">
        <v>32639.912039790401</v>
      </c>
      <c r="V56" s="18">
        <v>3.1380554352051799E-3</v>
      </c>
      <c r="W56" s="17">
        <v>92842.055773320506</v>
      </c>
      <c r="X56" s="18">
        <v>-7.3375698550493E-3</v>
      </c>
      <c r="Y56" s="17">
        <v>26262.921059214201</v>
      </c>
      <c r="Z56" s="18">
        <v>3.6725258602208703E-2</v>
      </c>
      <c r="AA56" s="17">
        <v>29108.912025771198</v>
      </c>
      <c r="AB56" s="18">
        <v>6.06552597143439E-3</v>
      </c>
      <c r="AC56" s="17">
        <v>14358.043156929099</v>
      </c>
      <c r="AD56" s="18">
        <v>-2.1092859158300401E-3</v>
      </c>
      <c r="AE56" s="17">
        <v>41582.9699096287</v>
      </c>
      <c r="AF56" s="18">
        <v>5.93925750297448E-2</v>
      </c>
      <c r="AG56" s="17">
        <v>67052.093021430701</v>
      </c>
      <c r="AH56" s="18">
        <v>1.3916508667490401E-2</v>
      </c>
      <c r="AI56" s="17">
        <v>26712.9665568614</v>
      </c>
      <c r="AJ56" s="18">
        <v>-2.1702371755884901E-2</v>
      </c>
      <c r="AK56" s="17">
        <v>25756.804227438999</v>
      </c>
      <c r="AL56" s="18">
        <v>6.8969092506357701E-2</v>
      </c>
      <c r="AM56" s="17">
        <v>146211.817297389</v>
      </c>
      <c r="AN56" s="18">
        <v>2.7026307969759699E-2</v>
      </c>
      <c r="AO56" s="17">
        <v>50000.471324617502</v>
      </c>
      <c r="AP56" s="18">
        <v>1.10359355528544E-2</v>
      </c>
      <c r="AQ56" s="17">
        <v>31883.403475352599</v>
      </c>
      <c r="AR56" s="18">
        <v>1.3148231663879999E-2</v>
      </c>
      <c r="AS56" s="17">
        <v>63081.820254866303</v>
      </c>
      <c r="AT56" s="18">
        <v>5.7610332381563802E-2</v>
      </c>
      <c r="AU56" s="17">
        <v>9079.2930539452991</v>
      </c>
      <c r="AV56" s="18">
        <v>0.41419391073268602</v>
      </c>
      <c r="AW56" s="17">
        <v>10307.0403578653</v>
      </c>
      <c r="AX56" s="18">
        <v>-1.39679661921563E-2</v>
      </c>
      <c r="AY56" s="17">
        <v>2432.00437343568</v>
      </c>
      <c r="AZ56" s="18">
        <v>-3.3137359505043998E-2</v>
      </c>
      <c r="BA56" s="17">
        <v>19931.663359294202</v>
      </c>
      <c r="BB56" s="18">
        <v>-1.7086741479176999E-2</v>
      </c>
      <c r="BC56" s="17">
        <v>38209.529527267099</v>
      </c>
      <c r="BD56" s="18">
        <v>7.2654665071705303E-3</v>
      </c>
      <c r="BE56" s="17">
        <v>-18287.6069621311</v>
      </c>
      <c r="BF56" s="18">
        <v>3.5065413012344199E-2</v>
      </c>
      <c r="BG56" s="17"/>
      <c r="BH56" s="18"/>
    </row>
    <row r="57" spans="1:60" x14ac:dyDescent="0.2">
      <c r="A57" s="16"/>
      <c r="B57" s="16"/>
      <c r="C57" s="17"/>
      <c r="D57" s="18"/>
      <c r="E57" s="17"/>
      <c r="F57" s="18"/>
      <c r="G57" s="17"/>
      <c r="H57" s="18"/>
      <c r="I57" s="17"/>
      <c r="J57" s="18"/>
      <c r="K57" s="17"/>
      <c r="L57" s="18"/>
      <c r="M57" s="17"/>
      <c r="N57" s="18"/>
      <c r="O57" s="17"/>
      <c r="P57" s="18"/>
      <c r="Q57" s="17"/>
      <c r="R57" s="18"/>
      <c r="S57" s="17"/>
      <c r="T57" s="18"/>
      <c r="U57" s="17"/>
      <c r="V57" s="18"/>
      <c r="W57" s="17"/>
      <c r="X57" s="18"/>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K6:AL6"/>
    <mergeCell ref="AK7:AL7"/>
    <mergeCell ref="AK8:AL10"/>
    <mergeCell ref="AI6:AJ6"/>
    <mergeCell ref="AI7:AJ7"/>
    <mergeCell ref="AI8:AJ10"/>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le09"/>
  <dimension ref="A1:BH57"/>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11"/>
      <c r="E1" s="11"/>
      <c r="G1" s="11"/>
      <c r="I1" s="11"/>
      <c r="K1" s="11"/>
      <c r="M1" s="11"/>
      <c r="Q1" s="11"/>
      <c r="S1" s="11"/>
      <c r="U1" s="11"/>
      <c r="W1" s="11"/>
      <c r="Y1" s="11"/>
      <c r="AA1" s="11"/>
      <c r="AG1" s="11"/>
      <c r="AI1" s="11"/>
      <c r="AM1" s="11"/>
      <c r="AO1" s="11"/>
      <c r="AQ1" s="11"/>
      <c r="AS1" s="11"/>
      <c r="AU1" s="11"/>
      <c r="AW1" s="11"/>
    </row>
    <row r="2" spans="1:60" ht="11.25" customHeight="1" x14ac:dyDescent="0.2">
      <c r="A2" s="4" t="str">
        <f ca="1">INDIRECT("beschriftung!"&amp;ADDRESS(beschriftung!$C$1*12+ROW(beschriftung!$A4)-1,COLUMN(beschriftung!B$1)))</f>
        <v>Implicit chain price indexes, year-on-year growth rates</v>
      </c>
      <c r="C2" s="11"/>
      <c r="E2" s="11"/>
      <c r="G2" s="11"/>
      <c r="I2" s="11"/>
      <c r="K2" s="11"/>
      <c r="M2" s="11"/>
      <c r="Q2" s="11"/>
      <c r="S2" s="11"/>
      <c r="U2" s="11"/>
      <c r="W2" s="11"/>
      <c r="Y2" s="11"/>
      <c r="AA2" s="11"/>
      <c r="AG2" s="11"/>
      <c r="AI2" s="11"/>
      <c r="AM2" s="11"/>
      <c r="AO2" s="11"/>
      <c r="AQ2" s="11"/>
      <c r="AS2" s="11"/>
      <c r="AU2" s="11"/>
      <c r="AW2" s="11"/>
    </row>
    <row r="3" spans="1:60" ht="11.25" customHeight="1" x14ac:dyDescent="0.2">
      <c r="C3" s="11"/>
      <c r="E3" s="11"/>
      <c r="G3" s="11"/>
      <c r="I3" s="11"/>
      <c r="K3" s="11"/>
      <c r="M3" s="11"/>
      <c r="Q3" s="11"/>
      <c r="S3" s="11"/>
      <c r="U3" s="11"/>
      <c r="W3" s="11"/>
      <c r="Y3" s="11"/>
      <c r="AA3" s="11"/>
      <c r="AG3" s="11"/>
      <c r="AI3" s="11"/>
      <c r="AM3" s="11"/>
      <c r="AO3" s="11"/>
      <c r="AQ3" s="11"/>
      <c r="AS3" s="11"/>
      <c r="AU3" s="11"/>
      <c r="AW3" s="11"/>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c r="C12" s="19">
        <v>56.690595251614702</v>
      </c>
      <c r="D12" s="18"/>
      <c r="E12" s="19"/>
      <c r="F12" s="18"/>
      <c r="G12" s="19"/>
      <c r="H12" s="18"/>
      <c r="I12" s="19"/>
      <c r="J12" s="18"/>
      <c r="K12" s="19"/>
      <c r="L12" s="18"/>
      <c r="M12" s="19"/>
      <c r="N12" s="18"/>
      <c r="O12" s="19"/>
      <c r="P12" s="18"/>
      <c r="Q12" s="19"/>
      <c r="R12" s="18"/>
      <c r="S12" s="19"/>
      <c r="T12" s="18"/>
      <c r="U12" s="19"/>
      <c r="V12" s="18"/>
      <c r="W12" s="19"/>
      <c r="X12" s="18"/>
      <c r="Y12" s="19"/>
      <c r="Z12" s="18"/>
      <c r="AA12" s="19"/>
      <c r="AB12" s="18"/>
      <c r="AC12" s="19"/>
      <c r="AD12" s="18"/>
      <c r="AE12" s="19"/>
      <c r="AF12" s="18"/>
      <c r="AG12" s="19"/>
      <c r="AH12" s="18"/>
      <c r="AI12" s="19"/>
      <c r="AJ12" s="18"/>
      <c r="AK12" s="19"/>
      <c r="AL12" s="18"/>
      <c r="AM12" s="19"/>
      <c r="AN12" s="18"/>
      <c r="AO12" s="19"/>
      <c r="AP12" s="18"/>
      <c r="AQ12" s="19"/>
      <c r="AR12" s="18"/>
      <c r="AS12" s="19"/>
      <c r="AT12" s="18"/>
      <c r="AU12" s="19"/>
      <c r="AV12" s="18"/>
      <c r="AW12" s="19"/>
      <c r="AX12" s="18"/>
      <c r="AY12" s="19"/>
      <c r="AZ12" s="18"/>
      <c r="BA12" s="19"/>
      <c r="BB12" s="18"/>
      <c r="BC12" s="19"/>
      <c r="BD12" s="18"/>
      <c r="BE12" s="19"/>
      <c r="BF12" s="18"/>
      <c r="BG12" s="19"/>
      <c r="BH12" s="18"/>
    </row>
    <row r="13" spans="1:60" x14ac:dyDescent="0.2">
      <c r="A13" s="16">
        <v>1981</v>
      </c>
      <c r="B13" s="16"/>
      <c r="C13" s="19">
        <v>59.899910707644501</v>
      </c>
      <c r="D13" s="18">
        <v>5.6611073526140303E-2</v>
      </c>
      <c r="E13" s="19"/>
      <c r="F13" s="18"/>
      <c r="G13" s="19"/>
      <c r="H13" s="18"/>
      <c r="I13" s="19"/>
      <c r="J13" s="18"/>
      <c r="K13" s="19"/>
      <c r="L13" s="18"/>
      <c r="M13" s="19"/>
      <c r="N13" s="18"/>
      <c r="O13" s="19"/>
      <c r="P13" s="18"/>
      <c r="Q13" s="19"/>
      <c r="R13" s="18"/>
      <c r="S13" s="19"/>
      <c r="T13" s="18"/>
      <c r="U13" s="19"/>
      <c r="V13" s="18"/>
      <c r="W13" s="19"/>
      <c r="X13" s="18"/>
      <c r="Y13" s="19"/>
      <c r="Z13" s="18"/>
      <c r="AA13" s="19"/>
      <c r="AB13" s="18"/>
      <c r="AC13" s="19"/>
      <c r="AD13" s="18"/>
      <c r="AE13" s="19"/>
      <c r="AF13" s="18"/>
      <c r="AG13" s="19"/>
      <c r="AH13" s="18"/>
      <c r="AI13" s="19"/>
      <c r="AJ13" s="18"/>
      <c r="AK13" s="19"/>
      <c r="AL13" s="18"/>
      <c r="AM13" s="19"/>
      <c r="AN13" s="18"/>
      <c r="AO13" s="19"/>
      <c r="AP13" s="18"/>
      <c r="AQ13" s="19"/>
      <c r="AR13" s="18"/>
      <c r="AS13" s="19"/>
      <c r="AT13" s="18"/>
      <c r="AU13" s="19"/>
      <c r="AV13" s="18"/>
      <c r="AW13" s="19"/>
      <c r="AX13" s="18"/>
      <c r="AY13" s="19"/>
      <c r="AZ13" s="18"/>
      <c r="BA13" s="19"/>
      <c r="BB13" s="18"/>
      <c r="BC13" s="19"/>
      <c r="BD13" s="18"/>
      <c r="BE13" s="19"/>
      <c r="BF13" s="18"/>
      <c r="BG13" s="19"/>
      <c r="BH13" s="18"/>
    </row>
    <row r="14" spans="1:60" x14ac:dyDescent="0.2">
      <c r="A14" s="16">
        <v>1982</v>
      </c>
      <c r="B14" s="16"/>
      <c r="C14" s="19">
        <v>64.301380702499699</v>
      </c>
      <c r="D14" s="18">
        <v>7.3480409951487399E-2</v>
      </c>
      <c r="E14" s="19"/>
      <c r="F14" s="18"/>
      <c r="G14" s="19"/>
      <c r="H14" s="18"/>
      <c r="I14" s="19"/>
      <c r="J14" s="18"/>
      <c r="K14" s="19"/>
      <c r="L14" s="18"/>
      <c r="M14" s="19"/>
      <c r="N14" s="18"/>
      <c r="O14" s="19"/>
      <c r="P14" s="18"/>
      <c r="Q14" s="19"/>
      <c r="R14" s="18"/>
      <c r="S14" s="19"/>
      <c r="T14" s="18"/>
      <c r="U14" s="19"/>
      <c r="V14" s="18"/>
      <c r="W14" s="19"/>
      <c r="X14" s="18"/>
      <c r="Y14" s="19"/>
      <c r="Z14" s="18"/>
      <c r="AA14" s="19"/>
      <c r="AB14" s="18"/>
      <c r="AC14" s="19"/>
      <c r="AD14" s="18"/>
      <c r="AE14" s="19"/>
      <c r="AF14" s="18"/>
      <c r="AG14" s="19"/>
      <c r="AH14" s="18"/>
      <c r="AI14" s="19"/>
      <c r="AJ14" s="18"/>
      <c r="AK14" s="19"/>
      <c r="AL14" s="18"/>
      <c r="AM14" s="19"/>
      <c r="AN14" s="18"/>
      <c r="AO14" s="19"/>
      <c r="AP14" s="18"/>
      <c r="AQ14" s="19"/>
      <c r="AR14" s="18"/>
      <c r="AS14" s="19"/>
      <c r="AT14" s="18"/>
      <c r="AU14" s="19"/>
      <c r="AV14" s="18"/>
      <c r="AW14" s="19"/>
      <c r="AX14" s="18"/>
      <c r="AY14" s="19"/>
      <c r="AZ14" s="18"/>
      <c r="BA14" s="19"/>
      <c r="BB14" s="18"/>
      <c r="BC14" s="19"/>
      <c r="BD14" s="18"/>
      <c r="BE14" s="19"/>
      <c r="BF14" s="18"/>
      <c r="BG14" s="19"/>
      <c r="BH14" s="18"/>
    </row>
    <row r="15" spans="1:60" x14ac:dyDescent="0.2">
      <c r="A15" s="16">
        <v>1983</v>
      </c>
      <c r="B15" s="16"/>
      <c r="C15" s="19">
        <v>65.823319875458594</v>
      </c>
      <c r="D15" s="18">
        <v>2.36688412648614E-2</v>
      </c>
      <c r="E15" s="19"/>
      <c r="F15" s="18"/>
      <c r="G15" s="19"/>
      <c r="H15" s="18"/>
      <c r="I15" s="19"/>
      <c r="J15" s="18"/>
      <c r="K15" s="19"/>
      <c r="L15" s="18"/>
      <c r="M15" s="19"/>
      <c r="N15" s="18"/>
      <c r="O15" s="19"/>
      <c r="P15" s="18"/>
      <c r="Q15" s="19"/>
      <c r="R15" s="18"/>
      <c r="S15" s="19"/>
      <c r="T15" s="18"/>
      <c r="U15" s="19"/>
      <c r="V15" s="18"/>
      <c r="W15" s="19"/>
      <c r="X15" s="18"/>
      <c r="Y15" s="19"/>
      <c r="Z15" s="18"/>
      <c r="AA15" s="19"/>
      <c r="AB15" s="18"/>
      <c r="AC15" s="19"/>
      <c r="AD15" s="18"/>
      <c r="AE15" s="19"/>
      <c r="AF15" s="18"/>
      <c r="AG15" s="19"/>
      <c r="AH15" s="18"/>
      <c r="AI15" s="19"/>
      <c r="AJ15" s="18"/>
      <c r="AK15" s="19"/>
      <c r="AL15" s="18"/>
      <c r="AM15" s="19"/>
      <c r="AN15" s="18"/>
      <c r="AO15" s="19"/>
      <c r="AP15" s="18"/>
      <c r="AQ15" s="19"/>
      <c r="AR15" s="18"/>
      <c r="AS15" s="19"/>
      <c r="AT15" s="18"/>
      <c r="AU15" s="19"/>
      <c r="AV15" s="18"/>
      <c r="AW15" s="19"/>
      <c r="AX15" s="18"/>
      <c r="AY15" s="19"/>
      <c r="AZ15" s="18"/>
      <c r="BA15" s="19"/>
      <c r="BB15" s="18"/>
      <c r="BC15" s="19"/>
      <c r="BD15" s="18"/>
      <c r="BE15" s="19"/>
      <c r="BF15" s="18"/>
      <c r="BG15" s="19"/>
      <c r="BH15" s="18"/>
    </row>
    <row r="16" spans="1:60" x14ac:dyDescent="0.2">
      <c r="A16" s="16">
        <v>1984</v>
      </c>
      <c r="B16" s="16"/>
      <c r="C16" s="19">
        <v>68.298038381740596</v>
      </c>
      <c r="D16" s="18">
        <v>3.7596379382933497E-2</v>
      </c>
      <c r="E16" s="19"/>
      <c r="F16" s="18"/>
      <c r="G16" s="19"/>
      <c r="H16" s="18"/>
      <c r="I16" s="19"/>
      <c r="J16" s="18"/>
      <c r="K16" s="19"/>
      <c r="L16" s="18"/>
      <c r="M16" s="19"/>
      <c r="N16" s="18"/>
      <c r="O16" s="19"/>
      <c r="P16" s="18"/>
      <c r="Q16" s="19"/>
      <c r="R16" s="18"/>
      <c r="S16" s="19"/>
      <c r="T16" s="18"/>
      <c r="U16" s="19"/>
      <c r="V16" s="18"/>
      <c r="W16" s="19"/>
      <c r="X16" s="18"/>
      <c r="Y16" s="19"/>
      <c r="Z16" s="18"/>
      <c r="AA16" s="19"/>
      <c r="AB16" s="18"/>
      <c r="AC16" s="19"/>
      <c r="AD16" s="18"/>
      <c r="AE16" s="19"/>
      <c r="AF16" s="18"/>
      <c r="AG16" s="19"/>
      <c r="AH16" s="18"/>
      <c r="AI16" s="19"/>
      <c r="AJ16" s="18"/>
      <c r="AK16" s="19"/>
      <c r="AL16" s="18"/>
      <c r="AM16" s="19"/>
      <c r="AN16" s="18"/>
      <c r="AO16" s="19"/>
      <c r="AP16" s="18"/>
      <c r="AQ16" s="19"/>
      <c r="AR16" s="18"/>
      <c r="AS16" s="19"/>
      <c r="AT16" s="18"/>
      <c r="AU16" s="19"/>
      <c r="AV16" s="18"/>
      <c r="AW16" s="19"/>
      <c r="AX16" s="18"/>
      <c r="AY16" s="19"/>
      <c r="AZ16" s="18"/>
      <c r="BA16" s="19"/>
      <c r="BB16" s="18"/>
      <c r="BC16" s="19"/>
      <c r="BD16" s="18"/>
      <c r="BE16" s="19"/>
      <c r="BF16" s="18"/>
      <c r="BG16" s="19"/>
      <c r="BH16" s="18"/>
    </row>
    <row r="17" spans="1:60" x14ac:dyDescent="0.2">
      <c r="A17" s="16">
        <v>1985</v>
      </c>
      <c r="B17" s="16"/>
      <c r="C17" s="19">
        <v>69.848902838591499</v>
      </c>
      <c r="D17" s="18">
        <v>2.27073060017133E-2</v>
      </c>
      <c r="E17" s="19"/>
      <c r="F17" s="18"/>
      <c r="G17" s="19"/>
      <c r="H17" s="18"/>
      <c r="I17" s="19"/>
      <c r="J17" s="18"/>
      <c r="K17" s="19"/>
      <c r="L17" s="18"/>
      <c r="M17" s="19"/>
      <c r="N17" s="18"/>
      <c r="O17" s="19"/>
      <c r="P17" s="18"/>
      <c r="Q17" s="19"/>
      <c r="R17" s="18"/>
      <c r="S17" s="19"/>
      <c r="T17" s="18"/>
      <c r="U17" s="19"/>
      <c r="V17" s="18"/>
      <c r="W17" s="19"/>
      <c r="X17" s="18"/>
      <c r="Y17" s="19"/>
      <c r="Z17" s="18"/>
      <c r="AA17" s="19"/>
      <c r="AB17" s="18"/>
      <c r="AC17" s="19"/>
      <c r="AD17" s="18"/>
      <c r="AE17" s="19"/>
      <c r="AF17" s="18"/>
      <c r="AG17" s="19"/>
      <c r="AH17" s="18"/>
      <c r="AI17" s="19"/>
      <c r="AJ17" s="18"/>
      <c r="AK17" s="19"/>
      <c r="AL17" s="18"/>
      <c r="AM17" s="19"/>
      <c r="AN17" s="18"/>
      <c r="AO17" s="19"/>
      <c r="AP17" s="18"/>
      <c r="AQ17" s="19"/>
      <c r="AR17" s="18"/>
      <c r="AS17" s="19"/>
      <c r="AT17" s="18"/>
      <c r="AU17" s="19"/>
      <c r="AV17" s="18"/>
      <c r="AW17" s="19"/>
      <c r="AX17" s="18"/>
      <c r="AY17" s="19"/>
      <c r="AZ17" s="18"/>
      <c r="BA17" s="19"/>
      <c r="BB17" s="18"/>
      <c r="BC17" s="19"/>
      <c r="BD17" s="18"/>
      <c r="BE17" s="19"/>
      <c r="BF17" s="18"/>
      <c r="BG17" s="19"/>
      <c r="BH17" s="18"/>
    </row>
    <row r="18" spans="1:60" x14ac:dyDescent="0.2">
      <c r="A18" s="16">
        <v>1986</v>
      </c>
      <c r="B18" s="16"/>
      <c r="C18" s="19">
        <v>71.968533411898505</v>
      </c>
      <c r="D18" s="18">
        <v>3.03459394087418E-2</v>
      </c>
      <c r="E18" s="19"/>
      <c r="F18" s="18"/>
      <c r="G18" s="19"/>
      <c r="H18" s="18"/>
      <c r="I18" s="19"/>
      <c r="J18" s="18"/>
      <c r="K18" s="19"/>
      <c r="L18" s="18"/>
      <c r="M18" s="19"/>
      <c r="N18" s="18"/>
      <c r="O18" s="19"/>
      <c r="P18" s="18"/>
      <c r="Q18" s="19"/>
      <c r="R18" s="18"/>
      <c r="S18" s="19"/>
      <c r="T18" s="18"/>
      <c r="U18" s="19"/>
      <c r="V18" s="18"/>
      <c r="W18" s="19"/>
      <c r="X18" s="18"/>
      <c r="Y18" s="19"/>
      <c r="Z18" s="18"/>
      <c r="AA18" s="19"/>
      <c r="AB18" s="18"/>
      <c r="AC18" s="19"/>
      <c r="AD18" s="18"/>
      <c r="AE18" s="19"/>
      <c r="AF18" s="18"/>
      <c r="AG18" s="19"/>
      <c r="AH18" s="18"/>
      <c r="AI18" s="19"/>
      <c r="AJ18" s="18"/>
      <c r="AK18" s="19"/>
      <c r="AL18" s="18"/>
      <c r="AM18" s="19"/>
      <c r="AN18" s="18"/>
      <c r="AO18" s="19"/>
      <c r="AP18" s="18"/>
      <c r="AQ18" s="19"/>
      <c r="AR18" s="18"/>
      <c r="AS18" s="19"/>
      <c r="AT18" s="18"/>
      <c r="AU18" s="19"/>
      <c r="AV18" s="18"/>
      <c r="AW18" s="19"/>
      <c r="AX18" s="18"/>
      <c r="AY18" s="19"/>
      <c r="AZ18" s="18"/>
      <c r="BA18" s="19"/>
      <c r="BB18" s="18"/>
      <c r="BC18" s="19"/>
      <c r="BD18" s="18"/>
      <c r="BE18" s="19"/>
      <c r="BF18" s="18"/>
      <c r="BG18" s="19"/>
      <c r="BH18" s="18"/>
    </row>
    <row r="19" spans="1:60" x14ac:dyDescent="0.2">
      <c r="A19" s="16">
        <v>1987</v>
      </c>
      <c r="B19" s="16"/>
      <c r="C19" s="19">
        <v>73.547150543608794</v>
      </c>
      <c r="D19" s="18">
        <v>2.1934824247082901E-2</v>
      </c>
      <c r="E19" s="19"/>
      <c r="F19" s="18"/>
      <c r="G19" s="19"/>
      <c r="H19" s="18"/>
      <c r="I19" s="19"/>
      <c r="J19" s="18"/>
      <c r="K19" s="19"/>
      <c r="L19" s="18"/>
      <c r="M19" s="19"/>
      <c r="N19" s="18"/>
      <c r="O19" s="19"/>
      <c r="P19" s="18"/>
      <c r="Q19" s="19"/>
      <c r="R19" s="18"/>
      <c r="S19" s="19"/>
      <c r="T19" s="18"/>
      <c r="U19" s="19"/>
      <c r="V19" s="18"/>
      <c r="W19" s="19"/>
      <c r="X19" s="18"/>
      <c r="Y19" s="19"/>
      <c r="Z19" s="18"/>
      <c r="AA19" s="19"/>
      <c r="AB19" s="18"/>
      <c r="AC19" s="19"/>
      <c r="AD19" s="18"/>
      <c r="AE19" s="19"/>
      <c r="AF19" s="18"/>
      <c r="AG19" s="19"/>
      <c r="AH19" s="18"/>
      <c r="AI19" s="19"/>
      <c r="AJ19" s="18"/>
      <c r="AK19" s="19"/>
      <c r="AL19" s="18"/>
      <c r="AM19" s="19"/>
      <c r="AN19" s="18"/>
      <c r="AO19" s="19"/>
      <c r="AP19" s="18"/>
      <c r="AQ19" s="19"/>
      <c r="AR19" s="18"/>
      <c r="AS19" s="19"/>
      <c r="AT19" s="18"/>
      <c r="AU19" s="19"/>
      <c r="AV19" s="18"/>
      <c r="AW19" s="19"/>
      <c r="AX19" s="18"/>
      <c r="AY19" s="19"/>
      <c r="AZ19" s="18"/>
      <c r="BA19" s="19"/>
      <c r="BB19" s="18"/>
      <c r="BC19" s="19"/>
      <c r="BD19" s="18"/>
      <c r="BE19" s="19"/>
      <c r="BF19" s="18"/>
      <c r="BG19" s="19"/>
      <c r="BH19" s="18"/>
    </row>
    <row r="20" spans="1:60" x14ac:dyDescent="0.2">
      <c r="A20" s="16">
        <v>1988</v>
      </c>
      <c r="B20" s="16"/>
      <c r="C20" s="19">
        <v>75.599291414374306</v>
      </c>
      <c r="D20" s="18">
        <v>2.7902384464898001E-2</v>
      </c>
      <c r="E20" s="19"/>
      <c r="F20" s="18"/>
      <c r="G20" s="19"/>
      <c r="H20" s="18"/>
      <c r="I20" s="19"/>
      <c r="J20" s="18"/>
      <c r="K20" s="19"/>
      <c r="L20" s="18"/>
      <c r="M20" s="19"/>
      <c r="N20" s="18"/>
      <c r="O20" s="19"/>
      <c r="P20" s="18"/>
      <c r="Q20" s="19"/>
      <c r="R20" s="18"/>
      <c r="S20" s="19"/>
      <c r="T20" s="18"/>
      <c r="U20" s="19"/>
      <c r="V20" s="18"/>
      <c r="W20" s="19"/>
      <c r="X20" s="18"/>
      <c r="Y20" s="19"/>
      <c r="Z20" s="18"/>
      <c r="AA20" s="19"/>
      <c r="AB20" s="18"/>
      <c r="AC20" s="19"/>
      <c r="AD20" s="18"/>
      <c r="AE20" s="19"/>
      <c r="AF20" s="18"/>
      <c r="AG20" s="19"/>
      <c r="AH20" s="18"/>
      <c r="AI20" s="19"/>
      <c r="AJ20" s="18"/>
      <c r="AK20" s="19"/>
      <c r="AL20" s="18"/>
      <c r="AM20" s="19"/>
      <c r="AN20" s="18"/>
      <c r="AO20" s="19"/>
      <c r="AP20" s="18"/>
      <c r="AQ20" s="19"/>
      <c r="AR20" s="18"/>
      <c r="AS20" s="19"/>
      <c r="AT20" s="18"/>
      <c r="AU20" s="19"/>
      <c r="AV20" s="18"/>
      <c r="AW20" s="19"/>
      <c r="AX20" s="18"/>
      <c r="AY20" s="19"/>
      <c r="AZ20" s="18"/>
      <c r="BA20" s="19"/>
      <c r="BB20" s="18"/>
      <c r="BC20" s="19"/>
      <c r="BD20" s="18"/>
      <c r="BE20" s="19"/>
      <c r="BF20" s="18"/>
      <c r="BG20" s="19"/>
      <c r="BH20" s="18"/>
    </row>
    <row r="21" spans="1:60" x14ac:dyDescent="0.2">
      <c r="A21" s="16">
        <v>1989</v>
      </c>
      <c r="B21" s="16"/>
      <c r="C21" s="19">
        <v>78.213862975602098</v>
      </c>
      <c r="D21" s="18">
        <v>3.4584604065887301E-2</v>
      </c>
      <c r="E21" s="19"/>
      <c r="F21" s="18"/>
      <c r="G21" s="19"/>
      <c r="H21" s="18"/>
      <c r="I21" s="19"/>
      <c r="J21" s="18"/>
      <c r="K21" s="19"/>
      <c r="L21" s="18"/>
      <c r="M21" s="19"/>
      <c r="N21" s="18"/>
      <c r="O21" s="19"/>
      <c r="P21" s="18"/>
      <c r="Q21" s="19"/>
      <c r="R21" s="18"/>
      <c r="S21" s="19"/>
      <c r="T21" s="18"/>
      <c r="U21" s="19"/>
      <c r="V21" s="18"/>
      <c r="W21" s="19"/>
      <c r="X21" s="18"/>
      <c r="Y21" s="19"/>
      <c r="Z21" s="18"/>
      <c r="AA21" s="19"/>
      <c r="AB21" s="18"/>
      <c r="AC21" s="19"/>
      <c r="AD21" s="18"/>
      <c r="AE21" s="19"/>
      <c r="AF21" s="18"/>
      <c r="AG21" s="19"/>
      <c r="AH21" s="18"/>
      <c r="AI21" s="19"/>
      <c r="AJ21" s="18"/>
      <c r="AK21" s="19"/>
      <c r="AL21" s="18"/>
      <c r="AM21" s="19"/>
      <c r="AN21" s="18"/>
      <c r="AO21" s="19"/>
      <c r="AP21" s="18"/>
      <c r="AQ21" s="19"/>
      <c r="AR21" s="18"/>
      <c r="AS21" s="19"/>
      <c r="AT21" s="18"/>
      <c r="AU21" s="19"/>
      <c r="AV21" s="18"/>
      <c r="AW21" s="19"/>
      <c r="AX21" s="18"/>
      <c r="AY21" s="19"/>
      <c r="AZ21" s="18"/>
      <c r="BA21" s="19"/>
      <c r="BB21" s="18"/>
      <c r="BC21" s="19"/>
      <c r="BD21" s="18"/>
      <c r="BE21" s="19"/>
      <c r="BF21" s="18"/>
      <c r="BG21" s="19"/>
      <c r="BH21" s="18"/>
    </row>
    <row r="22" spans="1:60" x14ac:dyDescent="0.2">
      <c r="A22" s="16">
        <v>1990</v>
      </c>
      <c r="B22" s="16"/>
      <c r="C22" s="19">
        <v>81.814533009406901</v>
      </c>
      <c r="D22" s="18">
        <v>4.6036212722646998E-2</v>
      </c>
      <c r="E22" s="19">
        <v>81.424396873058399</v>
      </c>
      <c r="F22" s="18"/>
      <c r="G22" s="19">
        <v>154.07502022254599</v>
      </c>
      <c r="H22" s="18"/>
      <c r="I22" s="19">
        <v>68.706368960115796</v>
      </c>
      <c r="J22" s="18"/>
      <c r="K22" s="19">
        <v>105.100635159411</v>
      </c>
      <c r="L22" s="18"/>
      <c r="M22" s="19">
        <v>217.81527560753401</v>
      </c>
      <c r="N22" s="18"/>
      <c r="O22" s="19">
        <v>80.341589973484503</v>
      </c>
      <c r="P22" s="18"/>
      <c r="Q22" s="19">
        <v>46.729055754492201</v>
      </c>
      <c r="R22" s="18"/>
      <c r="S22" s="19">
        <v>224.09955721555099</v>
      </c>
      <c r="T22" s="18"/>
      <c r="U22" s="19">
        <v>78.361042306760595</v>
      </c>
      <c r="V22" s="18"/>
      <c r="W22" s="19">
        <v>92.460801970933503</v>
      </c>
      <c r="X22" s="18"/>
      <c r="Y22" s="19">
        <v>109.485644552899</v>
      </c>
      <c r="Z22" s="18"/>
      <c r="AA22" s="19">
        <v>62.944883986773597</v>
      </c>
      <c r="AB22" s="18"/>
      <c r="AC22" s="19">
        <v>54.510375750768397</v>
      </c>
      <c r="AD22" s="18"/>
      <c r="AE22" s="19">
        <v>96.979701365409198</v>
      </c>
      <c r="AF22" s="18"/>
      <c r="AG22" s="19">
        <v>108.36299322337</v>
      </c>
      <c r="AH22" s="18"/>
      <c r="AI22" s="19">
        <v>76.967511940049405</v>
      </c>
      <c r="AJ22" s="18"/>
      <c r="AK22" s="19">
        <v>184.292561346383</v>
      </c>
      <c r="AL22" s="18"/>
      <c r="AM22" s="19">
        <v>57.796324618294697</v>
      </c>
      <c r="AN22" s="18"/>
      <c r="AO22" s="19">
        <v>67.820562506531203</v>
      </c>
      <c r="AP22" s="18"/>
      <c r="AQ22" s="19">
        <v>58.650335323967198</v>
      </c>
      <c r="AR22" s="18"/>
      <c r="AS22" s="19">
        <v>70.162603438528905</v>
      </c>
      <c r="AT22" s="18"/>
      <c r="AU22" s="19">
        <v>42.362066296318098</v>
      </c>
      <c r="AV22" s="18"/>
      <c r="AW22" s="19">
        <v>47.663693034633397</v>
      </c>
      <c r="AX22" s="18"/>
      <c r="AY22" s="19">
        <v>72.341026610419505</v>
      </c>
      <c r="AZ22" s="18"/>
      <c r="BA22" s="19">
        <v>92.675995947079898</v>
      </c>
      <c r="BB22" s="18"/>
      <c r="BC22" s="19">
        <v>82.664254173789303</v>
      </c>
      <c r="BD22" s="18"/>
      <c r="BE22" s="19">
        <v>69.446562387917695</v>
      </c>
      <c r="BF22" s="18"/>
      <c r="BG22" s="19"/>
      <c r="BH22" s="18"/>
    </row>
    <row r="23" spans="1:60" x14ac:dyDescent="0.2">
      <c r="A23" s="16">
        <v>1991</v>
      </c>
      <c r="B23" s="16"/>
      <c r="C23" s="19">
        <v>86.239966867432997</v>
      </c>
      <c r="D23" s="18">
        <v>5.4091048316773999E-2</v>
      </c>
      <c r="E23" s="19">
        <v>85.931953445146902</v>
      </c>
      <c r="F23" s="18">
        <v>5.5358795952959998E-2</v>
      </c>
      <c r="G23" s="19">
        <v>152.256500675658</v>
      </c>
      <c r="H23" s="18">
        <v>-1.18028188103513E-2</v>
      </c>
      <c r="I23" s="19">
        <v>74.046914132370702</v>
      </c>
      <c r="J23" s="18">
        <v>7.7729987089771593E-2</v>
      </c>
      <c r="K23" s="19">
        <v>108.645424876812</v>
      </c>
      <c r="L23" s="18">
        <v>3.3727576546267901E-2</v>
      </c>
      <c r="M23" s="19">
        <v>221.23136503974001</v>
      </c>
      <c r="N23" s="18">
        <v>1.5683424510414299E-2</v>
      </c>
      <c r="O23" s="19">
        <v>83.343268380554505</v>
      </c>
      <c r="P23" s="18">
        <v>3.7361451373574703E-2</v>
      </c>
      <c r="Q23" s="19">
        <v>52.783981551699704</v>
      </c>
      <c r="R23" s="18">
        <v>0.129575179713008</v>
      </c>
      <c r="S23" s="19">
        <v>196.38604051289201</v>
      </c>
      <c r="T23" s="18">
        <v>-0.12366609308381001</v>
      </c>
      <c r="U23" s="19">
        <v>81.603018628008499</v>
      </c>
      <c r="V23" s="18">
        <v>4.1372297072778598E-2</v>
      </c>
      <c r="W23" s="19">
        <v>97.446132984366997</v>
      </c>
      <c r="X23" s="18">
        <v>5.3918318975869003E-2</v>
      </c>
      <c r="Y23" s="19">
        <v>113.222631841119</v>
      </c>
      <c r="Z23" s="18">
        <v>3.4132212524122102E-2</v>
      </c>
      <c r="AA23" s="19">
        <v>67.504321611978099</v>
      </c>
      <c r="AB23" s="18">
        <v>7.2435396436071803E-2</v>
      </c>
      <c r="AC23" s="19">
        <v>58.761895183028102</v>
      </c>
      <c r="AD23" s="18">
        <v>7.7994682181213595E-2</v>
      </c>
      <c r="AE23" s="19">
        <v>103.526817452743</v>
      </c>
      <c r="AF23" s="18">
        <v>6.7510169604100306E-2</v>
      </c>
      <c r="AG23" s="19">
        <v>111.012951286354</v>
      </c>
      <c r="AH23" s="18">
        <v>2.4454456121583101E-2</v>
      </c>
      <c r="AI23" s="19">
        <v>84.109723244764197</v>
      </c>
      <c r="AJ23" s="18">
        <v>9.2795143362279106E-2</v>
      </c>
      <c r="AK23" s="19">
        <v>179.221827802283</v>
      </c>
      <c r="AL23" s="18">
        <v>-2.7514586085595601E-2</v>
      </c>
      <c r="AM23" s="19">
        <v>62.660433720096798</v>
      </c>
      <c r="AN23" s="18">
        <v>8.4159488236082505E-2</v>
      </c>
      <c r="AO23" s="19">
        <v>72.904730570809804</v>
      </c>
      <c r="AP23" s="18">
        <v>7.4964994042758401E-2</v>
      </c>
      <c r="AQ23" s="19">
        <v>62.161379018638002</v>
      </c>
      <c r="AR23" s="18">
        <v>5.98640003552715E-2</v>
      </c>
      <c r="AS23" s="19">
        <v>75.395235716723306</v>
      </c>
      <c r="AT23" s="18">
        <v>7.4578650474093094E-2</v>
      </c>
      <c r="AU23" s="19">
        <v>48.942821160919898</v>
      </c>
      <c r="AV23" s="18">
        <v>0.155345464467435</v>
      </c>
      <c r="AW23" s="19">
        <v>53.859789541325597</v>
      </c>
      <c r="AX23" s="18">
        <v>0.129996148267193</v>
      </c>
      <c r="AY23" s="19">
        <v>78.429210388425105</v>
      </c>
      <c r="AZ23" s="18">
        <v>8.4159488236081006E-2</v>
      </c>
      <c r="BA23" s="19">
        <v>92.940955369298607</v>
      </c>
      <c r="BB23" s="18">
        <v>2.85898651005634E-3</v>
      </c>
      <c r="BC23" s="19">
        <v>85.338838516479996</v>
      </c>
      <c r="BD23" s="18">
        <v>3.2354787077226499E-2</v>
      </c>
      <c r="BE23" s="19">
        <v>73.8277901087299</v>
      </c>
      <c r="BF23" s="18">
        <v>6.3087755104987805E-2</v>
      </c>
      <c r="BG23" s="19"/>
      <c r="BH23" s="18"/>
    </row>
    <row r="24" spans="1:60" x14ac:dyDescent="0.2">
      <c r="A24" s="16">
        <v>1992</v>
      </c>
      <c r="B24" s="16"/>
      <c r="C24" s="19">
        <v>88.072251394693794</v>
      </c>
      <c r="D24" s="18">
        <v>2.1246350083568E-2</v>
      </c>
      <c r="E24" s="19">
        <v>87.829527202529903</v>
      </c>
      <c r="F24" s="18">
        <v>2.2082283496490902E-2</v>
      </c>
      <c r="G24" s="19">
        <v>138.16643884947399</v>
      </c>
      <c r="H24" s="18">
        <v>-9.25416107926922E-2</v>
      </c>
      <c r="I24" s="19">
        <v>76.542105378452007</v>
      </c>
      <c r="J24" s="18">
        <v>3.3697437297937498E-2</v>
      </c>
      <c r="K24" s="19">
        <v>109.0823890851</v>
      </c>
      <c r="L24" s="18">
        <v>4.0219292140812896E-3</v>
      </c>
      <c r="M24" s="19">
        <v>222.09812297416801</v>
      </c>
      <c r="N24" s="18">
        <v>3.9178799727261904E-3</v>
      </c>
      <c r="O24" s="19">
        <v>83.6803059926891</v>
      </c>
      <c r="P24" s="18">
        <v>4.0439692213123397E-3</v>
      </c>
      <c r="Q24" s="19">
        <v>57.876501904520701</v>
      </c>
      <c r="R24" s="18">
        <v>9.6478518730784599E-2</v>
      </c>
      <c r="S24" s="19">
        <v>175.713981502302</v>
      </c>
      <c r="T24" s="18">
        <v>-0.105262364659941</v>
      </c>
      <c r="U24" s="19">
        <v>79.426077226069694</v>
      </c>
      <c r="V24" s="18">
        <v>-2.6677216585117999E-2</v>
      </c>
      <c r="W24" s="19">
        <v>99.703460894136697</v>
      </c>
      <c r="X24" s="18">
        <v>2.3164879309596001E-2</v>
      </c>
      <c r="Y24" s="19">
        <v>115.22745307477101</v>
      </c>
      <c r="Z24" s="18">
        <v>1.7706894823511999E-2</v>
      </c>
      <c r="AA24" s="19">
        <v>66.612912562828697</v>
      </c>
      <c r="AB24" s="18">
        <v>-1.32052145383119E-2</v>
      </c>
      <c r="AC24" s="19">
        <v>62.127717368157597</v>
      </c>
      <c r="AD24" s="18">
        <v>5.7278993038699898E-2</v>
      </c>
      <c r="AE24" s="19">
        <v>107.201992761188</v>
      </c>
      <c r="AF24" s="18">
        <v>3.54997419883274E-2</v>
      </c>
      <c r="AG24" s="19">
        <v>111.59724128239201</v>
      </c>
      <c r="AH24" s="18">
        <v>5.2632597302149104E-3</v>
      </c>
      <c r="AI24" s="19">
        <v>90.735366713423005</v>
      </c>
      <c r="AJ24" s="18">
        <v>7.8773811315224804E-2</v>
      </c>
      <c r="AK24" s="19">
        <v>169.430474858385</v>
      </c>
      <c r="AL24" s="18">
        <v>-5.4632591710311797E-2</v>
      </c>
      <c r="AM24" s="19">
        <v>66.301403891386599</v>
      </c>
      <c r="AN24" s="18">
        <v>5.8106367210190003E-2</v>
      </c>
      <c r="AO24" s="19">
        <v>77.225240836902898</v>
      </c>
      <c r="AP24" s="18">
        <v>5.9262413183143202E-2</v>
      </c>
      <c r="AQ24" s="19">
        <v>64.597102728192496</v>
      </c>
      <c r="AR24" s="18">
        <v>3.9183875068540902E-2</v>
      </c>
      <c r="AS24" s="19">
        <v>79.2827732027678</v>
      </c>
      <c r="AT24" s="18">
        <v>5.1562110643845298E-2</v>
      </c>
      <c r="AU24" s="19">
        <v>52.010419369875102</v>
      </c>
      <c r="AV24" s="18">
        <v>6.26771840321423E-2</v>
      </c>
      <c r="AW24" s="19">
        <v>56.892124179028897</v>
      </c>
      <c r="AX24" s="18">
        <v>5.6300528901559198E-2</v>
      </c>
      <c r="AY24" s="19">
        <v>82.986446887260499</v>
      </c>
      <c r="AZ24" s="18">
        <v>5.8106367210193799E-2</v>
      </c>
      <c r="BA24" s="19">
        <v>91.482320758236995</v>
      </c>
      <c r="BB24" s="18">
        <v>-1.56942072013974E-2</v>
      </c>
      <c r="BC24" s="19">
        <v>86.891591405010303</v>
      </c>
      <c r="BD24" s="18">
        <v>1.8195149073073801E-2</v>
      </c>
      <c r="BE24" s="19">
        <v>77.571029809589604</v>
      </c>
      <c r="BF24" s="18">
        <v>5.0702312711064401E-2</v>
      </c>
      <c r="BG24" s="19"/>
      <c r="BH24" s="18"/>
    </row>
    <row r="25" spans="1:60" x14ac:dyDescent="0.2">
      <c r="A25" s="16">
        <v>1993</v>
      </c>
      <c r="B25" s="16"/>
      <c r="C25" s="19">
        <v>90.117310229175004</v>
      </c>
      <c r="D25" s="18">
        <v>2.32202402243167E-2</v>
      </c>
      <c r="E25" s="19">
        <v>89.819086822098598</v>
      </c>
      <c r="F25" s="18">
        <v>2.2652514284642801E-2</v>
      </c>
      <c r="G25" s="19">
        <v>134.56732395118101</v>
      </c>
      <c r="H25" s="18">
        <v>-2.6049125447997E-2</v>
      </c>
      <c r="I25" s="19">
        <v>77.868912984299996</v>
      </c>
      <c r="J25" s="18">
        <v>1.73343494967606E-2</v>
      </c>
      <c r="K25" s="19">
        <v>110.23987466417501</v>
      </c>
      <c r="L25" s="18">
        <v>1.0611113203357701E-2</v>
      </c>
      <c r="M25" s="19">
        <v>223.20195213291501</v>
      </c>
      <c r="N25" s="18">
        <v>4.9700066977853598E-3</v>
      </c>
      <c r="O25" s="19">
        <v>84.675506619718803</v>
      </c>
      <c r="P25" s="18">
        <v>1.18928894346624E-2</v>
      </c>
      <c r="Q25" s="19">
        <v>61.186336094205899</v>
      </c>
      <c r="R25" s="18">
        <v>5.7187875575918798E-2</v>
      </c>
      <c r="S25" s="19">
        <v>170.073469663379</v>
      </c>
      <c r="T25" s="18">
        <v>-3.2100529455302E-2</v>
      </c>
      <c r="U25" s="19">
        <v>78.321984956867198</v>
      </c>
      <c r="V25" s="18">
        <v>-1.39008787511935E-2</v>
      </c>
      <c r="W25" s="19">
        <v>101.89651054495999</v>
      </c>
      <c r="X25" s="18">
        <v>2.1995722426846099E-2</v>
      </c>
      <c r="Y25" s="19">
        <v>117.354768156147</v>
      </c>
      <c r="Z25" s="18">
        <v>1.8461877136134199E-2</v>
      </c>
      <c r="AA25" s="19">
        <v>63.599310030249598</v>
      </c>
      <c r="AB25" s="18">
        <v>-4.5240515939559002E-2</v>
      </c>
      <c r="AC25" s="19">
        <v>65.194847423638905</v>
      </c>
      <c r="AD25" s="18">
        <v>4.9368143324919997E-2</v>
      </c>
      <c r="AE25" s="19">
        <v>109.724059155261</v>
      </c>
      <c r="AF25" s="18">
        <v>2.3526301415789201E-2</v>
      </c>
      <c r="AG25" s="19">
        <v>124.694915461804</v>
      </c>
      <c r="AH25" s="18">
        <v>0.11736557309933</v>
      </c>
      <c r="AI25" s="19">
        <v>111.751688335826</v>
      </c>
      <c r="AJ25" s="18">
        <v>0.23162215995423899</v>
      </c>
      <c r="AK25" s="19">
        <v>170.02540978074899</v>
      </c>
      <c r="AL25" s="18">
        <v>3.51138083547897E-3</v>
      </c>
      <c r="AM25" s="19">
        <v>67.882871602471297</v>
      </c>
      <c r="AN25" s="18">
        <v>2.3852703234994201E-2</v>
      </c>
      <c r="AO25" s="19">
        <v>78.397955712268697</v>
      </c>
      <c r="AP25" s="18">
        <v>1.5185642189741199E-2</v>
      </c>
      <c r="AQ25" s="19">
        <v>66.658378536409302</v>
      </c>
      <c r="AR25" s="18">
        <v>3.1909725377159401E-2</v>
      </c>
      <c r="AS25" s="19">
        <v>80.169260034250101</v>
      </c>
      <c r="AT25" s="18">
        <v>1.1181329760187301E-2</v>
      </c>
      <c r="AU25" s="19">
        <v>53.689999794738299</v>
      </c>
      <c r="AV25" s="18">
        <v>3.2293152895360701E-2</v>
      </c>
      <c r="AW25" s="19">
        <v>58.553032926106603</v>
      </c>
      <c r="AX25" s="18">
        <v>2.9194001297106101E-2</v>
      </c>
      <c r="AY25" s="19">
        <v>84.965897977389105</v>
      </c>
      <c r="AZ25" s="18">
        <v>2.3852703234996001E-2</v>
      </c>
      <c r="BA25" s="19">
        <v>95.888340124734</v>
      </c>
      <c r="BB25" s="18">
        <v>4.8162522878501E-2</v>
      </c>
      <c r="BC25" s="19">
        <v>90.382382928956105</v>
      </c>
      <c r="BD25" s="18">
        <v>4.0174100479698001E-2</v>
      </c>
      <c r="BE25" s="19">
        <v>80.0852285153167</v>
      </c>
      <c r="BF25" s="18">
        <v>3.24115679771E-2</v>
      </c>
      <c r="BG25" s="19"/>
      <c r="BH25" s="18"/>
    </row>
    <row r="26" spans="1:60" x14ac:dyDescent="0.2">
      <c r="A26" s="16">
        <v>1994</v>
      </c>
      <c r="B26" s="16"/>
      <c r="C26" s="19">
        <v>91.184648021350299</v>
      </c>
      <c r="D26" s="18">
        <v>1.18438709440061E-2</v>
      </c>
      <c r="E26" s="19">
        <v>91.009414154961902</v>
      </c>
      <c r="F26" s="18">
        <v>1.3252498716903101E-2</v>
      </c>
      <c r="G26" s="19">
        <v>134.89730876630199</v>
      </c>
      <c r="H26" s="18">
        <v>2.4521912558856901E-3</v>
      </c>
      <c r="I26" s="19">
        <v>79.5199732420446</v>
      </c>
      <c r="J26" s="18">
        <v>2.12030731452169E-2</v>
      </c>
      <c r="K26" s="19">
        <v>111.453650527638</v>
      </c>
      <c r="L26" s="18">
        <v>1.1010316069036E-2</v>
      </c>
      <c r="M26" s="19">
        <v>214.46665033170299</v>
      </c>
      <c r="N26" s="18">
        <v>-3.9136314524751602E-2</v>
      </c>
      <c r="O26" s="19">
        <v>86.651791765766504</v>
      </c>
      <c r="P26" s="18">
        <v>2.3339513691051899E-2</v>
      </c>
      <c r="Q26" s="19">
        <v>64.157908729976796</v>
      </c>
      <c r="R26" s="18">
        <v>4.8565951574477399E-2</v>
      </c>
      <c r="S26" s="19">
        <v>168.07836756871501</v>
      </c>
      <c r="T26" s="18">
        <v>-1.17308249112155E-2</v>
      </c>
      <c r="U26" s="19">
        <v>81.127750710998498</v>
      </c>
      <c r="V26" s="18">
        <v>3.5823476073499901E-2</v>
      </c>
      <c r="W26" s="19">
        <v>104.667466088815</v>
      </c>
      <c r="X26" s="18">
        <v>2.7193821741639201E-2</v>
      </c>
      <c r="Y26" s="19">
        <v>119.95398913760999</v>
      </c>
      <c r="Z26" s="18">
        <v>2.21484054061147E-2</v>
      </c>
      <c r="AA26" s="19">
        <v>62.952486075224201</v>
      </c>
      <c r="AB26" s="18">
        <v>-1.0170298305401801E-2</v>
      </c>
      <c r="AC26" s="19">
        <v>68.152285194041795</v>
      </c>
      <c r="AD26" s="18">
        <v>4.5363059923820802E-2</v>
      </c>
      <c r="AE26" s="19">
        <v>111.47799626224101</v>
      </c>
      <c r="AF26" s="18">
        <v>1.5984981967338101E-2</v>
      </c>
      <c r="AG26" s="19">
        <v>116.36641520902501</v>
      </c>
      <c r="AH26" s="18">
        <v>-6.6791017275523099E-2</v>
      </c>
      <c r="AI26" s="19">
        <v>109.452743710589</v>
      </c>
      <c r="AJ26" s="18">
        <v>-2.0571900608145201E-2</v>
      </c>
      <c r="AK26" s="19">
        <v>149.22617754368699</v>
      </c>
      <c r="AL26" s="18">
        <v>-0.122330140323631</v>
      </c>
      <c r="AM26" s="19">
        <v>69.486972400830894</v>
      </c>
      <c r="AN26" s="18">
        <v>2.36304204653182E-2</v>
      </c>
      <c r="AO26" s="19">
        <v>78.855052480955905</v>
      </c>
      <c r="AP26" s="18">
        <v>5.8304679571596898E-3</v>
      </c>
      <c r="AQ26" s="19">
        <v>68.327750172269603</v>
      </c>
      <c r="AR26" s="18">
        <v>2.5043688018131099E-2</v>
      </c>
      <c r="AS26" s="19">
        <v>82.277867661906598</v>
      </c>
      <c r="AT26" s="18">
        <v>2.6301946990101601E-2</v>
      </c>
      <c r="AU26" s="19">
        <v>61.258641810000299</v>
      </c>
      <c r="AV26" s="18">
        <v>0.1409693060942</v>
      </c>
      <c r="AW26" s="19">
        <v>65.711950389335996</v>
      </c>
      <c r="AX26" s="18">
        <v>0.122263819745493</v>
      </c>
      <c r="AY26" s="19">
        <v>86.973677871807794</v>
      </c>
      <c r="AZ26" s="18">
        <v>2.3630420465314401E-2</v>
      </c>
      <c r="BA26" s="19">
        <v>91.694532897517803</v>
      </c>
      <c r="BB26" s="18">
        <v>-4.3736362750264698E-2</v>
      </c>
      <c r="BC26" s="19">
        <v>89.107420665808405</v>
      </c>
      <c r="BD26" s="18">
        <v>-1.4106313883645199E-2</v>
      </c>
      <c r="BE26" s="19">
        <v>81.613865243250203</v>
      </c>
      <c r="BF26" s="18">
        <v>1.9087623976013199E-2</v>
      </c>
      <c r="BG26" s="19"/>
      <c r="BH26" s="18"/>
    </row>
    <row r="27" spans="1:60" x14ac:dyDescent="0.2">
      <c r="A27" s="16">
        <v>1995</v>
      </c>
      <c r="B27" s="16"/>
      <c r="C27" s="19">
        <v>91.857369802880697</v>
      </c>
      <c r="D27" s="18">
        <v>7.3775772142363697E-3</v>
      </c>
      <c r="E27" s="19">
        <v>91.146509341129999</v>
      </c>
      <c r="F27" s="18">
        <v>1.5063846684546501E-3</v>
      </c>
      <c r="G27" s="19">
        <v>122.42871453767</v>
      </c>
      <c r="H27" s="18">
        <v>-9.2430266716683002E-2</v>
      </c>
      <c r="I27" s="19">
        <v>79.484675680709799</v>
      </c>
      <c r="J27" s="18">
        <v>-4.4388296293040901E-4</v>
      </c>
      <c r="K27" s="19">
        <v>110.16603142946001</v>
      </c>
      <c r="L27" s="18">
        <v>-1.1552955798952901E-2</v>
      </c>
      <c r="M27" s="19">
        <v>199.14519756966999</v>
      </c>
      <c r="N27" s="18">
        <v>-7.1439791400370503E-2</v>
      </c>
      <c r="O27" s="19">
        <v>86.950761031804902</v>
      </c>
      <c r="P27" s="18">
        <v>3.4502375536165099E-3</v>
      </c>
      <c r="Q27" s="19">
        <v>66.701163447579106</v>
      </c>
      <c r="R27" s="18">
        <v>3.9640548888620501E-2</v>
      </c>
      <c r="S27" s="19">
        <v>149.22600300270099</v>
      </c>
      <c r="T27" s="18">
        <v>-0.112164134140026</v>
      </c>
      <c r="U27" s="19">
        <v>80.184783943309696</v>
      </c>
      <c r="V27" s="18">
        <v>-1.16232332269138E-2</v>
      </c>
      <c r="W27" s="19">
        <v>104.304950855077</v>
      </c>
      <c r="X27" s="18">
        <v>-3.4634948879922502E-3</v>
      </c>
      <c r="Y27" s="19">
        <v>120.38618985967599</v>
      </c>
      <c r="Z27" s="18">
        <v>3.6030541808009802E-3</v>
      </c>
      <c r="AA27" s="19">
        <v>65.683727772946497</v>
      </c>
      <c r="AB27" s="18">
        <v>4.3385763899120001E-2</v>
      </c>
      <c r="AC27" s="19">
        <v>72.321314169126595</v>
      </c>
      <c r="AD27" s="18">
        <v>6.11722550933518E-2</v>
      </c>
      <c r="AE27" s="19">
        <v>112.119465367103</v>
      </c>
      <c r="AF27" s="18">
        <v>5.7542216972845698E-3</v>
      </c>
      <c r="AG27" s="19">
        <v>116.57846366962499</v>
      </c>
      <c r="AH27" s="18">
        <v>1.82224794172114E-3</v>
      </c>
      <c r="AI27" s="19">
        <v>111.264303254764</v>
      </c>
      <c r="AJ27" s="18">
        <v>1.6551065626687799E-2</v>
      </c>
      <c r="AK27" s="19">
        <v>146.49439722756401</v>
      </c>
      <c r="AL27" s="18">
        <v>-1.83063076538513E-2</v>
      </c>
      <c r="AM27" s="19">
        <v>70.117556692257807</v>
      </c>
      <c r="AN27" s="18">
        <v>9.0748563311902099E-3</v>
      </c>
      <c r="AO27" s="19">
        <v>79.792649936868202</v>
      </c>
      <c r="AP27" s="18">
        <v>1.18901379989411E-2</v>
      </c>
      <c r="AQ27" s="19">
        <v>68.487719170025898</v>
      </c>
      <c r="AR27" s="18">
        <v>2.34120101061364E-3</v>
      </c>
      <c r="AS27" s="19">
        <v>82.724696435694597</v>
      </c>
      <c r="AT27" s="18">
        <v>5.4307286574817298E-3</v>
      </c>
      <c r="AU27" s="19">
        <v>61.6612369260734</v>
      </c>
      <c r="AV27" s="18">
        <v>6.5720542306793002E-3</v>
      </c>
      <c r="AW27" s="19">
        <v>66.4787246797938</v>
      </c>
      <c r="AX27" s="18">
        <v>1.1668719097739999E-2</v>
      </c>
      <c r="AY27" s="19">
        <v>87.762951503089496</v>
      </c>
      <c r="AZ27" s="18">
        <v>9.07485633118843E-3</v>
      </c>
      <c r="BA27" s="19">
        <v>114.61700875564399</v>
      </c>
      <c r="BB27" s="18">
        <v>0.24998737802335</v>
      </c>
      <c r="BC27" s="19">
        <v>101.395950095432</v>
      </c>
      <c r="BD27" s="18">
        <v>0.13790691434904201</v>
      </c>
      <c r="BE27" s="19">
        <v>83.073304574486102</v>
      </c>
      <c r="BF27" s="18">
        <v>1.7882247420656399E-2</v>
      </c>
      <c r="BG27" s="19"/>
      <c r="BH27" s="18"/>
    </row>
    <row r="28" spans="1:60" x14ac:dyDescent="0.2">
      <c r="A28" s="16">
        <v>1996</v>
      </c>
      <c r="B28" s="16"/>
      <c r="C28" s="19">
        <v>92.071777397623293</v>
      </c>
      <c r="D28" s="18">
        <v>2.33413601110732E-3</v>
      </c>
      <c r="E28" s="19">
        <v>91.528817975331293</v>
      </c>
      <c r="F28" s="18">
        <v>4.1944407631722101E-3</v>
      </c>
      <c r="G28" s="19">
        <v>108.27427830389399</v>
      </c>
      <c r="H28" s="18">
        <v>-0.115613696404701</v>
      </c>
      <c r="I28" s="19">
        <v>79.078437343601294</v>
      </c>
      <c r="J28" s="18">
        <v>-5.11090136091563E-3</v>
      </c>
      <c r="K28" s="19">
        <v>108.87702810034899</v>
      </c>
      <c r="L28" s="18">
        <v>-1.1700551543758601E-2</v>
      </c>
      <c r="M28" s="19">
        <v>197.200834182134</v>
      </c>
      <c r="N28" s="18">
        <v>-9.7635464538641196E-3</v>
      </c>
      <c r="O28" s="19">
        <v>85.894180518347</v>
      </c>
      <c r="P28" s="18">
        <v>-1.21514809177048E-2</v>
      </c>
      <c r="Q28" s="19">
        <v>67.381586773519004</v>
      </c>
      <c r="R28" s="18">
        <v>1.0201071327259101E-2</v>
      </c>
      <c r="S28" s="19">
        <v>150.78376785619901</v>
      </c>
      <c r="T28" s="18">
        <v>1.04389638679108E-2</v>
      </c>
      <c r="U28" s="19">
        <v>78.206444446461504</v>
      </c>
      <c r="V28" s="18">
        <v>-2.46722557517501E-2</v>
      </c>
      <c r="W28" s="19">
        <v>105.12457397180199</v>
      </c>
      <c r="X28" s="18">
        <v>7.8579502699096491E-3</v>
      </c>
      <c r="Y28" s="19">
        <v>121.36865357385101</v>
      </c>
      <c r="Z28" s="18">
        <v>8.1609337027796994E-3</v>
      </c>
      <c r="AA28" s="19">
        <v>66.239911345938197</v>
      </c>
      <c r="AB28" s="18">
        <v>8.4676006044339704E-3</v>
      </c>
      <c r="AC28" s="19">
        <v>73.830712556704398</v>
      </c>
      <c r="AD28" s="18">
        <v>2.0870726768709401E-2</v>
      </c>
      <c r="AE28" s="19">
        <v>113.129396070235</v>
      </c>
      <c r="AF28" s="18">
        <v>9.0076303862602902E-3</v>
      </c>
      <c r="AG28" s="19">
        <v>122.18804979073801</v>
      </c>
      <c r="AH28" s="18">
        <v>4.81185456089923E-2</v>
      </c>
      <c r="AI28" s="19">
        <v>123.19832055591699</v>
      </c>
      <c r="AJ28" s="18">
        <v>0.107258275583926</v>
      </c>
      <c r="AK28" s="19">
        <v>140.94978577025199</v>
      </c>
      <c r="AL28" s="18">
        <v>-3.7848624672649198E-2</v>
      </c>
      <c r="AM28" s="19">
        <v>70.390222064406203</v>
      </c>
      <c r="AN28" s="18">
        <v>3.8886890104441502E-3</v>
      </c>
      <c r="AO28" s="19">
        <v>79.656692520135607</v>
      </c>
      <c r="AP28" s="18">
        <v>-1.70388396475296E-3</v>
      </c>
      <c r="AQ28" s="19">
        <v>69.466590288768799</v>
      </c>
      <c r="AR28" s="18">
        <v>1.4292651742611E-2</v>
      </c>
      <c r="AS28" s="19">
        <v>84.170900425147707</v>
      </c>
      <c r="AT28" s="18">
        <v>1.7482131113980299E-2</v>
      </c>
      <c r="AU28" s="19">
        <v>63.684932515922299</v>
      </c>
      <c r="AV28" s="18">
        <v>3.28195749993654E-2</v>
      </c>
      <c r="AW28" s="19">
        <v>67.618886694316501</v>
      </c>
      <c r="AX28" s="18">
        <v>1.71507804942783E-2</v>
      </c>
      <c r="AY28" s="19">
        <v>88.254258772898297</v>
      </c>
      <c r="AZ28" s="18">
        <v>5.5981169889380801E-3</v>
      </c>
      <c r="BA28" s="19">
        <v>108.076811606223</v>
      </c>
      <c r="BB28" s="18">
        <v>-5.7061314201323099E-2</v>
      </c>
      <c r="BC28" s="19">
        <v>98.586970807600395</v>
      </c>
      <c r="BD28" s="18">
        <v>-2.7703071820796999E-2</v>
      </c>
      <c r="BE28" s="19">
        <v>84.061536983817703</v>
      </c>
      <c r="BF28" s="18">
        <v>1.18959082510739E-2</v>
      </c>
      <c r="BG28" s="19"/>
      <c r="BH28" s="18"/>
    </row>
    <row r="29" spans="1:60" x14ac:dyDescent="0.2">
      <c r="A29" s="16">
        <v>1997</v>
      </c>
      <c r="B29" s="16"/>
      <c r="C29" s="19">
        <v>91.630536876950998</v>
      </c>
      <c r="D29" s="18">
        <v>-4.7923536738808696E-3</v>
      </c>
      <c r="E29" s="19">
        <v>91.1785459430548</v>
      </c>
      <c r="F29" s="18">
        <v>-3.8269043567330501E-3</v>
      </c>
      <c r="G29" s="19">
        <v>112.157587730519</v>
      </c>
      <c r="H29" s="18">
        <v>3.5865484281739898E-2</v>
      </c>
      <c r="I29" s="19">
        <v>75.994679219662203</v>
      </c>
      <c r="J29" s="18">
        <v>-3.8996194506726797E-2</v>
      </c>
      <c r="K29" s="19">
        <v>107.636460150207</v>
      </c>
      <c r="L29" s="18">
        <v>-1.13942120921807E-2</v>
      </c>
      <c r="M29" s="19">
        <v>190.2287756918</v>
      </c>
      <c r="N29" s="18">
        <v>-3.53551166213368E-2</v>
      </c>
      <c r="O29" s="19">
        <v>85.406482431406801</v>
      </c>
      <c r="P29" s="18">
        <v>-5.6778944044529904E-3</v>
      </c>
      <c r="Q29" s="19">
        <v>67.154079453081195</v>
      </c>
      <c r="R29" s="18">
        <v>-3.37640194200972E-3</v>
      </c>
      <c r="S29" s="19">
        <v>151.47764380038001</v>
      </c>
      <c r="T29" s="18">
        <v>4.6017947027476901E-3</v>
      </c>
      <c r="U29" s="19">
        <v>75.739550309695403</v>
      </c>
      <c r="V29" s="18">
        <v>-3.1543361346069797E-2</v>
      </c>
      <c r="W29" s="19">
        <v>104.449730853652</v>
      </c>
      <c r="X29" s="18">
        <v>-6.41946114645331E-3</v>
      </c>
      <c r="Y29" s="19">
        <v>120.656346858951</v>
      </c>
      <c r="Z29" s="18">
        <v>-5.8689512812846196E-3</v>
      </c>
      <c r="AA29" s="19">
        <v>66.097830099194198</v>
      </c>
      <c r="AB29" s="18">
        <v>-2.1449492285997599E-3</v>
      </c>
      <c r="AC29" s="19">
        <v>73.789754477728906</v>
      </c>
      <c r="AD29" s="18">
        <v>-5.5475665285009701E-4</v>
      </c>
      <c r="AE29" s="19">
        <v>111.296546152872</v>
      </c>
      <c r="AF29" s="18">
        <v>-1.6201358630298399E-2</v>
      </c>
      <c r="AG29" s="19">
        <v>128.80741784276501</v>
      </c>
      <c r="AH29" s="18">
        <v>5.41736124225181E-2</v>
      </c>
      <c r="AI29" s="19">
        <v>134.35970078779701</v>
      </c>
      <c r="AJ29" s="18">
        <v>9.0596853768101199E-2</v>
      </c>
      <c r="AK29" s="19">
        <v>141.975724440433</v>
      </c>
      <c r="AL29" s="18">
        <v>7.2787529585418599E-3</v>
      </c>
      <c r="AM29" s="19">
        <v>68.833725541646899</v>
      </c>
      <c r="AN29" s="18">
        <v>-2.2112396823171301E-2</v>
      </c>
      <c r="AO29" s="19">
        <v>78.910820963317505</v>
      </c>
      <c r="AP29" s="18">
        <v>-9.3635767845816602E-3</v>
      </c>
      <c r="AQ29" s="19">
        <v>68.767762299537196</v>
      </c>
      <c r="AR29" s="18">
        <v>-1.00599149364694E-2</v>
      </c>
      <c r="AS29" s="19">
        <v>84.642853923684896</v>
      </c>
      <c r="AT29" s="18">
        <v>5.6070862513464296E-3</v>
      </c>
      <c r="AU29" s="19">
        <v>64.017974357092299</v>
      </c>
      <c r="AV29" s="18">
        <v>5.2295233426955497E-3</v>
      </c>
      <c r="AW29" s="19">
        <v>67.767194405246798</v>
      </c>
      <c r="AX29" s="18">
        <v>2.1932882687161199E-3</v>
      </c>
      <c r="AY29" s="19">
        <v>87.780546636661299</v>
      </c>
      <c r="AZ29" s="18">
        <v>-5.3675838744052804E-3</v>
      </c>
      <c r="BA29" s="19">
        <v>104.313281098201</v>
      </c>
      <c r="BB29" s="18">
        <v>-3.4822738125678598E-2</v>
      </c>
      <c r="BC29" s="19">
        <v>96.700585032060999</v>
      </c>
      <c r="BD29" s="18">
        <v>-1.9134230011193399E-2</v>
      </c>
      <c r="BE29" s="19">
        <v>84.327467920608598</v>
      </c>
      <c r="BF29" s="18">
        <v>3.1635269391052699E-3</v>
      </c>
      <c r="BG29" s="19"/>
      <c r="BH29" s="18"/>
    </row>
    <row r="30" spans="1:60" x14ac:dyDescent="0.2">
      <c r="A30" s="16">
        <v>1998</v>
      </c>
      <c r="B30" s="16"/>
      <c r="C30" s="19">
        <v>91.459116236477399</v>
      </c>
      <c r="D30" s="18">
        <v>-1.87078070604185E-3</v>
      </c>
      <c r="E30" s="19">
        <v>90.773588759597203</v>
      </c>
      <c r="F30" s="18">
        <v>-4.4413647889336404E-3</v>
      </c>
      <c r="G30" s="19">
        <v>106.91157378491199</v>
      </c>
      <c r="H30" s="18">
        <v>-4.6773598217997002E-2</v>
      </c>
      <c r="I30" s="19">
        <v>73.183034449391201</v>
      </c>
      <c r="J30" s="18">
        <v>-3.6997916158629698E-2</v>
      </c>
      <c r="K30" s="19">
        <v>106.459583462954</v>
      </c>
      <c r="L30" s="18">
        <v>-1.09338107701676E-2</v>
      </c>
      <c r="M30" s="19">
        <v>183.00532930807299</v>
      </c>
      <c r="N30" s="18">
        <v>-3.7972416935648498E-2</v>
      </c>
      <c r="O30" s="19">
        <v>85.050058868251597</v>
      </c>
      <c r="P30" s="18">
        <v>-4.1732612444428403E-3</v>
      </c>
      <c r="Q30" s="19">
        <v>67.037792528696798</v>
      </c>
      <c r="R30" s="18">
        <v>-1.73164348810217E-3</v>
      </c>
      <c r="S30" s="19">
        <v>153.372273119168</v>
      </c>
      <c r="T30" s="18">
        <v>1.2507649784180499E-2</v>
      </c>
      <c r="U30" s="19">
        <v>75.408882960030894</v>
      </c>
      <c r="V30" s="18">
        <v>-4.3658478075515603E-3</v>
      </c>
      <c r="W30" s="19">
        <v>103.981208235159</v>
      </c>
      <c r="X30" s="18">
        <v>-4.4856278198560596E-3</v>
      </c>
      <c r="Y30" s="19">
        <v>120.197835016288</v>
      </c>
      <c r="Z30" s="18">
        <v>-3.80014690150565E-3</v>
      </c>
      <c r="AA30" s="19">
        <v>66.400170029687601</v>
      </c>
      <c r="AB30" s="18">
        <v>4.5741279258284502E-3</v>
      </c>
      <c r="AC30" s="19">
        <v>73.8965583927328</v>
      </c>
      <c r="AD30" s="18">
        <v>1.44740846151103E-3</v>
      </c>
      <c r="AE30" s="19">
        <v>108.20430351887801</v>
      </c>
      <c r="AF30" s="18">
        <v>-2.7783814870110501E-2</v>
      </c>
      <c r="AG30" s="19">
        <v>129.80097705182999</v>
      </c>
      <c r="AH30" s="18">
        <v>7.7135247775654801E-3</v>
      </c>
      <c r="AI30" s="19">
        <v>136.68099884257401</v>
      </c>
      <c r="AJ30" s="18">
        <v>1.7276743258331E-2</v>
      </c>
      <c r="AK30" s="19">
        <v>142.45658126493001</v>
      </c>
      <c r="AL30" s="18">
        <v>3.38689467084752E-3</v>
      </c>
      <c r="AM30" s="19">
        <v>68.468977346701394</v>
      </c>
      <c r="AN30" s="18">
        <v>-5.2989750601947199E-3</v>
      </c>
      <c r="AO30" s="19">
        <v>79.365850900175701</v>
      </c>
      <c r="AP30" s="18">
        <v>5.7663819904967299E-3</v>
      </c>
      <c r="AQ30" s="19">
        <v>67.387149596864404</v>
      </c>
      <c r="AR30" s="18">
        <v>-2.0076452344910501E-2</v>
      </c>
      <c r="AS30" s="19">
        <v>85.374732350619894</v>
      </c>
      <c r="AT30" s="18">
        <v>8.64666528842295E-3</v>
      </c>
      <c r="AU30" s="19">
        <v>64.585107742010706</v>
      </c>
      <c r="AV30" s="18">
        <v>8.8589711032547296E-3</v>
      </c>
      <c r="AW30" s="19">
        <v>68.150621836699003</v>
      </c>
      <c r="AX30" s="18">
        <v>5.65800952536555E-3</v>
      </c>
      <c r="AY30" s="19">
        <v>88.636003788733802</v>
      </c>
      <c r="AZ30" s="18">
        <v>9.74540698195203E-3</v>
      </c>
      <c r="BA30" s="19">
        <v>112.912419768755</v>
      </c>
      <c r="BB30" s="18">
        <v>8.2435703105332395E-2</v>
      </c>
      <c r="BC30" s="19">
        <v>101.347918229594</v>
      </c>
      <c r="BD30" s="18">
        <v>4.8058997740207297E-2</v>
      </c>
      <c r="BE30" s="19">
        <v>84.751020129852805</v>
      </c>
      <c r="BF30" s="18">
        <v>5.0227075434421398E-3</v>
      </c>
      <c r="BG30" s="19"/>
      <c r="BH30" s="18"/>
    </row>
    <row r="31" spans="1:60" x14ac:dyDescent="0.2">
      <c r="A31" s="16">
        <v>1999</v>
      </c>
      <c r="B31" s="16"/>
      <c r="C31" s="19">
        <v>91.681620781682497</v>
      </c>
      <c r="D31" s="18">
        <v>2.4328306937690899E-3</v>
      </c>
      <c r="E31" s="19">
        <v>90.759344035101904</v>
      </c>
      <c r="F31" s="18">
        <v>-1.5692587116966601E-4</v>
      </c>
      <c r="G31" s="19">
        <v>98.750535806943802</v>
      </c>
      <c r="H31" s="18">
        <v>-7.6334466784548097E-2</v>
      </c>
      <c r="I31" s="19">
        <v>71.822225311570804</v>
      </c>
      <c r="J31" s="18">
        <v>-1.8594598434715701E-2</v>
      </c>
      <c r="K31" s="19">
        <v>105.58671557789501</v>
      </c>
      <c r="L31" s="18">
        <v>-8.1990541073482196E-3</v>
      </c>
      <c r="M31" s="19">
        <v>178.810758990518</v>
      </c>
      <c r="N31" s="18">
        <v>-2.29204817882308E-2</v>
      </c>
      <c r="O31" s="19">
        <v>84.6577393078922</v>
      </c>
      <c r="P31" s="18">
        <v>-4.6128076285889604E-3</v>
      </c>
      <c r="Q31" s="19">
        <v>66.480684247995697</v>
      </c>
      <c r="R31" s="18">
        <v>-8.3103613601627196E-3</v>
      </c>
      <c r="S31" s="19">
        <v>155.383361463619</v>
      </c>
      <c r="T31" s="18">
        <v>1.3112463573441899E-2</v>
      </c>
      <c r="U31" s="19">
        <v>77.026270996745495</v>
      </c>
      <c r="V31" s="18">
        <v>2.1448242875734502E-2</v>
      </c>
      <c r="W31" s="19">
        <v>104.113611528349</v>
      </c>
      <c r="X31" s="18">
        <v>1.2733386679924001E-3</v>
      </c>
      <c r="Y31" s="19">
        <v>119.80788155540699</v>
      </c>
      <c r="Z31" s="18">
        <v>-3.2442635994914802E-3</v>
      </c>
      <c r="AA31" s="19">
        <v>68.619792257535494</v>
      </c>
      <c r="AB31" s="18">
        <v>3.3427960001540399E-2</v>
      </c>
      <c r="AC31" s="19">
        <v>75.362534097650297</v>
      </c>
      <c r="AD31" s="18">
        <v>1.9838213535282801E-2</v>
      </c>
      <c r="AE31" s="19">
        <v>105.86153040217501</v>
      </c>
      <c r="AF31" s="18">
        <v>-2.1651385762989899E-2</v>
      </c>
      <c r="AG31" s="19">
        <v>127.745450508624</v>
      </c>
      <c r="AH31" s="18">
        <v>-1.5835986676624E-2</v>
      </c>
      <c r="AI31" s="19">
        <v>134.51584768829301</v>
      </c>
      <c r="AJ31" s="18">
        <v>-1.5840908192181501E-2</v>
      </c>
      <c r="AK31" s="19">
        <v>138.620202306116</v>
      </c>
      <c r="AL31" s="18">
        <v>-2.6930163034584301E-2</v>
      </c>
      <c r="AM31" s="19">
        <v>69.305468489344094</v>
      </c>
      <c r="AN31" s="18">
        <v>1.2217082466516401E-2</v>
      </c>
      <c r="AO31" s="19">
        <v>79.312032280146894</v>
      </c>
      <c r="AP31" s="18">
        <v>-6.78108020242707E-4</v>
      </c>
      <c r="AQ31" s="19">
        <v>67.541892027938005</v>
      </c>
      <c r="AR31" s="18">
        <v>2.2963195802068199E-3</v>
      </c>
      <c r="AS31" s="19">
        <v>85.804228319776001</v>
      </c>
      <c r="AT31" s="18">
        <v>5.0307152635304898E-3</v>
      </c>
      <c r="AU31" s="19">
        <v>65.786403558245098</v>
      </c>
      <c r="AV31" s="18">
        <v>1.8600198377511899E-2</v>
      </c>
      <c r="AW31" s="19">
        <v>69.078516360151099</v>
      </c>
      <c r="AX31" s="18">
        <v>1.3615349331302E-2</v>
      </c>
      <c r="AY31" s="19">
        <v>89.685163326210599</v>
      </c>
      <c r="AZ31" s="18">
        <v>1.1836719759811E-2</v>
      </c>
      <c r="BA31" s="19">
        <v>120.75276181642199</v>
      </c>
      <c r="BB31" s="18">
        <v>6.9437375124224293E-2</v>
      </c>
      <c r="BC31" s="19">
        <v>105.88613892601499</v>
      </c>
      <c r="BD31" s="18">
        <v>4.4778627678768702E-2</v>
      </c>
      <c r="BE31" s="19">
        <v>84.6211104502745</v>
      </c>
      <c r="BF31" s="18">
        <v>-1.5328391254674199E-3</v>
      </c>
      <c r="BG31" s="19"/>
      <c r="BH31" s="18"/>
    </row>
    <row r="32" spans="1:60" x14ac:dyDescent="0.2">
      <c r="A32" s="16">
        <v>2000</v>
      </c>
      <c r="B32" s="16"/>
      <c r="C32" s="19">
        <v>93.005235733523193</v>
      </c>
      <c r="D32" s="18">
        <v>1.4437080633561E-2</v>
      </c>
      <c r="E32" s="19">
        <v>91.952918743617005</v>
      </c>
      <c r="F32" s="18">
        <v>1.31509843003439E-2</v>
      </c>
      <c r="G32" s="19">
        <v>98.382655037418402</v>
      </c>
      <c r="H32" s="18">
        <v>-3.7253546678938099E-3</v>
      </c>
      <c r="I32" s="19">
        <v>72.557047041890598</v>
      </c>
      <c r="J32" s="18">
        <v>1.0231118948654999E-2</v>
      </c>
      <c r="K32" s="19">
        <v>105.60730591548599</v>
      </c>
      <c r="L32" s="18">
        <v>1.95008789480866E-4</v>
      </c>
      <c r="M32" s="19">
        <v>172.08559876448899</v>
      </c>
      <c r="N32" s="18">
        <v>-3.7610489793769797E-2</v>
      </c>
      <c r="O32" s="19">
        <v>85.5009630315121</v>
      </c>
      <c r="P32" s="18">
        <v>9.9603855538017393E-3</v>
      </c>
      <c r="Q32" s="19">
        <v>66.717864539019899</v>
      </c>
      <c r="R32" s="18">
        <v>3.5676571880554099E-3</v>
      </c>
      <c r="S32" s="19">
        <v>155.476263460621</v>
      </c>
      <c r="T32" s="18">
        <v>5.9788896395906999E-4</v>
      </c>
      <c r="U32" s="19">
        <v>80.374882296759296</v>
      </c>
      <c r="V32" s="18">
        <v>4.3473626032802401E-2</v>
      </c>
      <c r="W32" s="19">
        <v>105.833333232878</v>
      </c>
      <c r="X32" s="18">
        <v>1.65177413335733E-2</v>
      </c>
      <c r="Y32" s="19">
        <v>120.596582928507</v>
      </c>
      <c r="Z32" s="18">
        <v>6.5830508215380902E-3</v>
      </c>
      <c r="AA32" s="19">
        <v>68.904841335407994</v>
      </c>
      <c r="AB32" s="18">
        <v>4.1540358618792402E-3</v>
      </c>
      <c r="AC32" s="19">
        <v>76.044792966392393</v>
      </c>
      <c r="AD32" s="18">
        <v>9.0530245155773202E-3</v>
      </c>
      <c r="AE32" s="19">
        <v>98.294876699769603</v>
      </c>
      <c r="AF32" s="18">
        <v>-7.1476896977204205E-2</v>
      </c>
      <c r="AG32" s="19">
        <v>131.85762880727901</v>
      </c>
      <c r="AH32" s="18">
        <v>3.2190408991334497E-2</v>
      </c>
      <c r="AI32" s="19">
        <v>139.65529593825599</v>
      </c>
      <c r="AJ32" s="18">
        <v>3.82070093471234E-2</v>
      </c>
      <c r="AK32" s="19">
        <v>143.46373585635899</v>
      </c>
      <c r="AL32" s="18">
        <v>3.4941036513184601E-2</v>
      </c>
      <c r="AM32" s="19">
        <v>70.971011377231804</v>
      </c>
      <c r="AN32" s="18">
        <v>2.4031911538752199E-2</v>
      </c>
      <c r="AO32" s="19">
        <v>80.507441976802795</v>
      </c>
      <c r="AP32" s="18">
        <v>1.5072236359212799E-2</v>
      </c>
      <c r="AQ32" s="19">
        <v>71.427400421125199</v>
      </c>
      <c r="AR32" s="18">
        <v>5.75273845094533E-2</v>
      </c>
      <c r="AS32" s="19">
        <v>86.4352667395531</v>
      </c>
      <c r="AT32" s="18">
        <v>7.3543977043333299E-3</v>
      </c>
      <c r="AU32" s="19">
        <v>67.640041779722793</v>
      </c>
      <c r="AV32" s="18">
        <v>2.8176615854012699E-2</v>
      </c>
      <c r="AW32" s="19">
        <v>70.141470115058596</v>
      </c>
      <c r="AX32" s="18">
        <v>1.53876170322709E-2</v>
      </c>
      <c r="AY32" s="19">
        <v>91.1156547018184</v>
      </c>
      <c r="AZ32" s="18">
        <v>1.59501451806996E-2</v>
      </c>
      <c r="BA32" s="19">
        <v>126.012067384049</v>
      </c>
      <c r="BB32" s="18">
        <v>4.3554329429104102E-2</v>
      </c>
      <c r="BC32" s="19">
        <v>110.192010259708</v>
      </c>
      <c r="BD32" s="18">
        <v>4.0665108553081399E-2</v>
      </c>
      <c r="BE32" s="19">
        <v>87.489995353393994</v>
      </c>
      <c r="BF32" s="18">
        <v>3.3902709239502601E-2</v>
      </c>
      <c r="BG32" s="19"/>
      <c r="BH32" s="18"/>
    </row>
    <row r="33" spans="1:60" x14ac:dyDescent="0.2">
      <c r="A33" s="16">
        <v>2001</v>
      </c>
      <c r="B33" s="16"/>
      <c r="C33" s="19">
        <v>94.020626199172</v>
      </c>
      <c r="D33" s="18">
        <v>1.09175624107674E-2</v>
      </c>
      <c r="E33" s="19">
        <v>93.045473534024794</v>
      </c>
      <c r="F33" s="18">
        <v>1.18816760287297E-2</v>
      </c>
      <c r="G33" s="19">
        <v>95.423704972566895</v>
      </c>
      <c r="H33" s="18">
        <v>-3.0075932223278298E-2</v>
      </c>
      <c r="I33" s="19">
        <v>74.725694155667199</v>
      </c>
      <c r="J33" s="18">
        <v>2.9888855765099798E-2</v>
      </c>
      <c r="K33" s="19">
        <v>106.57164537935</v>
      </c>
      <c r="L33" s="18">
        <v>9.1313707466051906E-3</v>
      </c>
      <c r="M33" s="19">
        <v>170.80193073010801</v>
      </c>
      <c r="N33" s="18">
        <v>-7.4594739106423899E-3</v>
      </c>
      <c r="O33" s="19">
        <v>86.669785259148696</v>
      </c>
      <c r="P33" s="18">
        <v>1.36702814353782E-2</v>
      </c>
      <c r="Q33" s="19">
        <v>68.133357992786202</v>
      </c>
      <c r="R33" s="18">
        <v>2.12161085122629E-2</v>
      </c>
      <c r="S33" s="19">
        <v>158.25522667991601</v>
      </c>
      <c r="T33" s="18">
        <v>1.7873874490165899E-2</v>
      </c>
      <c r="U33" s="19">
        <v>83.321682219850402</v>
      </c>
      <c r="V33" s="18">
        <v>3.6663194257765298E-2</v>
      </c>
      <c r="W33" s="19">
        <v>106.09969430510399</v>
      </c>
      <c r="X33" s="18">
        <v>2.51679753522671E-3</v>
      </c>
      <c r="Y33" s="19">
        <v>120.202463586401</v>
      </c>
      <c r="Z33" s="18">
        <v>-3.2680805088791702E-3</v>
      </c>
      <c r="AA33" s="19">
        <v>71.569653653343295</v>
      </c>
      <c r="AB33" s="18">
        <v>3.86738038473056E-2</v>
      </c>
      <c r="AC33" s="19">
        <v>78.049179806192697</v>
      </c>
      <c r="AD33" s="18">
        <v>2.6357976156054799E-2</v>
      </c>
      <c r="AE33" s="19">
        <v>98.329566856560405</v>
      </c>
      <c r="AF33" s="18">
        <v>3.5291927672620498E-4</v>
      </c>
      <c r="AG33" s="19">
        <v>127.68574164209799</v>
      </c>
      <c r="AH33" s="18">
        <v>-3.1639331018745803E-2</v>
      </c>
      <c r="AI33" s="19">
        <v>139.60054247185101</v>
      </c>
      <c r="AJ33" s="18">
        <v>-3.9206151143134099E-4</v>
      </c>
      <c r="AK33" s="19">
        <v>130.58329734375101</v>
      </c>
      <c r="AL33" s="18">
        <v>-8.9781842329161102E-2</v>
      </c>
      <c r="AM33" s="19">
        <v>73.210795424651806</v>
      </c>
      <c r="AN33" s="18">
        <v>3.1559139484640002E-2</v>
      </c>
      <c r="AO33" s="19">
        <v>81.913013062310995</v>
      </c>
      <c r="AP33" s="18">
        <v>1.7458896357844401E-2</v>
      </c>
      <c r="AQ33" s="19">
        <v>75.215043512945897</v>
      </c>
      <c r="AR33" s="18">
        <v>5.3027872629961802E-2</v>
      </c>
      <c r="AS33" s="19">
        <v>87.256539836675998</v>
      </c>
      <c r="AT33" s="18">
        <v>9.5015973005272408E-3</v>
      </c>
      <c r="AU33" s="19">
        <v>69.593841329099803</v>
      </c>
      <c r="AV33" s="18">
        <v>2.88852504813615E-2</v>
      </c>
      <c r="AW33" s="19">
        <v>71.949388685937905</v>
      </c>
      <c r="AX33" s="18">
        <v>2.57753161990135E-2</v>
      </c>
      <c r="AY33" s="19">
        <v>91.226385865793205</v>
      </c>
      <c r="AZ33" s="18">
        <v>1.2152814391461801E-3</v>
      </c>
      <c r="BA33" s="19">
        <v>124.57752148125201</v>
      </c>
      <c r="BB33" s="18">
        <v>-1.1384194645618999E-2</v>
      </c>
      <c r="BC33" s="19">
        <v>109.73924375790899</v>
      </c>
      <c r="BD33" s="18">
        <v>-4.1088868487999504E-3</v>
      </c>
      <c r="BE33" s="19">
        <v>88.487793072672304</v>
      </c>
      <c r="BF33" s="18">
        <v>1.14047065067036E-2</v>
      </c>
      <c r="BG33" s="19"/>
      <c r="BH33" s="18"/>
    </row>
    <row r="34" spans="1:60" x14ac:dyDescent="0.2">
      <c r="A34" s="16">
        <v>2002</v>
      </c>
      <c r="B34" s="16"/>
      <c r="C34" s="19">
        <v>93.5913526430367</v>
      </c>
      <c r="D34" s="18">
        <v>-4.56573810969918E-3</v>
      </c>
      <c r="E34" s="19">
        <v>92.818558484303793</v>
      </c>
      <c r="F34" s="18">
        <v>-2.4387543112246398E-3</v>
      </c>
      <c r="G34" s="19">
        <v>93.865251098746398</v>
      </c>
      <c r="H34" s="18">
        <v>-1.63319363282796E-2</v>
      </c>
      <c r="I34" s="19">
        <v>75.185068102596404</v>
      </c>
      <c r="J34" s="18">
        <v>6.1474697842518501E-3</v>
      </c>
      <c r="K34" s="19">
        <v>106.105639695503</v>
      </c>
      <c r="L34" s="18">
        <v>-4.3726985934042801E-3</v>
      </c>
      <c r="M34" s="19">
        <v>166.69055207232699</v>
      </c>
      <c r="N34" s="18">
        <v>-2.4071031517071899E-2</v>
      </c>
      <c r="O34" s="19">
        <v>86.819945609242495</v>
      </c>
      <c r="P34" s="18">
        <v>1.73255708024223E-3</v>
      </c>
      <c r="Q34" s="19">
        <v>66.127175724630305</v>
      </c>
      <c r="R34" s="18">
        <v>-2.9444934570350901E-2</v>
      </c>
      <c r="S34" s="19">
        <v>160.410429572059</v>
      </c>
      <c r="T34" s="18">
        <v>1.3618525829177899E-2</v>
      </c>
      <c r="U34" s="19">
        <v>82.534516117384499</v>
      </c>
      <c r="V34" s="18">
        <v>-9.4473140903339504E-3</v>
      </c>
      <c r="W34" s="19">
        <v>105.154884363627</v>
      </c>
      <c r="X34" s="18">
        <v>-8.9049261420077706E-3</v>
      </c>
      <c r="Y34" s="19">
        <v>119.93500518083199</v>
      </c>
      <c r="Z34" s="18">
        <v>-2.2250659228524299E-3</v>
      </c>
      <c r="AA34" s="19">
        <v>72.091588713094197</v>
      </c>
      <c r="AB34" s="18">
        <v>7.2926866780576001E-3</v>
      </c>
      <c r="AC34" s="19">
        <v>80.406071078634895</v>
      </c>
      <c r="AD34" s="18">
        <v>3.0197514929621899E-2</v>
      </c>
      <c r="AE34" s="19">
        <v>99.175324478303693</v>
      </c>
      <c r="AF34" s="18">
        <v>8.6012544220506193E-3</v>
      </c>
      <c r="AG34" s="19">
        <v>122.954605845681</v>
      </c>
      <c r="AH34" s="18">
        <v>-3.70529687620006E-2</v>
      </c>
      <c r="AI34" s="19">
        <v>140.25690201204799</v>
      </c>
      <c r="AJ34" s="18">
        <v>4.7016976336558E-3</v>
      </c>
      <c r="AK34" s="19">
        <v>116.28436306790999</v>
      </c>
      <c r="AL34" s="18">
        <v>-0.10950048411015401</v>
      </c>
      <c r="AM34" s="19">
        <v>73.829094095179997</v>
      </c>
      <c r="AN34" s="18">
        <v>8.4454576260479808E-3</v>
      </c>
      <c r="AO34" s="19">
        <v>83.017638008653904</v>
      </c>
      <c r="AP34" s="18">
        <v>1.3485341401160001E-2</v>
      </c>
      <c r="AQ34" s="19">
        <v>75.720806843564702</v>
      </c>
      <c r="AR34" s="18">
        <v>6.72423104470821E-3</v>
      </c>
      <c r="AS34" s="19">
        <v>88.297870915044797</v>
      </c>
      <c r="AT34" s="18">
        <v>1.1934132161531601E-2</v>
      </c>
      <c r="AU34" s="19">
        <v>70.502864600468897</v>
      </c>
      <c r="AV34" s="18">
        <v>1.3061834984368701E-2</v>
      </c>
      <c r="AW34" s="19">
        <v>73.152856681771894</v>
      </c>
      <c r="AX34" s="18">
        <v>1.6726590980323801E-2</v>
      </c>
      <c r="AY34" s="19">
        <v>91.288765222158204</v>
      </c>
      <c r="AZ34" s="18">
        <v>6.8378633849253102E-4</v>
      </c>
      <c r="BA34" s="19">
        <v>117.51005105292199</v>
      </c>
      <c r="BB34" s="18">
        <v>-5.6731506168172997E-2</v>
      </c>
      <c r="BC34" s="19">
        <v>105.996880675407</v>
      </c>
      <c r="BD34" s="18">
        <v>-3.41023225087781E-2</v>
      </c>
      <c r="BE34" s="19">
        <v>89.289814312213906</v>
      </c>
      <c r="BF34" s="18">
        <v>9.0636370474621603E-3</v>
      </c>
      <c r="BG34" s="19"/>
      <c r="BH34" s="18"/>
    </row>
    <row r="35" spans="1:60" x14ac:dyDescent="0.2">
      <c r="A35" s="16">
        <v>2003</v>
      </c>
      <c r="B35" s="16"/>
      <c r="C35" s="19">
        <v>94.694256077253797</v>
      </c>
      <c r="D35" s="18">
        <v>1.1784245051181599E-2</v>
      </c>
      <c r="E35" s="19">
        <v>93.969875647286003</v>
      </c>
      <c r="F35" s="18">
        <v>1.24039543576511E-2</v>
      </c>
      <c r="G35" s="19">
        <v>99.764363925057793</v>
      </c>
      <c r="H35" s="18">
        <v>6.2846609978229204E-2</v>
      </c>
      <c r="I35" s="19">
        <v>75.010504810914497</v>
      </c>
      <c r="J35" s="18">
        <v>-2.3217813867470998E-3</v>
      </c>
      <c r="K35" s="19">
        <v>106.478127612991</v>
      </c>
      <c r="L35" s="18">
        <v>3.5105383517470799E-3</v>
      </c>
      <c r="M35" s="19">
        <v>166.82223144856599</v>
      </c>
      <c r="N35" s="18">
        <v>7.8996304590606104E-4</v>
      </c>
      <c r="O35" s="19">
        <v>87.200718703781703</v>
      </c>
      <c r="P35" s="18">
        <v>4.3857790035131102E-3</v>
      </c>
      <c r="Q35" s="19">
        <v>64.892489797790304</v>
      </c>
      <c r="R35" s="18">
        <v>-1.8671384545161498E-2</v>
      </c>
      <c r="S35" s="19">
        <v>161.79165785198299</v>
      </c>
      <c r="T35" s="18">
        <v>8.6105889972922806E-3</v>
      </c>
      <c r="U35" s="19">
        <v>81.560450083408995</v>
      </c>
      <c r="V35" s="18">
        <v>-1.1801923362464399E-2</v>
      </c>
      <c r="W35" s="19">
        <v>105.235346913726</v>
      </c>
      <c r="X35" s="18">
        <v>7.6518129030356296E-4</v>
      </c>
      <c r="Y35" s="19">
        <v>119.94174028528801</v>
      </c>
      <c r="Z35" s="18">
        <v>5.6156286031061597E-5</v>
      </c>
      <c r="AA35" s="19">
        <v>72.439981300291706</v>
      </c>
      <c r="AB35" s="18">
        <v>4.8326385007832996E-3</v>
      </c>
      <c r="AC35" s="19">
        <v>81.660376020115805</v>
      </c>
      <c r="AD35" s="18">
        <v>1.5599629787336E-2</v>
      </c>
      <c r="AE35" s="19">
        <v>100.48941594874501</v>
      </c>
      <c r="AF35" s="18">
        <v>1.32501857428133E-2</v>
      </c>
      <c r="AG35" s="19">
        <v>131.288030797841</v>
      </c>
      <c r="AH35" s="18">
        <v>6.7776435822337194E-2</v>
      </c>
      <c r="AI35" s="19">
        <v>140.54299797568001</v>
      </c>
      <c r="AJ35" s="18">
        <v>2.0397995359080498E-3</v>
      </c>
      <c r="AK35" s="19">
        <v>136.50676773692501</v>
      </c>
      <c r="AL35" s="18">
        <v>0.17390476359409601</v>
      </c>
      <c r="AM35" s="19">
        <v>74.411081378709397</v>
      </c>
      <c r="AN35" s="18">
        <v>7.8828988850803104E-3</v>
      </c>
      <c r="AO35" s="19">
        <v>83.621698895074303</v>
      </c>
      <c r="AP35" s="18">
        <v>7.2762957476266701E-3</v>
      </c>
      <c r="AQ35" s="19">
        <v>76.595358602397695</v>
      </c>
      <c r="AR35" s="18">
        <v>1.15496888542113E-2</v>
      </c>
      <c r="AS35" s="19">
        <v>89.703509828975797</v>
      </c>
      <c r="AT35" s="18">
        <v>1.5919284342466498E-2</v>
      </c>
      <c r="AU35" s="19">
        <v>71.770910295719105</v>
      </c>
      <c r="AV35" s="18">
        <v>1.7985732954767901E-2</v>
      </c>
      <c r="AW35" s="19">
        <v>74.6204793371964</v>
      </c>
      <c r="AX35" s="18">
        <v>2.0062410710888701E-2</v>
      </c>
      <c r="AY35" s="19">
        <v>91.346901084892806</v>
      </c>
      <c r="AZ35" s="18">
        <v>6.3683480210396904E-4</v>
      </c>
      <c r="BA35" s="19">
        <v>117.015815145857</v>
      </c>
      <c r="BB35" s="18">
        <v>-4.2059032622069302E-3</v>
      </c>
      <c r="BC35" s="19">
        <v>106.14817596945601</v>
      </c>
      <c r="BD35" s="18">
        <v>1.42735609845213E-3</v>
      </c>
      <c r="BE35" s="19">
        <v>90.289477914791803</v>
      </c>
      <c r="BF35" s="18">
        <v>1.11957182381672E-2</v>
      </c>
      <c r="BG35" s="19"/>
      <c r="BH35" s="18"/>
    </row>
    <row r="36" spans="1:60" x14ac:dyDescent="0.2">
      <c r="A36" s="16">
        <v>2004</v>
      </c>
      <c r="B36" s="16"/>
      <c r="C36" s="19">
        <v>95.102908178797605</v>
      </c>
      <c r="D36" s="18">
        <v>4.3154898562214302E-3</v>
      </c>
      <c r="E36" s="19">
        <v>94.413007099126304</v>
      </c>
      <c r="F36" s="18">
        <v>4.7156756225106298E-3</v>
      </c>
      <c r="G36" s="19">
        <v>97.735179632334095</v>
      </c>
      <c r="H36" s="18">
        <v>-2.0339770764719801E-2</v>
      </c>
      <c r="I36" s="19">
        <v>75.589072125940802</v>
      </c>
      <c r="J36" s="18">
        <v>7.7131505311784903E-3</v>
      </c>
      <c r="K36" s="19">
        <v>107.59827668251999</v>
      </c>
      <c r="L36" s="18">
        <v>1.0519992177178399E-2</v>
      </c>
      <c r="M36" s="19">
        <v>167.23298044806</v>
      </c>
      <c r="N36" s="18">
        <v>2.4621958112376299E-3</v>
      </c>
      <c r="O36" s="19">
        <v>88.360132539536593</v>
      </c>
      <c r="P36" s="18">
        <v>1.3295920641358301E-2</v>
      </c>
      <c r="Q36" s="19">
        <v>64.945311789276701</v>
      </c>
      <c r="R36" s="18">
        <v>8.1399236877843805E-4</v>
      </c>
      <c r="S36" s="19">
        <v>168.528446667639</v>
      </c>
      <c r="T36" s="18">
        <v>4.1638666078935203E-2</v>
      </c>
      <c r="U36" s="19">
        <v>82.496753848733206</v>
      </c>
      <c r="V36" s="18">
        <v>1.14798749193594E-2</v>
      </c>
      <c r="W36" s="19">
        <v>106.701061315822</v>
      </c>
      <c r="X36" s="18">
        <v>1.3927966648862301E-2</v>
      </c>
      <c r="Y36" s="19">
        <v>119.710051382052</v>
      </c>
      <c r="Z36" s="18">
        <v>-1.9316786857096499E-3</v>
      </c>
      <c r="AA36" s="19">
        <v>72.484014564731197</v>
      </c>
      <c r="AB36" s="18">
        <v>6.07858583741683E-4</v>
      </c>
      <c r="AC36" s="19">
        <v>82.334422795979506</v>
      </c>
      <c r="AD36" s="18">
        <v>8.2542698027452399E-3</v>
      </c>
      <c r="AE36" s="19">
        <v>101.40527599363701</v>
      </c>
      <c r="AF36" s="18">
        <v>9.1139951033163396E-3</v>
      </c>
      <c r="AG36" s="19">
        <v>125.71372284632299</v>
      </c>
      <c r="AH36" s="18">
        <v>-4.2458614982973999E-2</v>
      </c>
      <c r="AI36" s="19">
        <v>134.75936697403299</v>
      </c>
      <c r="AJ36" s="18">
        <v>-4.1152039482236599E-2</v>
      </c>
      <c r="AK36" s="19">
        <v>129.96138753839301</v>
      </c>
      <c r="AL36" s="18">
        <v>-4.7949125944775503E-2</v>
      </c>
      <c r="AM36" s="19">
        <v>76.004116919641604</v>
      </c>
      <c r="AN36" s="18">
        <v>2.1408579359633299E-2</v>
      </c>
      <c r="AO36" s="19">
        <v>84.188337908861001</v>
      </c>
      <c r="AP36" s="18">
        <v>6.7762198242074002E-3</v>
      </c>
      <c r="AQ36" s="19">
        <v>75.197780933697103</v>
      </c>
      <c r="AR36" s="18">
        <v>-1.8246244866550999E-2</v>
      </c>
      <c r="AS36" s="19">
        <v>91.104107877203504</v>
      </c>
      <c r="AT36" s="18">
        <v>1.5613637090655901E-2</v>
      </c>
      <c r="AU36" s="19">
        <v>73.472341544950297</v>
      </c>
      <c r="AV36" s="18">
        <v>2.3706418689977801E-2</v>
      </c>
      <c r="AW36" s="19">
        <v>76.010952990282703</v>
      </c>
      <c r="AX36" s="18">
        <v>1.8633941585968899E-2</v>
      </c>
      <c r="AY36" s="19">
        <v>91.396798164711299</v>
      </c>
      <c r="AZ36" s="18">
        <v>5.4623724752445003E-4</v>
      </c>
      <c r="BA36" s="19">
        <v>116.33640295025501</v>
      </c>
      <c r="BB36" s="18">
        <v>-5.8061570118141904E-3</v>
      </c>
      <c r="BC36" s="19">
        <v>105.95546705399001</v>
      </c>
      <c r="BD36" s="18">
        <v>-1.8154708143256499E-3</v>
      </c>
      <c r="BE36" s="19">
        <v>90.776748082016994</v>
      </c>
      <c r="BF36" s="18">
        <v>5.3967547324291799E-3</v>
      </c>
      <c r="BG36" s="19"/>
      <c r="BH36" s="18"/>
    </row>
    <row r="37" spans="1:60" x14ac:dyDescent="0.2">
      <c r="A37" s="16">
        <v>2005</v>
      </c>
      <c r="B37" s="16"/>
      <c r="C37" s="19">
        <v>96.007233597424204</v>
      </c>
      <c r="D37" s="18">
        <v>9.5089144584985501E-3</v>
      </c>
      <c r="E37" s="19">
        <v>95.412831654981602</v>
      </c>
      <c r="F37" s="18">
        <v>1.05899026688727E-2</v>
      </c>
      <c r="G37" s="19">
        <v>92.071584362797296</v>
      </c>
      <c r="H37" s="18">
        <v>-5.7948379394629997E-2</v>
      </c>
      <c r="I37" s="19">
        <v>77.581745538907796</v>
      </c>
      <c r="J37" s="18">
        <v>2.6361924507381E-2</v>
      </c>
      <c r="K37" s="19">
        <v>108.19925399882599</v>
      </c>
      <c r="L37" s="18">
        <v>5.5853804989787204E-3</v>
      </c>
      <c r="M37" s="19">
        <v>166.09818305892799</v>
      </c>
      <c r="N37" s="18">
        <v>-6.7857272297100497E-3</v>
      </c>
      <c r="O37" s="19">
        <v>89.238985034002695</v>
      </c>
      <c r="P37" s="18">
        <v>9.9462559551151096E-3</v>
      </c>
      <c r="Q37" s="19">
        <v>63.5870208038234</v>
      </c>
      <c r="R37" s="18">
        <v>-2.0914380854163101E-2</v>
      </c>
      <c r="S37" s="19">
        <v>153.31358002847901</v>
      </c>
      <c r="T37" s="18">
        <v>-9.0280702991144296E-2</v>
      </c>
      <c r="U37" s="19">
        <v>84.027076816413796</v>
      </c>
      <c r="V37" s="18">
        <v>1.8550099201316301E-2</v>
      </c>
      <c r="W37" s="19">
        <v>109.70320660489099</v>
      </c>
      <c r="X37" s="18">
        <v>2.8136039623665201E-2</v>
      </c>
      <c r="Y37" s="19">
        <v>119.269403591111</v>
      </c>
      <c r="Z37" s="18">
        <v>-3.6809589992964401E-3</v>
      </c>
      <c r="AA37" s="19">
        <v>75.316181719857695</v>
      </c>
      <c r="AB37" s="18">
        <v>3.9072989708610201E-2</v>
      </c>
      <c r="AC37" s="19">
        <v>83.035797251210695</v>
      </c>
      <c r="AD37" s="18">
        <v>8.5186053586501203E-3</v>
      </c>
      <c r="AE37" s="19">
        <v>100.077707733564</v>
      </c>
      <c r="AF37" s="18">
        <v>-1.30917079714501E-2</v>
      </c>
      <c r="AG37" s="19">
        <v>124.81688711296</v>
      </c>
      <c r="AH37" s="18">
        <v>-7.1339525475595496E-3</v>
      </c>
      <c r="AI37" s="19">
        <v>135.18350954111</v>
      </c>
      <c r="AJ37" s="18">
        <v>3.1474069417287702E-3</v>
      </c>
      <c r="AK37" s="19">
        <v>125.112987275297</v>
      </c>
      <c r="AL37" s="18">
        <v>-3.7306467366421403E-2</v>
      </c>
      <c r="AM37" s="19">
        <v>77.671808169427194</v>
      </c>
      <c r="AN37" s="18">
        <v>2.1942117313839899E-2</v>
      </c>
      <c r="AO37" s="19">
        <v>85.179051472643593</v>
      </c>
      <c r="AP37" s="18">
        <v>1.17678242425341E-2</v>
      </c>
      <c r="AQ37" s="19">
        <v>75.545253352903302</v>
      </c>
      <c r="AR37" s="18">
        <v>4.6207802263817897E-3</v>
      </c>
      <c r="AS37" s="19">
        <v>92.1092426917034</v>
      </c>
      <c r="AT37" s="18">
        <v>1.10328155109609E-2</v>
      </c>
      <c r="AU37" s="19">
        <v>74.912868273754498</v>
      </c>
      <c r="AV37" s="18">
        <v>1.9606381102240202E-2</v>
      </c>
      <c r="AW37" s="19">
        <v>77.317675287309498</v>
      </c>
      <c r="AX37" s="18">
        <v>1.71912368628486E-2</v>
      </c>
      <c r="AY37" s="19">
        <v>91.723290963305899</v>
      </c>
      <c r="AZ37" s="18">
        <v>3.5722564154396798E-3</v>
      </c>
      <c r="BA37" s="19">
        <v>114.241891053796</v>
      </c>
      <c r="BB37" s="18">
        <v>-1.8003925197469399E-2</v>
      </c>
      <c r="BC37" s="19">
        <v>105.54542567111601</v>
      </c>
      <c r="BD37" s="18">
        <v>-3.8699407805395901E-3</v>
      </c>
      <c r="BE37" s="19">
        <v>92.7880303666592</v>
      </c>
      <c r="BF37" s="18">
        <v>2.21563597191765E-2</v>
      </c>
      <c r="BG37" s="19"/>
      <c r="BH37" s="18"/>
    </row>
    <row r="38" spans="1:60" x14ac:dyDescent="0.2">
      <c r="A38" s="16">
        <v>2006</v>
      </c>
      <c r="B38" s="16"/>
      <c r="C38" s="19">
        <v>98.048648423416793</v>
      </c>
      <c r="D38" s="18">
        <v>2.1263135594059301E-2</v>
      </c>
      <c r="E38" s="19">
        <v>97.511742463207796</v>
      </c>
      <c r="F38" s="18">
        <v>2.1998202671690701E-2</v>
      </c>
      <c r="G38" s="19">
        <v>94.098403855312</v>
      </c>
      <c r="H38" s="18">
        <v>2.2013518139627701E-2</v>
      </c>
      <c r="I38" s="19">
        <v>79.854475894022997</v>
      </c>
      <c r="J38" s="18">
        <v>2.9294653520980801E-2</v>
      </c>
      <c r="K38" s="19">
        <v>109.719302091126</v>
      </c>
      <c r="L38" s="18">
        <v>1.40486004858846E-2</v>
      </c>
      <c r="M38" s="19">
        <v>165.15938959235601</v>
      </c>
      <c r="N38" s="18">
        <v>-5.6520393497554401E-3</v>
      </c>
      <c r="O38" s="19">
        <v>91.140122830751693</v>
      </c>
      <c r="P38" s="18">
        <v>2.1303893091395101E-2</v>
      </c>
      <c r="Q38" s="19">
        <v>65.321234635983203</v>
      </c>
      <c r="R38" s="18">
        <v>2.72730788490647E-2</v>
      </c>
      <c r="S38" s="19">
        <v>167.04311131984801</v>
      </c>
      <c r="T38" s="18">
        <v>8.9551958077155797E-2</v>
      </c>
      <c r="U38" s="19">
        <v>87.1997981513924</v>
      </c>
      <c r="V38" s="18">
        <v>3.77583209506447E-2</v>
      </c>
      <c r="W38" s="19">
        <v>112.98900954760801</v>
      </c>
      <c r="X38" s="18">
        <v>2.9951749309856401E-2</v>
      </c>
      <c r="Y38" s="19">
        <v>118.867763229717</v>
      </c>
      <c r="Z38" s="18">
        <v>-3.3675054062563001E-3</v>
      </c>
      <c r="AA38" s="19">
        <v>75.703232029893897</v>
      </c>
      <c r="AB38" s="18">
        <v>5.1390060037279604E-3</v>
      </c>
      <c r="AC38" s="19">
        <v>84.615746260549997</v>
      </c>
      <c r="AD38" s="18">
        <v>1.9027323896938501E-2</v>
      </c>
      <c r="AE38" s="19">
        <v>98.202804373804497</v>
      </c>
      <c r="AF38" s="18">
        <v>-1.87344754613188E-2</v>
      </c>
      <c r="AG38" s="19">
        <v>130.06691663831899</v>
      </c>
      <c r="AH38" s="18">
        <v>4.2061852741188198E-2</v>
      </c>
      <c r="AI38" s="19">
        <v>136.86843305519901</v>
      </c>
      <c r="AJ38" s="18">
        <v>1.2463972268574699E-2</v>
      </c>
      <c r="AK38" s="19">
        <v>138.557474847896</v>
      </c>
      <c r="AL38" s="18">
        <v>0.10745876879285</v>
      </c>
      <c r="AM38" s="19">
        <v>79.875625741327099</v>
      </c>
      <c r="AN38" s="18">
        <v>2.8373455232208401E-2</v>
      </c>
      <c r="AO38" s="19">
        <v>86.414864573652594</v>
      </c>
      <c r="AP38" s="18">
        <v>1.45084158562854E-2</v>
      </c>
      <c r="AQ38" s="19">
        <v>76.581629160703798</v>
      </c>
      <c r="AR38" s="18">
        <v>1.3718609201813999E-2</v>
      </c>
      <c r="AS38" s="19">
        <v>93.180708643600298</v>
      </c>
      <c r="AT38" s="18">
        <v>1.16325563058113E-2</v>
      </c>
      <c r="AU38" s="19">
        <v>75.927864852643296</v>
      </c>
      <c r="AV38" s="18">
        <v>1.35490283882826E-2</v>
      </c>
      <c r="AW38" s="19">
        <v>78.596986071141203</v>
      </c>
      <c r="AX38" s="18">
        <v>1.6546162039635399E-2</v>
      </c>
      <c r="AY38" s="19">
        <v>92.358373821330403</v>
      </c>
      <c r="AZ38" s="18">
        <v>6.9238996045031297E-3</v>
      </c>
      <c r="BA38" s="19">
        <v>114.541459854387</v>
      </c>
      <c r="BB38" s="18">
        <v>2.6222325088254301E-3</v>
      </c>
      <c r="BC38" s="19">
        <v>106.128425958419</v>
      </c>
      <c r="BD38" s="18">
        <v>5.5236907103834998E-3</v>
      </c>
      <c r="BE38" s="19">
        <v>93.817284801588897</v>
      </c>
      <c r="BF38" s="18">
        <v>1.1092534574367799E-2</v>
      </c>
      <c r="BG38" s="19"/>
      <c r="BH38" s="18"/>
    </row>
    <row r="39" spans="1:60" x14ac:dyDescent="0.2">
      <c r="A39" s="16">
        <v>2007</v>
      </c>
      <c r="B39" s="16"/>
      <c r="C39" s="19">
        <v>100.470826268553</v>
      </c>
      <c r="D39" s="18">
        <v>2.4703837167400901E-2</v>
      </c>
      <c r="E39" s="19">
        <v>99.987963855802306</v>
      </c>
      <c r="F39" s="18">
        <v>2.5394084138418101E-2</v>
      </c>
      <c r="G39" s="19">
        <v>96.534801110817597</v>
      </c>
      <c r="H39" s="18">
        <v>2.5892014696146302E-2</v>
      </c>
      <c r="I39" s="19">
        <v>81.384683111542699</v>
      </c>
      <c r="J39" s="18">
        <v>1.9162447694860401E-2</v>
      </c>
      <c r="K39" s="19">
        <v>112.16366626320099</v>
      </c>
      <c r="L39" s="18">
        <v>2.2278342328903199E-2</v>
      </c>
      <c r="M39" s="19">
        <v>167.00470478165599</v>
      </c>
      <c r="N39" s="18">
        <v>1.11729353920147E-2</v>
      </c>
      <c r="O39" s="19">
        <v>93.544279130676699</v>
      </c>
      <c r="P39" s="18">
        <v>2.6378681806140399E-2</v>
      </c>
      <c r="Q39" s="19">
        <v>64.853456916476304</v>
      </c>
      <c r="R39" s="18">
        <v>-7.1611891923613101E-3</v>
      </c>
      <c r="S39" s="19">
        <v>185.67199652137199</v>
      </c>
      <c r="T39" s="18">
        <v>0.111521421352444</v>
      </c>
      <c r="U39" s="19">
        <v>90.812785434063301</v>
      </c>
      <c r="V39" s="18">
        <v>4.1433436306792998E-2</v>
      </c>
      <c r="W39" s="19">
        <v>115.15099829509001</v>
      </c>
      <c r="X39" s="18">
        <v>1.9134504817217301E-2</v>
      </c>
      <c r="Y39" s="19">
        <v>118.552654074241</v>
      </c>
      <c r="Z39" s="18">
        <v>-2.6509218892844001E-3</v>
      </c>
      <c r="AA39" s="19">
        <v>76.707645837014695</v>
      </c>
      <c r="AB39" s="18">
        <v>1.32677797260248E-2</v>
      </c>
      <c r="AC39" s="19">
        <v>85.556647869502598</v>
      </c>
      <c r="AD39" s="18">
        <v>1.11196987621591E-2</v>
      </c>
      <c r="AE39" s="19">
        <v>98.248544915214495</v>
      </c>
      <c r="AF39" s="18">
        <v>4.6577632585620399E-4</v>
      </c>
      <c r="AG39" s="19">
        <v>137.438443719937</v>
      </c>
      <c r="AH39" s="18">
        <v>5.6674881454411997E-2</v>
      </c>
      <c r="AI39" s="19">
        <v>136.21640594252199</v>
      </c>
      <c r="AJ39" s="18">
        <v>-4.76389696383883E-3</v>
      </c>
      <c r="AK39" s="19">
        <v>164.723765623529</v>
      </c>
      <c r="AL39" s="18">
        <v>0.188847918918539</v>
      </c>
      <c r="AM39" s="19">
        <v>82.388844198563902</v>
      </c>
      <c r="AN39" s="18">
        <v>3.1464147340463502E-2</v>
      </c>
      <c r="AO39" s="19">
        <v>88.310484414033994</v>
      </c>
      <c r="AP39" s="18">
        <v>2.1936270452240302E-2</v>
      </c>
      <c r="AQ39" s="19">
        <v>77.864886735135698</v>
      </c>
      <c r="AR39" s="18">
        <v>1.6756728584854001E-2</v>
      </c>
      <c r="AS39" s="19">
        <v>93.953277484148202</v>
      </c>
      <c r="AT39" s="18">
        <v>8.2910814029424403E-3</v>
      </c>
      <c r="AU39" s="19">
        <v>76.637768557379601</v>
      </c>
      <c r="AV39" s="18">
        <v>9.3497124687234E-3</v>
      </c>
      <c r="AW39" s="19">
        <v>80.162261200519595</v>
      </c>
      <c r="AX39" s="18">
        <v>1.9915205501157301E-2</v>
      </c>
      <c r="AY39" s="19">
        <v>92.312143760535704</v>
      </c>
      <c r="AZ39" s="18">
        <v>-5.0055083131006505E-4</v>
      </c>
      <c r="BA39" s="19">
        <v>115.377868603987</v>
      </c>
      <c r="BB39" s="18">
        <v>7.3022358075729397E-3</v>
      </c>
      <c r="BC39" s="19">
        <v>106.712150404608</v>
      </c>
      <c r="BD39" s="18">
        <v>5.5001705802884002E-3</v>
      </c>
      <c r="BE39" s="19">
        <v>93.983221565503896</v>
      </c>
      <c r="BF39" s="18">
        <v>1.7687227280767099E-3</v>
      </c>
      <c r="BG39" s="19"/>
      <c r="BH39" s="18"/>
    </row>
    <row r="40" spans="1:60" x14ac:dyDescent="0.2">
      <c r="A40" s="16">
        <v>2008</v>
      </c>
      <c r="B40" s="16"/>
      <c r="C40" s="19">
        <v>101.829547446684</v>
      </c>
      <c r="D40" s="18">
        <v>1.35235394053574E-2</v>
      </c>
      <c r="E40" s="19">
        <v>101.401814301255</v>
      </c>
      <c r="F40" s="18">
        <v>1.4140206390161199E-2</v>
      </c>
      <c r="G40" s="19">
        <v>101.778141193491</v>
      </c>
      <c r="H40" s="18">
        <v>5.43155423985833E-2</v>
      </c>
      <c r="I40" s="19">
        <v>80.378677978411503</v>
      </c>
      <c r="J40" s="18">
        <v>-1.2361111386923E-2</v>
      </c>
      <c r="K40" s="19">
        <v>113.69996976746</v>
      </c>
      <c r="L40" s="18">
        <v>1.36969800956193E-2</v>
      </c>
      <c r="M40" s="19">
        <v>164.20969759968</v>
      </c>
      <c r="N40" s="18">
        <v>-1.6736098456807801E-2</v>
      </c>
      <c r="O40" s="19">
        <v>95.874691127707493</v>
      </c>
      <c r="P40" s="18">
        <v>2.4912394629450101E-2</v>
      </c>
      <c r="Q40" s="19">
        <v>64.046551818620202</v>
      </c>
      <c r="R40" s="18">
        <v>-1.2441975127020799E-2</v>
      </c>
      <c r="S40" s="19">
        <v>220.20097426824699</v>
      </c>
      <c r="T40" s="18">
        <v>0.185967611668895</v>
      </c>
      <c r="U40" s="19">
        <v>92.751901577849907</v>
      </c>
      <c r="V40" s="18">
        <v>2.13528979924806E-2</v>
      </c>
      <c r="W40" s="19">
        <v>118.95614435021901</v>
      </c>
      <c r="X40" s="18">
        <v>3.3044837747552298E-2</v>
      </c>
      <c r="Y40" s="19">
        <v>119.47571652193901</v>
      </c>
      <c r="Z40" s="18">
        <v>7.7860968605552002E-3</v>
      </c>
      <c r="AA40" s="19">
        <v>82.330551054814293</v>
      </c>
      <c r="AB40" s="18">
        <v>7.3303060685070601E-2</v>
      </c>
      <c r="AC40" s="19">
        <v>86.6612532165001</v>
      </c>
      <c r="AD40" s="18">
        <v>1.29108067520634E-2</v>
      </c>
      <c r="AE40" s="19">
        <v>97.495653274952602</v>
      </c>
      <c r="AF40" s="18">
        <v>-7.6631327304806903E-3</v>
      </c>
      <c r="AG40" s="19">
        <v>127.33944637594399</v>
      </c>
      <c r="AH40" s="18">
        <v>-7.3480149153694496E-2</v>
      </c>
      <c r="AI40" s="19">
        <v>135.97329895940101</v>
      </c>
      <c r="AJ40" s="18">
        <v>-1.7847114775845199E-3</v>
      </c>
      <c r="AK40" s="19">
        <v>133.744013458691</v>
      </c>
      <c r="AL40" s="18">
        <v>-0.188070932251763</v>
      </c>
      <c r="AM40" s="19">
        <v>84.772314361460403</v>
      </c>
      <c r="AN40" s="18">
        <v>2.8929525424001401E-2</v>
      </c>
      <c r="AO40" s="19">
        <v>91.029396673012101</v>
      </c>
      <c r="AP40" s="18">
        <v>3.0788102647368601E-2</v>
      </c>
      <c r="AQ40" s="19">
        <v>84.040315087903593</v>
      </c>
      <c r="AR40" s="18">
        <v>7.9309540046904395E-2</v>
      </c>
      <c r="AS40" s="19">
        <v>94.332641323723806</v>
      </c>
      <c r="AT40" s="18">
        <v>4.03779250425407E-3</v>
      </c>
      <c r="AU40" s="19">
        <v>76.553297627068503</v>
      </c>
      <c r="AV40" s="18">
        <v>-1.1022102013301699E-3</v>
      </c>
      <c r="AW40" s="19">
        <v>81.398453965445896</v>
      </c>
      <c r="AX40" s="18">
        <v>1.54211314203583E-2</v>
      </c>
      <c r="AY40" s="19">
        <v>92.364474844247994</v>
      </c>
      <c r="AZ40" s="18">
        <v>5.6689273567322996E-4</v>
      </c>
      <c r="BA40" s="19">
        <v>115.09692948245799</v>
      </c>
      <c r="BB40" s="18">
        <v>-2.4349480964411798E-3</v>
      </c>
      <c r="BC40" s="19">
        <v>107.094956893331</v>
      </c>
      <c r="BD40" s="18">
        <v>3.5872811790507199E-3</v>
      </c>
      <c r="BE40" s="19">
        <v>95.479354865166997</v>
      </c>
      <c r="BF40" s="18">
        <v>1.5919153171615401E-2</v>
      </c>
      <c r="BG40" s="19"/>
      <c r="BH40" s="18"/>
    </row>
    <row r="41" spans="1:60" x14ac:dyDescent="0.2">
      <c r="A41" s="16">
        <v>2009</v>
      </c>
      <c r="B41" s="16"/>
      <c r="C41" s="19">
        <v>102.313356379825</v>
      </c>
      <c r="D41" s="18">
        <v>4.7511645222042499E-3</v>
      </c>
      <c r="E41" s="19">
        <v>102.068723343378</v>
      </c>
      <c r="F41" s="18">
        <v>6.5768945725308602E-3</v>
      </c>
      <c r="G41" s="19">
        <v>87.920069469477099</v>
      </c>
      <c r="H41" s="18">
        <v>-0.136159607176046</v>
      </c>
      <c r="I41" s="19">
        <v>94.349575827112204</v>
      </c>
      <c r="J41" s="18">
        <v>0.17381348138685601</v>
      </c>
      <c r="K41" s="19">
        <v>118.373772224807</v>
      </c>
      <c r="L41" s="18">
        <v>4.1106452947227798E-2</v>
      </c>
      <c r="M41" s="19">
        <v>168.65250677809701</v>
      </c>
      <c r="N41" s="18">
        <v>2.7055705255897299E-2</v>
      </c>
      <c r="O41" s="19">
        <v>100.35741593463401</v>
      </c>
      <c r="P41" s="18">
        <v>4.6756080819653899E-2</v>
      </c>
      <c r="Q41" s="19">
        <v>74.760318947692795</v>
      </c>
      <c r="R41" s="18">
        <v>0.16728093589509699</v>
      </c>
      <c r="S41" s="19">
        <v>135.70411670858499</v>
      </c>
      <c r="T41" s="18">
        <v>-0.38372608404869502</v>
      </c>
      <c r="U41" s="19">
        <v>92.652264096436596</v>
      </c>
      <c r="V41" s="18">
        <v>-1.0742365355138599E-3</v>
      </c>
      <c r="W41" s="19">
        <v>110.482838602028</v>
      </c>
      <c r="X41" s="18">
        <v>-7.1230500908342695E-2</v>
      </c>
      <c r="Y41" s="19">
        <v>118.441976763412</v>
      </c>
      <c r="Z41" s="18">
        <v>-8.6523001378034908E-3</v>
      </c>
      <c r="AA41" s="19">
        <v>86.826419059228698</v>
      </c>
      <c r="AB41" s="18">
        <v>5.4607529608554903E-2</v>
      </c>
      <c r="AC41" s="19">
        <v>90.873461878102702</v>
      </c>
      <c r="AD41" s="18">
        <v>4.8605443670188798E-2</v>
      </c>
      <c r="AE41" s="19">
        <v>96.814089154012294</v>
      </c>
      <c r="AF41" s="18">
        <v>-6.9907128989454802E-3</v>
      </c>
      <c r="AG41" s="19">
        <v>127.25088342981999</v>
      </c>
      <c r="AH41" s="18">
        <v>-6.9548713022471497E-4</v>
      </c>
      <c r="AI41" s="19">
        <v>138.67312469086201</v>
      </c>
      <c r="AJ41" s="18">
        <v>1.98555580553148E-2</v>
      </c>
      <c r="AK41" s="19">
        <v>128.529158785531</v>
      </c>
      <c r="AL41" s="18">
        <v>-3.8991312869272599E-2</v>
      </c>
      <c r="AM41" s="19">
        <v>88.461688625339093</v>
      </c>
      <c r="AN41" s="18">
        <v>4.3520980778555297E-2</v>
      </c>
      <c r="AO41" s="19">
        <v>93.544057108013703</v>
      </c>
      <c r="AP41" s="18">
        <v>2.7624707258409299E-2</v>
      </c>
      <c r="AQ41" s="19">
        <v>88.807760756026198</v>
      </c>
      <c r="AR41" s="18">
        <v>5.6728079412077498E-2</v>
      </c>
      <c r="AS41" s="19">
        <v>95.477952693336704</v>
      </c>
      <c r="AT41" s="18">
        <v>1.21411989905222E-2</v>
      </c>
      <c r="AU41" s="19">
        <v>78.051729846174894</v>
      </c>
      <c r="AV41" s="18">
        <v>1.9573712244325098E-2</v>
      </c>
      <c r="AW41" s="19">
        <v>84.316462552393205</v>
      </c>
      <c r="AX41" s="18">
        <v>3.5848452209988897E-2</v>
      </c>
      <c r="AY41" s="19">
        <v>92.553062106450497</v>
      </c>
      <c r="AZ41" s="18">
        <v>2.0417726893429099E-3</v>
      </c>
      <c r="BA41" s="19">
        <v>110.097133513839</v>
      </c>
      <c r="BB41" s="18">
        <v>-4.3439872732496103E-2</v>
      </c>
      <c r="BC41" s="19">
        <v>104.269869059087</v>
      </c>
      <c r="BD41" s="18">
        <v>-2.63792798110749E-2</v>
      </c>
      <c r="BE41" s="19">
        <v>95.989785377626703</v>
      </c>
      <c r="BF41" s="18">
        <v>5.3459778103914796E-3</v>
      </c>
      <c r="BG41" s="19"/>
      <c r="BH41" s="18"/>
    </row>
    <row r="42" spans="1:60" x14ac:dyDescent="0.2">
      <c r="A42" s="16">
        <v>2010</v>
      </c>
      <c r="B42" s="16"/>
      <c r="C42" s="19">
        <v>102.774751657115</v>
      </c>
      <c r="D42" s="18">
        <v>4.5096289831136902E-3</v>
      </c>
      <c r="E42" s="19">
        <v>102.53308662361199</v>
      </c>
      <c r="F42" s="18">
        <v>4.5495159048018997E-3</v>
      </c>
      <c r="G42" s="19">
        <v>86.373540228413702</v>
      </c>
      <c r="H42" s="18">
        <v>-1.75901731014932E-2</v>
      </c>
      <c r="I42" s="19">
        <v>93.222966342988798</v>
      </c>
      <c r="J42" s="18">
        <v>-1.19408007322449E-2</v>
      </c>
      <c r="K42" s="19">
        <v>114.526570839174</v>
      </c>
      <c r="L42" s="18">
        <v>-3.2500454393955901E-2</v>
      </c>
      <c r="M42" s="19">
        <v>156.75356011150799</v>
      </c>
      <c r="N42" s="18">
        <v>-7.0553037686211004E-2</v>
      </c>
      <c r="O42" s="19">
        <v>98.645803816569995</v>
      </c>
      <c r="P42" s="18">
        <v>-1.7055163309294501E-2</v>
      </c>
      <c r="Q42" s="19">
        <v>72.668203951452099</v>
      </c>
      <c r="R42" s="18">
        <v>-2.7984297361070901E-2</v>
      </c>
      <c r="S42" s="19">
        <v>172.26163173360601</v>
      </c>
      <c r="T42" s="18">
        <v>0.26939134870554898</v>
      </c>
      <c r="U42" s="19">
        <v>91.1307904831977</v>
      </c>
      <c r="V42" s="18">
        <v>-1.64213322585973E-2</v>
      </c>
      <c r="W42" s="19">
        <v>116.078547630351</v>
      </c>
      <c r="X42" s="18">
        <v>5.0647766649797497E-2</v>
      </c>
      <c r="Y42" s="19">
        <v>116.08024285342201</v>
      </c>
      <c r="Z42" s="18">
        <v>-1.9940007542322499E-2</v>
      </c>
      <c r="AA42" s="19">
        <v>86.211564037442301</v>
      </c>
      <c r="AB42" s="18">
        <v>-7.08142784705856E-3</v>
      </c>
      <c r="AC42" s="19">
        <v>91.986819003566694</v>
      </c>
      <c r="AD42" s="18">
        <v>1.22517300700775E-2</v>
      </c>
      <c r="AE42" s="19">
        <v>97.033553481977506</v>
      </c>
      <c r="AF42" s="18">
        <v>2.2668635307414599E-3</v>
      </c>
      <c r="AG42" s="19">
        <v>124.46867642692401</v>
      </c>
      <c r="AH42" s="18">
        <v>-2.1863950393946101E-2</v>
      </c>
      <c r="AI42" s="19">
        <v>132.12131585465599</v>
      </c>
      <c r="AJ42" s="18">
        <v>-4.7246421040931803E-2</v>
      </c>
      <c r="AK42" s="19">
        <v>129.89690427246001</v>
      </c>
      <c r="AL42" s="18">
        <v>1.0641519012905699E-2</v>
      </c>
      <c r="AM42" s="19">
        <v>89.359405273059494</v>
      </c>
      <c r="AN42" s="18">
        <v>1.0148084008687599E-2</v>
      </c>
      <c r="AO42" s="19">
        <v>95.714251094412305</v>
      </c>
      <c r="AP42" s="18">
        <v>2.3199699195136401E-2</v>
      </c>
      <c r="AQ42" s="19">
        <v>89.171012563555493</v>
      </c>
      <c r="AR42" s="18">
        <v>4.0903160313567897E-3</v>
      </c>
      <c r="AS42" s="19">
        <v>96.853491345563498</v>
      </c>
      <c r="AT42" s="18">
        <v>1.44068720937585E-2</v>
      </c>
      <c r="AU42" s="19">
        <v>78.046626707849398</v>
      </c>
      <c r="AV42" s="18">
        <v>-6.5381489117277702E-5</v>
      </c>
      <c r="AW42" s="19">
        <v>85.961327413201104</v>
      </c>
      <c r="AX42" s="18">
        <v>1.9508229010269901E-2</v>
      </c>
      <c r="AY42" s="19">
        <v>92.648020284667496</v>
      </c>
      <c r="AZ42" s="18">
        <v>1.02598634832618E-3</v>
      </c>
      <c r="BA42" s="19">
        <v>110.474448752898</v>
      </c>
      <c r="BB42" s="18">
        <v>3.42711228727577E-3</v>
      </c>
      <c r="BC42" s="19">
        <v>104.750035321743</v>
      </c>
      <c r="BD42" s="18">
        <v>4.6050337167287099E-3</v>
      </c>
      <c r="BE42" s="19">
        <v>96.643659022559206</v>
      </c>
      <c r="BF42" s="18">
        <v>6.8119086042348603E-3</v>
      </c>
      <c r="BG42" s="19"/>
      <c r="BH42" s="18"/>
    </row>
    <row r="43" spans="1:60" x14ac:dyDescent="0.2">
      <c r="A43" s="16">
        <v>2011</v>
      </c>
      <c r="B43" s="16"/>
      <c r="C43" s="19">
        <v>102.883893671327</v>
      </c>
      <c r="D43" s="18">
        <v>1.0619535678924E-3</v>
      </c>
      <c r="E43" s="19">
        <v>102.57415931704701</v>
      </c>
      <c r="F43" s="18">
        <v>4.0057989852471099E-4</v>
      </c>
      <c r="G43" s="19">
        <v>81.4309974822051</v>
      </c>
      <c r="H43" s="18">
        <v>-5.72228802146829E-2</v>
      </c>
      <c r="I43" s="19">
        <v>91.258932343724496</v>
      </c>
      <c r="J43" s="18">
        <v>-2.1068134562873701E-2</v>
      </c>
      <c r="K43" s="19">
        <v>108.38333179835099</v>
      </c>
      <c r="L43" s="18">
        <v>-5.3640294962205598E-2</v>
      </c>
      <c r="M43" s="19">
        <v>132.49268440345301</v>
      </c>
      <c r="N43" s="18">
        <v>-0.15477081152604599</v>
      </c>
      <c r="O43" s="19">
        <v>97.389382068450402</v>
      </c>
      <c r="P43" s="18">
        <v>-1.2736697350613099E-2</v>
      </c>
      <c r="Q43" s="19">
        <v>72.779408470756906</v>
      </c>
      <c r="R43" s="18">
        <v>1.53030504757079E-3</v>
      </c>
      <c r="S43" s="19">
        <v>176.27371305048399</v>
      </c>
      <c r="T43" s="18">
        <v>2.3290626452920501E-2</v>
      </c>
      <c r="U43" s="19">
        <v>94.640718662205799</v>
      </c>
      <c r="V43" s="18">
        <v>3.8515282929047198E-2</v>
      </c>
      <c r="W43" s="19">
        <v>117.824935418401</v>
      </c>
      <c r="X43" s="18">
        <v>1.5044879727570799E-2</v>
      </c>
      <c r="Y43" s="19">
        <v>111.872808899243</v>
      </c>
      <c r="Z43" s="18">
        <v>-3.6245909301652501E-2</v>
      </c>
      <c r="AA43" s="19">
        <v>87.403199205617597</v>
      </c>
      <c r="AB43" s="18">
        <v>1.3822219576689099E-2</v>
      </c>
      <c r="AC43" s="19">
        <v>93.800692623831196</v>
      </c>
      <c r="AD43" s="18">
        <v>1.97188427637029E-2</v>
      </c>
      <c r="AE43" s="19">
        <v>99.348652486165406</v>
      </c>
      <c r="AF43" s="18">
        <v>2.38587470118563E-2</v>
      </c>
      <c r="AG43" s="19">
        <v>124.963030231448</v>
      </c>
      <c r="AH43" s="18">
        <v>3.9717125522220603E-3</v>
      </c>
      <c r="AI43" s="19">
        <v>127.721989520872</v>
      </c>
      <c r="AJ43" s="18">
        <v>-3.3297627300530201E-2</v>
      </c>
      <c r="AK43" s="19">
        <v>137.80299310504199</v>
      </c>
      <c r="AL43" s="18">
        <v>6.08643360429817E-2</v>
      </c>
      <c r="AM43" s="19">
        <v>90.448071054177902</v>
      </c>
      <c r="AN43" s="18">
        <v>1.2183001641425099E-2</v>
      </c>
      <c r="AO43" s="19">
        <v>97.349896933116796</v>
      </c>
      <c r="AP43" s="18">
        <v>1.7088843301830799E-2</v>
      </c>
      <c r="AQ43" s="19">
        <v>90.053469362447899</v>
      </c>
      <c r="AR43" s="18">
        <v>9.8962294306512693E-3</v>
      </c>
      <c r="AS43" s="19">
        <v>98.918560089450594</v>
      </c>
      <c r="AT43" s="18">
        <v>2.1321572564886499E-2</v>
      </c>
      <c r="AU43" s="19">
        <v>78.0622705572531</v>
      </c>
      <c r="AV43" s="18">
        <v>2.0044235175320499E-4</v>
      </c>
      <c r="AW43" s="19">
        <v>87.691694734039103</v>
      </c>
      <c r="AX43" s="18">
        <v>2.0129602146793601E-2</v>
      </c>
      <c r="AY43" s="19">
        <v>92.648020284667695</v>
      </c>
      <c r="AZ43" s="18">
        <v>2.2204460492503099E-15</v>
      </c>
      <c r="BA43" s="19">
        <v>112.662979086927</v>
      </c>
      <c r="BB43" s="18">
        <v>1.9810285172128898E-2</v>
      </c>
      <c r="BC43" s="19">
        <v>106.587414369985</v>
      </c>
      <c r="BD43" s="18">
        <v>1.7540605524374302E-2</v>
      </c>
      <c r="BE43" s="19">
        <v>97.961736154736101</v>
      </c>
      <c r="BF43" s="18">
        <v>1.36385267849723E-2</v>
      </c>
      <c r="BG43" s="19"/>
      <c r="BH43" s="18"/>
    </row>
    <row r="44" spans="1:60" x14ac:dyDescent="0.2">
      <c r="A44" s="16">
        <v>2012</v>
      </c>
      <c r="B44" s="16"/>
      <c r="C44" s="19">
        <v>103.092089819507</v>
      </c>
      <c r="D44" s="18">
        <v>2.0236029251150499E-3</v>
      </c>
      <c r="E44" s="19">
        <v>102.912479434484</v>
      </c>
      <c r="F44" s="18">
        <v>3.2982977359028399E-3</v>
      </c>
      <c r="G44" s="19">
        <v>80.165192790003601</v>
      </c>
      <c r="H44" s="18">
        <v>-1.55445067767722E-2</v>
      </c>
      <c r="I44" s="19">
        <v>86.880490168312505</v>
      </c>
      <c r="J44" s="18">
        <v>-4.7978231423097303E-2</v>
      </c>
      <c r="K44" s="19">
        <v>109.733974401727</v>
      </c>
      <c r="L44" s="18">
        <v>1.2461718799059201E-2</v>
      </c>
      <c r="M44" s="19">
        <v>139.04702262853701</v>
      </c>
      <c r="N44" s="18">
        <v>4.9469434894422903E-2</v>
      </c>
      <c r="O44" s="19">
        <v>97.346005799184894</v>
      </c>
      <c r="P44" s="18">
        <v>-4.4539012718014499E-4</v>
      </c>
      <c r="Q44" s="19">
        <v>73.140724407738006</v>
      </c>
      <c r="R44" s="18">
        <v>4.9645352246341402E-3</v>
      </c>
      <c r="S44" s="19">
        <v>159.23889395264399</v>
      </c>
      <c r="T44" s="18">
        <v>-9.6638453930798202E-2</v>
      </c>
      <c r="U44" s="19">
        <v>94.764144082057598</v>
      </c>
      <c r="V44" s="18">
        <v>1.30414711126958E-3</v>
      </c>
      <c r="W44" s="19">
        <v>115.07971340709599</v>
      </c>
      <c r="X44" s="18">
        <v>-2.3299159906658401E-2</v>
      </c>
      <c r="Y44" s="19">
        <v>106.833360939402</v>
      </c>
      <c r="Z44" s="18">
        <v>-4.5046227134422197E-2</v>
      </c>
      <c r="AA44" s="19">
        <v>87.252889681321506</v>
      </c>
      <c r="AB44" s="18">
        <v>-1.71972565835377E-3</v>
      </c>
      <c r="AC44" s="19">
        <v>94.3995187915842</v>
      </c>
      <c r="AD44" s="18">
        <v>6.3840271431092601E-3</v>
      </c>
      <c r="AE44" s="19">
        <v>99.6627702962911</v>
      </c>
      <c r="AF44" s="18">
        <v>3.1617722260441901E-3</v>
      </c>
      <c r="AG44" s="19">
        <v>123.428212193744</v>
      </c>
      <c r="AH44" s="18">
        <v>-1.22821768555179E-2</v>
      </c>
      <c r="AI44" s="19">
        <v>124.53343917375599</v>
      </c>
      <c r="AJ44" s="18">
        <v>-2.4964771994841001E-2</v>
      </c>
      <c r="AK44" s="19">
        <v>137.45633768223399</v>
      </c>
      <c r="AL44" s="18">
        <v>-2.51558703477306E-3</v>
      </c>
      <c r="AM44" s="19">
        <v>91.911550093169396</v>
      </c>
      <c r="AN44" s="18">
        <v>1.6180323382627902E-2</v>
      </c>
      <c r="AO44" s="19">
        <v>97.945015604903503</v>
      </c>
      <c r="AP44" s="18">
        <v>6.1131926230557597E-3</v>
      </c>
      <c r="AQ44" s="19">
        <v>92.1477901833738</v>
      </c>
      <c r="AR44" s="18">
        <v>2.3256414614040599E-2</v>
      </c>
      <c r="AS44" s="19">
        <v>102.60142694923201</v>
      </c>
      <c r="AT44" s="18">
        <v>3.7231302765133603E-2</v>
      </c>
      <c r="AU44" s="19">
        <v>79.906793682887894</v>
      </c>
      <c r="AV44" s="18">
        <v>2.3628868497771498E-2</v>
      </c>
      <c r="AW44" s="19">
        <v>88.830551575185098</v>
      </c>
      <c r="AX44" s="18">
        <v>1.29870547558701E-2</v>
      </c>
      <c r="AY44" s="19">
        <v>92.985818390820697</v>
      </c>
      <c r="AZ44" s="18">
        <v>3.6460369591826401E-3</v>
      </c>
      <c r="BA44" s="19">
        <v>108.75468930054799</v>
      </c>
      <c r="BB44" s="18">
        <v>-3.4690098007826402E-2</v>
      </c>
      <c r="BC44" s="19">
        <v>105.50578972701</v>
      </c>
      <c r="BD44" s="18">
        <v>-1.0147770722922901E-2</v>
      </c>
      <c r="BE44" s="19">
        <v>100.82411795089401</v>
      </c>
      <c r="BF44" s="18">
        <v>2.9219386145183501E-2</v>
      </c>
      <c r="BG44" s="19"/>
      <c r="BH44" s="18"/>
    </row>
    <row r="45" spans="1:60" x14ac:dyDescent="0.2">
      <c r="A45" s="16">
        <v>2013</v>
      </c>
      <c r="B45" s="16"/>
      <c r="C45" s="19">
        <v>103.061357907166</v>
      </c>
      <c r="D45" s="18">
        <v>-2.9810155556075902E-4</v>
      </c>
      <c r="E45" s="19">
        <v>102.86170653152701</v>
      </c>
      <c r="F45" s="18">
        <v>-4.9336002044320104E-4</v>
      </c>
      <c r="G45" s="19">
        <v>90.890499211672704</v>
      </c>
      <c r="H45" s="18">
        <v>0.13379006584272199</v>
      </c>
      <c r="I45" s="19">
        <v>86.934606114435297</v>
      </c>
      <c r="J45" s="18">
        <v>6.2287800193083797E-4</v>
      </c>
      <c r="K45" s="19">
        <v>109.678589377408</v>
      </c>
      <c r="L45" s="18">
        <v>-5.0472084530717198E-4</v>
      </c>
      <c r="M45" s="19">
        <v>136.40130417529599</v>
      </c>
      <c r="N45" s="18">
        <v>-1.90275088471983E-2</v>
      </c>
      <c r="O45" s="19">
        <v>97.998326333753297</v>
      </c>
      <c r="P45" s="18">
        <v>6.7010508465448204E-3</v>
      </c>
      <c r="Q45" s="19">
        <v>72.684255824207398</v>
      </c>
      <c r="R45" s="18">
        <v>-6.2409633925134501E-3</v>
      </c>
      <c r="S45" s="19">
        <v>150.43894064113999</v>
      </c>
      <c r="T45" s="18">
        <v>-5.52625875065492E-2</v>
      </c>
      <c r="U45" s="19">
        <v>95.593293323714505</v>
      </c>
      <c r="V45" s="18">
        <v>8.7496093558230292E-3</v>
      </c>
      <c r="W45" s="19">
        <v>113.044415764278</v>
      </c>
      <c r="X45" s="18">
        <v>-1.7685981156540301E-2</v>
      </c>
      <c r="Y45" s="19">
        <v>103.932427855494</v>
      </c>
      <c r="Z45" s="18">
        <v>-2.7153812801540701E-2</v>
      </c>
      <c r="AA45" s="19">
        <v>90.3968319671188</v>
      </c>
      <c r="AB45" s="18">
        <v>3.6032529091931401E-2</v>
      </c>
      <c r="AC45" s="19">
        <v>95.254096478903605</v>
      </c>
      <c r="AD45" s="18">
        <v>9.0527758855016797E-3</v>
      </c>
      <c r="AE45" s="19">
        <v>99.381593417696806</v>
      </c>
      <c r="AF45" s="18">
        <v>-2.8212829902114502E-3</v>
      </c>
      <c r="AG45" s="19">
        <v>117.794504795734</v>
      </c>
      <c r="AH45" s="18">
        <v>-4.5643595559549603E-2</v>
      </c>
      <c r="AI45" s="19">
        <v>118.809991730886</v>
      </c>
      <c r="AJ45" s="18">
        <v>-4.5959121347996297E-2</v>
      </c>
      <c r="AK45" s="19">
        <v>129.1325844209</v>
      </c>
      <c r="AL45" s="18">
        <v>-6.0555616435646102E-2</v>
      </c>
      <c r="AM45" s="19">
        <v>94.242187389299104</v>
      </c>
      <c r="AN45" s="18">
        <v>2.53573929910571E-2</v>
      </c>
      <c r="AO45" s="19">
        <v>98.861276254280398</v>
      </c>
      <c r="AP45" s="18">
        <v>9.3548471427371497E-3</v>
      </c>
      <c r="AQ45" s="19">
        <v>92.628327981819396</v>
      </c>
      <c r="AR45" s="18">
        <v>5.2148597105725596E-3</v>
      </c>
      <c r="AS45" s="19">
        <v>102.66704047904901</v>
      </c>
      <c r="AT45" s="18">
        <v>6.3949919380235098E-4</v>
      </c>
      <c r="AU45" s="19">
        <v>82.519955742586802</v>
      </c>
      <c r="AV45" s="18">
        <v>3.2702626888888801E-2</v>
      </c>
      <c r="AW45" s="19">
        <v>89.484809719533203</v>
      </c>
      <c r="AX45" s="18">
        <v>7.3652378910908896E-3</v>
      </c>
      <c r="AY45" s="19">
        <v>93.644008272650794</v>
      </c>
      <c r="AZ45" s="18">
        <v>7.0783899439772497E-3</v>
      </c>
      <c r="BA45" s="19">
        <v>109.366534292103</v>
      </c>
      <c r="BB45" s="18">
        <v>5.6259182522682104E-3</v>
      </c>
      <c r="BC45" s="19">
        <v>106.16317138787601</v>
      </c>
      <c r="BD45" s="18">
        <v>6.2307638525593801E-3</v>
      </c>
      <c r="BE45" s="19">
        <v>101.54469364181401</v>
      </c>
      <c r="BF45" s="18">
        <v>7.1468583664751097E-3</v>
      </c>
      <c r="BG45" s="19"/>
      <c r="BH45" s="18"/>
    </row>
    <row r="46" spans="1:60" x14ac:dyDescent="0.2">
      <c r="A46" s="16">
        <v>2014</v>
      </c>
      <c r="B46" s="16"/>
      <c r="C46" s="19">
        <v>102.43784271755599</v>
      </c>
      <c r="D46" s="18">
        <v>-6.0499415326147298E-3</v>
      </c>
      <c r="E46" s="19">
        <v>102.271177122162</v>
      </c>
      <c r="F46" s="18">
        <v>-5.74100342369577E-3</v>
      </c>
      <c r="G46" s="19">
        <v>89.076969956556198</v>
      </c>
      <c r="H46" s="18">
        <v>-1.99529023478353E-2</v>
      </c>
      <c r="I46" s="19">
        <v>88.342779551403297</v>
      </c>
      <c r="J46" s="18">
        <v>1.6198076921339899E-2</v>
      </c>
      <c r="K46" s="19">
        <v>108.456056991876</v>
      </c>
      <c r="L46" s="18">
        <v>-1.1146499900046999E-2</v>
      </c>
      <c r="M46" s="19">
        <v>132.605328143365</v>
      </c>
      <c r="N46" s="18">
        <v>-2.7829470215714101E-2</v>
      </c>
      <c r="O46" s="19">
        <v>97.545739830676695</v>
      </c>
      <c r="P46" s="18">
        <v>-4.6183084957519497E-3</v>
      </c>
      <c r="Q46" s="19">
        <v>77.209532049932406</v>
      </c>
      <c r="R46" s="18">
        <v>6.2259373428404298E-2</v>
      </c>
      <c r="S46" s="19">
        <v>146.650360378226</v>
      </c>
      <c r="T46" s="18">
        <v>-2.5183507985151898E-2</v>
      </c>
      <c r="U46" s="19">
        <v>96.524837107934502</v>
      </c>
      <c r="V46" s="18">
        <v>9.7448654798979496E-3</v>
      </c>
      <c r="W46" s="19">
        <v>110.79980383677599</v>
      </c>
      <c r="X46" s="18">
        <v>-1.9856017763690101E-2</v>
      </c>
      <c r="Y46" s="19">
        <v>102.686108156738</v>
      </c>
      <c r="Z46" s="18">
        <v>-1.19916346079092E-2</v>
      </c>
      <c r="AA46" s="19">
        <v>89.522475742859001</v>
      </c>
      <c r="AB46" s="18">
        <v>-9.6724210930079196E-3</v>
      </c>
      <c r="AC46" s="19">
        <v>96.420458276763696</v>
      </c>
      <c r="AD46" s="18">
        <v>1.22447416014115E-2</v>
      </c>
      <c r="AE46" s="19">
        <v>99.565733023003702</v>
      </c>
      <c r="AF46" s="18">
        <v>1.8528542255602501E-3</v>
      </c>
      <c r="AG46" s="19">
        <v>112.54907323591701</v>
      </c>
      <c r="AH46" s="18">
        <v>-4.4530358771091898E-2</v>
      </c>
      <c r="AI46" s="19">
        <v>114.078964147812</v>
      </c>
      <c r="AJ46" s="18">
        <v>-3.9820115414115301E-2</v>
      </c>
      <c r="AK46" s="19">
        <v>120.58393999267599</v>
      </c>
      <c r="AL46" s="18">
        <v>-6.6200521476130203E-2</v>
      </c>
      <c r="AM46" s="19">
        <v>95.7184152813726</v>
      </c>
      <c r="AN46" s="18">
        <v>1.5664193849569599E-2</v>
      </c>
      <c r="AO46" s="19">
        <v>99.076205737450096</v>
      </c>
      <c r="AP46" s="18">
        <v>2.1740512697496798E-3</v>
      </c>
      <c r="AQ46" s="19">
        <v>93.185593339344905</v>
      </c>
      <c r="AR46" s="18">
        <v>6.0161439774120097E-3</v>
      </c>
      <c r="AS46" s="19">
        <v>102.039472972143</v>
      </c>
      <c r="AT46" s="18">
        <v>-6.1126482654774196E-3</v>
      </c>
      <c r="AU46" s="19">
        <v>84.311014526735704</v>
      </c>
      <c r="AV46" s="18">
        <v>2.1704553377802902E-2</v>
      </c>
      <c r="AW46" s="19">
        <v>92.144777024215699</v>
      </c>
      <c r="AX46" s="18">
        <v>2.9725350179761599E-2</v>
      </c>
      <c r="AY46" s="19">
        <v>94.321141750573901</v>
      </c>
      <c r="AZ46" s="18">
        <v>7.2309322338233199E-3</v>
      </c>
      <c r="BA46" s="19">
        <v>107.682768354725</v>
      </c>
      <c r="BB46" s="18">
        <v>-1.5395623060357499E-2</v>
      </c>
      <c r="BC46" s="19">
        <v>104.923787330569</v>
      </c>
      <c r="BD46" s="18">
        <v>-1.1674331513504501E-2</v>
      </c>
      <c r="BE46" s="19">
        <v>100.942895734133</v>
      </c>
      <c r="BF46" s="18">
        <v>-5.9264338302498203E-3</v>
      </c>
      <c r="BG46" s="19"/>
      <c r="BH46" s="18"/>
    </row>
    <row r="47" spans="1:60" x14ac:dyDescent="0.2">
      <c r="A47" s="16">
        <v>2015</v>
      </c>
      <c r="B47" s="16"/>
      <c r="C47" s="19">
        <v>101.060065169118</v>
      </c>
      <c r="D47" s="18">
        <v>-1.3449888360466501E-2</v>
      </c>
      <c r="E47" s="19">
        <v>100.95444575272001</v>
      </c>
      <c r="F47" s="18">
        <v>-1.28749018686773E-2</v>
      </c>
      <c r="G47" s="19">
        <v>87.082898705555195</v>
      </c>
      <c r="H47" s="18">
        <v>-2.23859349052122E-2</v>
      </c>
      <c r="I47" s="19">
        <v>110.553462393385</v>
      </c>
      <c r="J47" s="18">
        <v>0.25141480667424698</v>
      </c>
      <c r="K47" s="19">
        <v>105.62382837752401</v>
      </c>
      <c r="L47" s="18">
        <v>-2.6114065852163099E-2</v>
      </c>
      <c r="M47" s="19">
        <v>122.37360750333799</v>
      </c>
      <c r="N47" s="18">
        <v>-7.7159197019331202E-2</v>
      </c>
      <c r="O47" s="19">
        <v>97.364749207734206</v>
      </c>
      <c r="P47" s="18">
        <v>-1.85544364373724E-3</v>
      </c>
      <c r="Q47" s="19">
        <v>93.911631446540596</v>
      </c>
      <c r="R47" s="18">
        <v>0.216321728071176</v>
      </c>
      <c r="S47" s="19">
        <v>121.585022995355</v>
      </c>
      <c r="T47" s="18">
        <v>-0.170919030258261</v>
      </c>
      <c r="U47" s="19">
        <v>100.303437239614</v>
      </c>
      <c r="V47" s="18">
        <v>3.9146402572575602E-2</v>
      </c>
      <c r="W47" s="19">
        <v>100.973467388351</v>
      </c>
      <c r="X47" s="18">
        <v>-8.8685504018585104E-2</v>
      </c>
      <c r="Y47" s="19">
        <v>100.146955007671</v>
      </c>
      <c r="Z47" s="18">
        <v>-2.4727328697581302E-2</v>
      </c>
      <c r="AA47" s="19">
        <v>95.229430993421602</v>
      </c>
      <c r="AB47" s="18">
        <v>6.3748854164345198E-2</v>
      </c>
      <c r="AC47" s="19">
        <v>97.751635789875195</v>
      </c>
      <c r="AD47" s="18">
        <v>1.3805965423753499E-2</v>
      </c>
      <c r="AE47" s="19">
        <v>100.99866095193801</v>
      </c>
      <c r="AF47" s="18">
        <v>1.43917780287246E-2</v>
      </c>
      <c r="AG47" s="19">
        <v>110.63139488381201</v>
      </c>
      <c r="AH47" s="18">
        <v>-1.7038597448827301E-2</v>
      </c>
      <c r="AI47" s="19">
        <v>113.5680674102</v>
      </c>
      <c r="AJ47" s="18">
        <v>-4.4784482523000397E-3</v>
      </c>
      <c r="AK47" s="19">
        <v>115.057185739517</v>
      </c>
      <c r="AL47" s="18">
        <v>-4.5833253196858201E-2</v>
      </c>
      <c r="AM47" s="19">
        <v>96.583470814543503</v>
      </c>
      <c r="AN47" s="18">
        <v>9.0375037094798695E-3</v>
      </c>
      <c r="AO47" s="19">
        <v>98.532435757949202</v>
      </c>
      <c r="AP47" s="18">
        <v>-5.4884013316162097E-3</v>
      </c>
      <c r="AQ47" s="19">
        <v>94.573577303690101</v>
      </c>
      <c r="AR47" s="18">
        <v>1.48948342185327E-2</v>
      </c>
      <c r="AS47" s="19">
        <v>102.36423951421</v>
      </c>
      <c r="AT47" s="18">
        <v>3.1827540128086499E-3</v>
      </c>
      <c r="AU47" s="19">
        <v>92.484425699548396</v>
      </c>
      <c r="AV47" s="18">
        <v>9.6943575150799197E-2</v>
      </c>
      <c r="AW47" s="19">
        <v>94.318347101615799</v>
      </c>
      <c r="AX47" s="18">
        <v>2.35886411318675E-2</v>
      </c>
      <c r="AY47" s="19">
        <v>95.997433826815097</v>
      </c>
      <c r="AZ47" s="18">
        <v>1.7772177532308302E-2</v>
      </c>
      <c r="BA47" s="19">
        <v>104.33639196387</v>
      </c>
      <c r="BB47" s="18">
        <v>-3.1076247778393101E-2</v>
      </c>
      <c r="BC47" s="19">
        <v>102.81924758709</v>
      </c>
      <c r="BD47" s="18">
        <v>-2.0057794300249801E-2</v>
      </c>
      <c r="BE47" s="19">
        <v>100.573631033738</v>
      </c>
      <c r="BF47" s="18">
        <v>-3.65815442195239E-3</v>
      </c>
      <c r="BG47" s="19"/>
      <c r="BH47" s="18"/>
    </row>
    <row r="48" spans="1:60" x14ac:dyDescent="0.2">
      <c r="A48" s="16">
        <v>2016</v>
      </c>
      <c r="B48" s="16"/>
      <c r="C48" s="19">
        <v>100.444278790472</v>
      </c>
      <c r="D48" s="18">
        <v>-6.0932711414242204E-3</v>
      </c>
      <c r="E48" s="19">
        <v>100.507741806697</v>
      </c>
      <c r="F48" s="18">
        <v>-4.4248070770137602E-3</v>
      </c>
      <c r="G48" s="19">
        <v>91.665863474705006</v>
      </c>
      <c r="H48" s="18">
        <v>5.2627609292677797E-2</v>
      </c>
      <c r="I48" s="19">
        <v>112.83918563448201</v>
      </c>
      <c r="J48" s="18">
        <v>2.0675275035382201E-2</v>
      </c>
      <c r="K48" s="19">
        <v>104.503914630504</v>
      </c>
      <c r="L48" s="18">
        <v>-1.06028513094322E-2</v>
      </c>
      <c r="M48" s="19">
        <v>117.639667276265</v>
      </c>
      <c r="N48" s="18">
        <v>-3.8684323553539998E-2</v>
      </c>
      <c r="O48" s="19">
        <v>97.739142135274705</v>
      </c>
      <c r="P48" s="18">
        <v>3.84526156116016E-3</v>
      </c>
      <c r="Q48" s="19">
        <v>95.614736334289901</v>
      </c>
      <c r="R48" s="18">
        <v>1.8135185828592301E-2</v>
      </c>
      <c r="S48" s="19">
        <v>121.931237490051</v>
      </c>
      <c r="T48" s="18">
        <v>2.8475093902742298E-3</v>
      </c>
      <c r="U48" s="19">
        <v>99.467947715254397</v>
      </c>
      <c r="V48" s="18">
        <v>-8.3296200743723202E-3</v>
      </c>
      <c r="W48" s="19">
        <v>98.114909516210801</v>
      </c>
      <c r="X48" s="18">
        <v>-2.8309990199171901E-2</v>
      </c>
      <c r="Y48" s="19">
        <v>99.313826819578594</v>
      </c>
      <c r="Z48" s="18">
        <v>-8.3190566106437994E-3</v>
      </c>
      <c r="AA48" s="19">
        <v>98.751287642441</v>
      </c>
      <c r="AB48" s="18">
        <v>3.6982859314392803E-2</v>
      </c>
      <c r="AC48" s="19">
        <v>97.245269969205594</v>
      </c>
      <c r="AD48" s="18">
        <v>-5.1801263127508896E-3</v>
      </c>
      <c r="AE48" s="19">
        <v>99.682190724337403</v>
      </c>
      <c r="AF48" s="18">
        <v>-1.3034531499650901E-2</v>
      </c>
      <c r="AG48" s="19">
        <v>109.33387667139699</v>
      </c>
      <c r="AH48" s="18">
        <v>-1.1728300215122099E-2</v>
      </c>
      <c r="AI48" s="19">
        <v>111.876865960684</v>
      </c>
      <c r="AJ48" s="18">
        <v>-1.4891522661977999E-2</v>
      </c>
      <c r="AK48" s="19">
        <v>113.308461419869</v>
      </c>
      <c r="AL48" s="18">
        <v>-1.51987405950196E-2</v>
      </c>
      <c r="AM48" s="19">
        <v>97.499803159988502</v>
      </c>
      <c r="AN48" s="18">
        <v>9.4874654815886306E-3</v>
      </c>
      <c r="AO48" s="19">
        <v>98.827153636380203</v>
      </c>
      <c r="AP48" s="18">
        <v>2.9910747274630701E-3</v>
      </c>
      <c r="AQ48" s="19">
        <v>96.282679456124697</v>
      </c>
      <c r="AR48" s="18">
        <v>1.8071666539021002E-2</v>
      </c>
      <c r="AS48" s="19">
        <v>101.792984393675</v>
      </c>
      <c r="AT48" s="18">
        <v>-5.58061216735417E-3</v>
      </c>
      <c r="AU48" s="19">
        <v>93.355650461724196</v>
      </c>
      <c r="AV48" s="18">
        <v>9.4202321697507401E-3</v>
      </c>
      <c r="AW48" s="19">
        <v>96.408524108976906</v>
      </c>
      <c r="AX48" s="18">
        <v>2.21608740143544E-2</v>
      </c>
      <c r="AY48" s="19">
        <v>96.745841984543006</v>
      </c>
      <c r="AZ48" s="18">
        <v>7.7961267077000197E-3</v>
      </c>
      <c r="BA48" s="19">
        <v>98.308390213402703</v>
      </c>
      <c r="BB48" s="18">
        <v>-5.7774680885596702E-2</v>
      </c>
      <c r="BC48" s="19">
        <v>99.083307757013699</v>
      </c>
      <c r="BD48" s="18">
        <v>-3.6335024013004799E-2</v>
      </c>
      <c r="BE48" s="19">
        <v>100.032650763886</v>
      </c>
      <c r="BF48" s="18">
        <v>-5.3789473870243798E-3</v>
      </c>
      <c r="BG48" s="19"/>
      <c r="BH48" s="18"/>
    </row>
    <row r="49" spans="1:60" x14ac:dyDescent="0.2">
      <c r="A49" s="16">
        <v>2017</v>
      </c>
      <c r="B49" s="16"/>
      <c r="C49" s="19">
        <v>100.107739774058</v>
      </c>
      <c r="D49" s="18">
        <v>-3.3505045829059798E-3</v>
      </c>
      <c r="E49" s="19">
        <v>100.107046985727</v>
      </c>
      <c r="F49" s="18">
        <v>-3.9867060364481297E-3</v>
      </c>
      <c r="G49" s="19">
        <v>91.390839380988297</v>
      </c>
      <c r="H49" s="18">
        <v>-3.00028912936134E-3</v>
      </c>
      <c r="I49" s="19">
        <v>107.476176864755</v>
      </c>
      <c r="J49" s="18">
        <v>-4.7527893254204701E-2</v>
      </c>
      <c r="K49" s="19">
        <v>101.46027559357699</v>
      </c>
      <c r="L49" s="18">
        <v>-2.9124641384853701E-2</v>
      </c>
      <c r="M49" s="19">
        <v>111.361030411417</v>
      </c>
      <c r="N49" s="18">
        <v>-5.3371766600658802E-2</v>
      </c>
      <c r="O49" s="19">
        <v>96.144217856905698</v>
      </c>
      <c r="P49" s="18">
        <v>-1.6318173492474199E-2</v>
      </c>
      <c r="Q49" s="19">
        <v>88.953109898350107</v>
      </c>
      <c r="R49" s="18">
        <v>-6.9671545321729894E-2</v>
      </c>
      <c r="S49" s="19">
        <v>139.42945207031201</v>
      </c>
      <c r="T49" s="18">
        <v>0.143508873857602</v>
      </c>
      <c r="U49" s="19">
        <v>98.887477437738198</v>
      </c>
      <c r="V49" s="18">
        <v>-5.8357520271546904E-3</v>
      </c>
      <c r="W49" s="19">
        <v>101.59047881483001</v>
      </c>
      <c r="X49" s="18">
        <v>3.5423457207028698E-2</v>
      </c>
      <c r="Y49" s="19">
        <v>99.405488697838706</v>
      </c>
      <c r="Z49" s="18">
        <v>9.22951830530927E-4</v>
      </c>
      <c r="AA49" s="19">
        <v>98.652367861980593</v>
      </c>
      <c r="AB49" s="18">
        <v>-1.00170623413587E-3</v>
      </c>
      <c r="AC49" s="19">
        <v>97.170520158553998</v>
      </c>
      <c r="AD49" s="18">
        <v>-7.6867297170613003E-4</v>
      </c>
      <c r="AE49" s="19">
        <v>99.255604707672703</v>
      </c>
      <c r="AF49" s="18">
        <v>-4.2794606896670003E-3</v>
      </c>
      <c r="AG49" s="19">
        <v>106.53676857820901</v>
      </c>
      <c r="AH49" s="18">
        <v>-2.5583178593346901E-2</v>
      </c>
      <c r="AI49" s="19">
        <v>109.189940599929</v>
      </c>
      <c r="AJ49" s="18">
        <v>-2.4016809352697299E-2</v>
      </c>
      <c r="AK49" s="19">
        <v>108.939537985315</v>
      </c>
      <c r="AL49" s="18">
        <v>-3.8557786239501103E-2</v>
      </c>
      <c r="AM49" s="19">
        <v>97.770228056528794</v>
      </c>
      <c r="AN49" s="18">
        <v>2.7735942819959699E-3</v>
      </c>
      <c r="AO49" s="19">
        <v>98.8518760654499</v>
      </c>
      <c r="AP49" s="18">
        <v>2.5015826278584902E-4</v>
      </c>
      <c r="AQ49" s="19">
        <v>96.496108692654403</v>
      </c>
      <c r="AR49" s="18">
        <v>2.2166939862424701E-3</v>
      </c>
      <c r="AS49" s="19">
        <v>100.10202393077</v>
      </c>
      <c r="AT49" s="18">
        <v>-1.66117583935388E-2</v>
      </c>
      <c r="AU49" s="19">
        <v>93.588176123421306</v>
      </c>
      <c r="AV49" s="18">
        <v>2.49075080669559E-3</v>
      </c>
      <c r="AW49" s="19">
        <v>96.7132650877967</v>
      </c>
      <c r="AX49" s="18">
        <v>3.16093396964945E-3</v>
      </c>
      <c r="AY49" s="19">
        <v>97.298921329810497</v>
      </c>
      <c r="AZ49" s="18">
        <v>5.7168280715966802E-3</v>
      </c>
      <c r="BA49" s="19">
        <v>100.021301720183</v>
      </c>
      <c r="BB49" s="18">
        <v>1.7423858767919201E-2</v>
      </c>
      <c r="BC49" s="19">
        <v>99.928765964118895</v>
      </c>
      <c r="BD49" s="18">
        <v>8.5328016014418803E-3</v>
      </c>
      <c r="BE49" s="19">
        <v>99.684681718119904</v>
      </c>
      <c r="BF49" s="18">
        <v>-3.4785546829806399E-3</v>
      </c>
      <c r="BG49" s="19"/>
      <c r="BH49" s="18"/>
    </row>
    <row r="50" spans="1:60" x14ac:dyDescent="0.2">
      <c r="A50" s="16">
        <v>2018</v>
      </c>
      <c r="B50" s="16"/>
      <c r="C50" s="19">
        <v>100.857772010285</v>
      </c>
      <c r="D50" s="18">
        <v>7.4922502287975102E-3</v>
      </c>
      <c r="E50" s="19">
        <v>100.88011173703001</v>
      </c>
      <c r="F50" s="18">
        <v>7.7223809370128302E-3</v>
      </c>
      <c r="G50" s="19">
        <v>89.009548648108805</v>
      </c>
      <c r="H50" s="18">
        <v>-2.6056120602552399E-2</v>
      </c>
      <c r="I50" s="19">
        <v>99.678911977598901</v>
      </c>
      <c r="J50" s="18">
        <v>-7.2548774199215904E-2</v>
      </c>
      <c r="K50" s="19">
        <v>100.913108270395</v>
      </c>
      <c r="L50" s="18">
        <v>-5.3929217122762304E-3</v>
      </c>
      <c r="M50" s="19">
        <v>109.60066258311301</v>
      </c>
      <c r="N50" s="18">
        <v>-1.5807754488266101E-2</v>
      </c>
      <c r="O50" s="19">
        <v>96.178206812991107</v>
      </c>
      <c r="P50" s="18">
        <v>3.5352054281667699E-4</v>
      </c>
      <c r="Q50" s="19">
        <v>87.678564478686596</v>
      </c>
      <c r="R50" s="18">
        <v>-1.43282839815266E-2</v>
      </c>
      <c r="S50" s="19">
        <v>138.59852736299601</v>
      </c>
      <c r="T50" s="18">
        <v>-5.9594633341670802E-3</v>
      </c>
      <c r="U50" s="19">
        <v>97.111119294339801</v>
      </c>
      <c r="V50" s="18">
        <v>-1.7963428630453498E-2</v>
      </c>
      <c r="W50" s="19">
        <v>106.268714678351</v>
      </c>
      <c r="X50" s="18">
        <v>4.6049944031152999E-2</v>
      </c>
      <c r="Y50" s="19">
        <v>100.204225298412</v>
      </c>
      <c r="Z50" s="18">
        <v>8.0351357961849796E-3</v>
      </c>
      <c r="AA50" s="19">
        <v>98.182912380954093</v>
      </c>
      <c r="AB50" s="18">
        <v>-4.7586843701845601E-3</v>
      </c>
      <c r="AC50" s="19">
        <v>96.610394308470902</v>
      </c>
      <c r="AD50" s="18">
        <v>-5.7643599022537701E-3</v>
      </c>
      <c r="AE50" s="19">
        <v>99.013250762594794</v>
      </c>
      <c r="AF50" s="18">
        <v>-2.4417154657586601E-3</v>
      </c>
      <c r="AG50" s="19">
        <v>110.794159224729</v>
      </c>
      <c r="AH50" s="18">
        <v>3.9961702455747899E-2</v>
      </c>
      <c r="AI50" s="19">
        <v>112.79912081709</v>
      </c>
      <c r="AJ50" s="18">
        <v>3.3054145806206102E-2</v>
      </c>
      <c r="AK50" s="19">
        <v>115.49298803130399</v>
      </c>
      <c r="AL50" s="18">
        <v>6.0156763716699799E-2</v>
      </c>
      <c r="AM50" s="19">
        <v>97.798824911387896</v>
      </c>
      <c r="AN50" s="18">
        <v>2.9249041786627599E-4</v>
      </c>
      <c r="AO50" s="19">
        <v>99.183451715036398</v>
      </c>
      <c r="AP50" s="18">
        <v>3.3542676455322602E-3</v>
      </c>
      <c r="AQ50" s="19">
        <v>97.4614797879278</v>
      </c>
      <c r="AR50" s="18">
        <v>1.0004248962495899E-2</v>
      </c>
      <c r="AS50" s="19">
        <v>99.2129668740928</v>
      </c>
      <c r="AT50" s="18">
        <v>-8.8815093018708192E-3</v>
      </c>
      <c r="AU50" s="19">
        <v>91.795110002279003</v>
      </c>
      <c r="AV50" s="18">
        <v>-1.91591095736037E-2</v>
      </c>
      <c r="AW50" s="19">
        <v>96.579674166312302</v>
      </c>
      <c r="AX50" s="18">
        <v>-1.38130918610935E-3</v>
      </c>
      <c r="AY50" s="19">
        <v>97.585053820607101</v>
      </c>
      <c r="AZ50" s="18">
        <v>2.94075706992358E-3</v>
      </c>
      <c r="BA50" s="19">
        <v>99.986909821982593</v>
      </c>
      <c r="BB50" s="18">
        <v>-3.4384573694257197E-4</v>
      </c>
      <c r="BC50" s="19">
        <v>100.04620853836499</v>
      </c>
      <c r="BD50" s="18">
        <v>1.1752629296730699E-3</v>
      </c>
      <c r="BE50" s="19">
        <v>100.000308784016</v>
      </c>
      <c r="BF50" s="18">
        <v>3.1662544380524102E-3</v>
      </c>
      <c r="BG50" s="19"/>
      <c r="BH50" s="18"/>
    </row>
    <row r="51" spans="1:60" x14ac:dyDescent="0.2">
      <c r="A51" s="16">
        <v>2019</v>
      </c>
      <c r="B51" s="16"/>
      <c r="C51" s="19">
        <v>100.76666057255601</v>
      </c>
      <c r="D51" s="18">
        <v>-9.0336556035908199E-4</v>
      </c>
      <c r="E51" s="19">
        <v>100.82876525368</v>
      </c>
      <c r="F51" s="18">
        <v>-5.0898519506248395E-4</v>
      </c>
      <c r="G51" s="19">
        <v>94.104846026552707</v>
      </c>
      <c r="H51" s="18">
        <v>5.7244390695516699E-2</v>
      </c>
      <c r="I51" s="19">
        <v>100.798884005833</v>
      </c>
      <c r="J51" s="18">
        <v>1.12357970809898E-2</v>
      </c>
      <c r="K51" s="19">
        <v>100.405444848127</v>
      </c>
      <c r="L51" s="18">
        <v>-5.0306984986300297E-3</v>
      </c>
      <c r="M51" s="19">
        <v>104.646145122083</v>
      </c>
      <c r="N51" s="18">
        <v>-4.52051780003873E-2</v>
      </c>
      <c r="O51" s="19">
        <v>97.919622164537302</v>
      </c>
      <c r="P51" s="18">
        <v>1.8106132451940701E-2</v>
      </c>
      <c r="Q51" s="19">
        <v>91.756671476172599</v>
      </c>
      <c r="R51" s="18">
        <v>4.65120183220755E-2</v>
      </c>
      <c r="S51" s="19">
        <v>106.170172375891</v>
      </c>
      <c r="T51" s="18">
        <v>-0.23397330118936799</v>
      </c>
      <c r="U51" s="19">
        <v>97.325157763371294</v>
      </c>
      <c r="V51" s="18">
        <v>2.2040572756940602E-3</v>
      </c>
      <c r="W51" s="19">
        <v>104.68750277899601</v>
      </c>
      <c r="X51" s="18">
        <v>-1.4879373521554599E-2</v>
      </c>
      <c r="Y51" s="19">
        <v>100.350114320977</v>
      </c>
      <c r="Z51" s="18">
        <v>1.45591687506719E-3</v>
      </c>
      <c r="AA51" s="19">
        <v>97.555923371674396</v>
      </c>
      <c r="AB51" s="18">
        <v>-6.3859279998437204E-3</v>
      </c>
      <c r="AC51" s="19">
        <v>97.432946117573394</v>
      </c>
      <c r="AD51" s="18">
        <v>8.51411294809723E-3</v>
      </c>
      <c r="AE51" s="19">
        <v>99.794226745034294</v>
      </c>
      <c r="AF51" s="18">
        <v>7.8875905641364596E-3</v>
      </c>
      <c r="AG51" s="19">
        <v>108.781514459248</v>
      </c>
      <c r="AH51" s="18">
        <v>-1.8165621541461601E-2</v>
      </c>
      <c r="AI51" s="19">
        <v>112.500625942037</v>
      </c>
      <c r="AJ51" s="18">
        <v>-2.6462517871663799E-3</v>
      </c>
      <c r="AK51" s="19">
        <v>109.157833148569</v>
      </c>
      <c r="AL51" s="18">
        <v>-5.4853155942400998E-2</v>
      </c>
      <c r="AM51" s="19">
        <v>98.983706576491002</v>
      </c>
      <c r="AN51" s="18">
        <v>1.21155000193169E-2</v>
      </c>
      <c r="AO51" s="19">
        <v>99.893178262539493</v>
      </c>
      <c r="AP51" s="18">
        <v>7.1556951813112101E-3</v>
      </c>
      <c r="AQ51" s="19">
        <v>99.295921081127901</v>
      </c>
      <c r="AR51" s="18">
        <v>1.8822218759573E-2</v>
      </c>
      <c r="AS51" s="19">
        <v>99.459610767135899</v>
      </c>
      <c r="AT51" s="18">
        <v>2.4860046102250801E-3</v>
      </c>
      <c r="AU51" s="19">
        <v>95.274696278090502</v>
      </c>
      <c r="AV51" s="18">
        <v>3.79060091079488E-2</v>
      </c>
      <c r="AW51" s="19">
        <v>97.6256365443475</v>
      </c>
      <c r="AX51" s="18">
        <v>1.08300466642084E-2</v>
      </c>
      <c r="AY51" s="19">
        <v>97.871186311403605</v>
      </c>
      <c r="AZ51" s="18">
        <v>2.93213437502948E-3</v>
      </c>
      <c r="BA51" s="19">
        <v>98.514615059923898</v>
      </c>
      <c r="BB51" s="18">
        <v>-1.47248751329548E-2</v>
      </c>
      <c r="BC51" s="19">
        <v>99.521742261037105</v>
      </c>
      <c r="BD51" s="18">
        <v>-5.24224041060317E-3</v>
      </c>
      <c r="BE51" s="19">
        <v>100.684668173134</v>
      </c>
      <c r="BF51" s="18">
        <v>6.84357275932501E-3</v>
      </c>
      <c r="BG51" s="19"/>
      <c r="BH51" s="18"/>
    </row>
    <row r="52" spans="1:60" x14ac:dyDescent="0.2">
      <c r="A52" s="16">
        <v>2020</v>
      </c>
      <c r="B52" s="16"/>
      <c r="C52" s="19">
        <v>100</v>
      </c>
      <c r="D52" s="18">
        <v>-7.6082760726589004E-3</v>
      </c>
      <c r="E52" s="19">
        <v>100</v>
      </c>
      <c r="F52" s="18">
        <v>-8.2195319122911892E-3</v>
      </c>
      <c r="G52" s="19">
        <v>100</v>
      </c>
      <c r="H52" s="18">
        <v>6.2644531311213406E-2</v>
      </c>
      <c r="I52" s="19">
        <v>100</v>
      </c>
      <c r="J52" s="18">
        <v>-7.9255243122216008E-3</v>
      </c>
      <c r="K52" s="19">
        <v>100</v>
      </c>
      <c r="L52" s="18">
        <v>-4.0380763089123998E-3</v>
      </c>
      <c r="M52" s="19">
        <v>100</v>
      </c>
      <c r="N52" s="18">
        <v>-4.4398626596925297E-2</v>
      </c>
      <c r="O52" s="19">
        <v>100</v>
      </c>
      <c r="P52" s="18">
        <v>2.1245770658377301E-2</v>
      </c>
      <c r="Q52" s="19">
        <v>100</v>
      </c>
      <c r="R52" s="18">
        <v>8.9839009972894096E-2</v>
      </c>
      <c r="S52" s="19">
        <v>100</v>
      </c>
      <c r="T52" s="18">
        <v>-5.8115874146325401E-2</v>
      </c>
      <c r="U52" s="19">
        <v>100</v>
      </c>
      <c r="V52" s="18">
        <v>2.74835643537523E-2</v>
      </c>
      <c r="W52" s="19">
        <v>100</v>
      </c>
      <c r="X52" s="18">
        <v>-4.4776144760007602E-2</v>
      </c>
      <c r="Y52" s="19">
        <v>100</v>
      </c>
      <c r="Z52" s="18">
        <v>-3.4889279732864798E-3</v>
      </c>
      <c r="AA52" s="19">
        <v>100</v>
      </c>
      <c r="AB52" s="18">
        <v>2.5053082825263799E-2</v>
      </c>
      <c r="AC52" s="19">
        <v>100</v>
      </c>
      <c r="AD52" s="18">
        <v>2.63468773624977E-2</v>
      </c>
      <c r="AE52" s="19">
        <v>100</v>
      </c>
      <c r="AF52" s="18">
        <v>2.0619755438502402E-3</v>
      </c>
      <c r="AG52" s="19">
        <v>100</v>
      </c>
      <c r="AH52" s="18">
        <v>-8.0726164761545496E-2</v>
      </c>
      <c r="AI52" s="19">
        <v>100</v>
      </c>
      <c r="AJ52" s="18">
        <v>-0.111116056798454</v>
      </c>
      <c r="AK52" s="19">
        <v>100</v>
      </c>
      <c r="AL52" s="18">
        <v>-8.3895336545429397E-2</v>
      </c>
      <c r="AM52" s="19">
        <v>100</v>
      </c>
      <c r="AN52" s="18">
        <v>1.02672799257484E-2</v>
      </c>
      <c r="AO52" s="19">
        <v>100</v>
      </c>
      <c r="AP52" s="18">
        <v>1.06935968319899E-3</v>
      </c>
      <c r="AQ52" s="19">
        <v>100</v>
      </c>
      <c r="AR52" s="18">
        <v>7.0907134070174998E-3</v>
      </c>
      <c r="AS52" s="19">
        <v>100</v>
      </c>
      <c r="AT52" s="18">
        <v>5.4332530430802901E-3</v>
      </c>
      <c r="AU52" s="19">
        <v>100</v>
      </c>
      <c r="AV52" s="18">
        <v>4.95966285541036E-2</v>
      </c>
      <c r="AW52" s="19">
        <v>100</v>
      </c>
      <c r="AX52" s="18">
        <v>2.4321106009627599E-2</v>
      </c>
      <c r="AY52" s="19">
        <v>100</v>
      </c>
      <c r="AZ52" s="18">
        <v>2.17511789611196E-2</v>
      </c>
      <c r="BA52" s="19">
        <v>100</v>
      </c>
      <c r="BB52" s="18">
        <v>1.50778129638185E-2</v>
      </c>
      <c r="BC52" s="19">
        <v>100</v>
      </c>
      <c r="BD52" s="18">
        <v>4.8055603539221003E-3</v>
      </c>
      <c r="BE52" s="19">
        <v>100</v>
      </c>
      <c r="BF52" s="18">
        <v>-6.8001234503424204E-3</v>
      </c>
      <c r="BG52" s="19"/>
      <c r="BH52" s="18"/>
    </row>
    <row r="53" spans="1:60" x14ac:dyDescent="0.2">
      <c r="A53" s="16">
        <v>2021</v>
      </c>
      <c r="B53" s="16"/>
      <c r="C53" s="19">
        <v>101.93479826974701</v>
      </c>
      <c r="D53" s="18">
        <v>1.9347982697474501E-2</v>
      </c>
      <c r="E53" s="19">
        <v>101.843527838174</v>
      </c>
      <c r="F53" s="18">
        <v>1.84352783817445E-2</v>
      </c>
      <c r="G53" s="19">
        <v>101.696733937473</v>
      </c>
      <c r="H53" s="18">
        <v>1.6967339374729599E-2</v>
      </c>
      <c r="I53" s="19">
        <v>100.352025235924</v>
      </c>
      <c r="J53" s="18">
        <v>3.52025235924014E-3</v>
      </c>
      <c r="K53" s="19">
        <v>96.633070939872596</v>
      </c>
      <c r="L53" s="18">
        <v>-3.3669290601273702E-2</v>
      </c>
      <c r="M53" s="19">
        <v>95.231722332394895</v>
      </c>
      <c r="N53" s="18">
        <v>-4.7682776676050503E-2</v>
      </c>
      <c r="O53" s="19">
        <v>97.562997209833796</v>
      </c>
      <c r="P53" s="18">
        <v>-2.4370027901662799E-2</v>
      </c>
      <c r="Q53" s="19">
        <v>88.9183057518445</v>
      </c>
      <c r="R53" s="18">
        <v>-0.11081694248155501</v>
      </c>
      <c r="S53" s="19">
        <v>115.33912974981</v>
      </c>
      <c r="T53" s="18">
        <v>0.15339129749809999</v>
      </c>
      <c r="U53" s="19">
        <v>101.39075818754</v>
      </c>
      <c r="V53" s="18">
        <v>1.39075818753998E-2</v>
      </c>
      <c r="W53" s="19">
        <v>120.26723722227599</v>
      </c>
      <c r="X53" s="18">
        <v>0.20267237222276199</v>
      </c>
      <c r="Y53" s="19">
        <v>99.961003099015102</v>
      </c>
      <c r="Z53" s="18">
        <v>-3.8996900984911202E-4</v>
      </c>
      <c r="AA53" s="19">
        <v>101.39681420522</v>
      </c>
      <c r="AB53" s="18">
        <v>1.3968142052200001E-2</v>
      </c>
      <c r="AC53" s="19">
        <v>100.53261086354701</v>
      </c>
      <c r="AD53" s="18">
        <v>5.3261086354705603E-3</v>
      </c>
      <c r="AE53" s="19">
        <v>99.093233544900997</v>
      </c>
      <c r="AF53" s="18">
        <v>-9.0676645509901697E-3</v>
      </c>
      <c r="AG53" s="19">
        <v>95.981579356116598</v>
      </c>
      <c r="AH53" s="18">
        <v>-4.0184206438833997E-2</v>
      </c>
      <c r="AI53" s="19">
        <v>92.065246541184095</v>
      </c>
      <c r="AJ53" s="18">
        <v>-7.9347534588158797E-2</v>
      </c>
      <c r="AK53" s="19">
        <v>100.945576836553</v>
      </c>
      <c r="AL53" s="18">
        <v>9.45576836553008E-3</v>
      </c>
      <c r="AM53" s="19">
        <v>100.86437479977199</v>
      </c>
      <c r="AN53" s="18">
        <v>8.6437479977203892E-3</v>
      </c>
      <c r="AO53" s="19">
        <v>102.02407368084501</v>
      </c>
      <c r="AP53" s="18">
        <v>2.0240736808449001E-2</v>
      </c>
      <c r="AQ53" s="19">
        <v>102.92912222263099</v>
      </c>
      <c r="AR53" s="18">
        <v>2.92912222263104E-2</v>
      </c>
      <c r="AS53" s="19">
        <v>98.963803600360194</v>
      </c>
      <c r="AT53" s="18">
        <v>-1.03619639963982E-2</v>
      </c>
      <c r="AU53" s="19">
        <v>95.509819591648494</v>
      </c>
      <c r="AV53" s="18">
        <v>-4.4901804083515302E-2</v>
      </c>
      <c r="AW53" s="19">
        <v>98.922759053244505</v>
      </c>
      <c r="AX53" s="18">
        <v>-1.0772409467555101E-2</v>
      </c>
      <c r="AY53" s="19">
        <v>101.020036173951</v>
      </c>
      <c r="AZ53" s="18">
        <v>1.0200361739509899E-2</v>
      </c>
      <c r="BA53" s="19">
        <v>105.272491174436</v>
      </c>
      <c r="BB53" s="18">
        <v>5.2724911744360399E-2</v>
      </c>
      <c r="BC53" s="19">
        <v>102.90884797729299</v>
      </c>
      <c r="BD53" s="18">
        <v>2.90884797729281E-2</v>
      </c>
      <c r="BE53" s="19">
        <v>100.069018455289</v>
      </c>
      <c r="BF53" s="18">
        <v>6.9018455288794001E-4</v>
      </c>
      <c r="BG53" s="19"/>
      <c r="BH53" s="18"/>
    </row>
    <row r="54" spans="1:60" x14ac:dyDescent="0.2">
      <c r="A54" s="16">
        <v>2022</v>
      </c>
      <c r="B54" s="16"/>
      <c r="C54" s="19">
        <v>105.045131895864</v>
      </c>
      <c r="D54" s="18">
        <v>3.05129718105288E-2</v>
      </c>
      <c r="E54" s="19">
        <v>105.076636557778</v>
      </c>
      <c r="F54" s="18">
        <v>3.1745843729425099E-2</v>
      </c>
      <c r="G54" s="19">
        <v>95.058469159824099</v>
      </c>
      <c r="H54" s="18">
        <v>-6.5275102951982203E-2</v>
      </c>
      <c r="I54" s="19">
        <v>101.198916415821</v>
      </c>
      <c r="J54" s="18">
        <v>8.4392036723324199E-3</v>
      </c>
      <c r="K54" s="19">
        <v>93.533946876366201</v>
      </c>
      <c r="L54" s="18">
        <v>-3.207105014219E-2</v>
      </c>
      <c r="M54" s="19">
        <v>89.051373762136095</v>
      </c>
      <c r="N54" s="18">
        <v>-6.4898002670654806E-2</v>
      </c>
      <c r="O54" s="19">
        <v>96.503966123850105</v>
      </c>
      <c r="P54" s="18">
        <v>-1.0854843703765301E-2</v>
      </c>
      <c r="Q54" s="19">
        <v>92.4838251723979</v>
      </c>
      <c r="R54" s="18">
        <v>4.0098823188378999E-2</v>
      </c>
      <c r="S54" s="19">
        <v>110.87587422006401</v>
      </c>
      <c r="T54" s="18">
        <v>-3.86968025459151E-2</v>
      </c>
      <c r="U54" s="19">
        <v>108.97056597621901</v>
      </c>
      <c r="V54" s="18">
        <v>7.4758369738777294E-2</v>
      </c>
      <c r="W54" s="19">
        <v>142.50747701725501</v>
      </c>
      <c r="X54" s="18">
        <v>0.184923511245835</v>
      </c>
      <c r="Y54" s="19">
        <v>101.84951554045</v>
      </c>
      <c r="Z54" s="18">
        <v>1.8892491900709199E-2</v>
      </c>
      <c r="AA54" s="19">
        <v>105.334837860162</v>
      </c>
      <c r="AB54" s="18">
        <v>3.8837745404620899E-2</v>
      </c>
      <c r="AC54" s="19">
        <v>100.09653737883301</v>
      </c>
      <c r="AD54" s="18">
        <v>-4.3376321471042499E-3</v>
      </c>
      <c r="AE54" s="19">
        <v>98.220184564367898</v>
      </c>
      <c r="AF54" s="18">
        <v>-8.8103793700249292E-3</v>
      </c>
      <c r="AG54" s="19">
        <v>100.639714173366</v>
      </c>
      <c r="AH54" s="18">
        <v>4.8531549996343203E-2</v>
      </c>
      <c r="AI54" s="19">
        <v>101.203796428492</v>
      </c>
      <c r="AJ54" s="18">
        <v>9.9261667465582598E-2</v>
      </c>
      <c r="AK54" s="19">
        <v>101.33628930357401</v>
      </c>
      <c r="AL54" s="18">
        <v>3.8705258740916498E-3</v>
      </c>
      <c r="AM54" s="19">
        <v>102.705136755173</v>
      </c>
      <c r="AN54" s="18">
        <v>1.8249872257228E-2</v>
      </c>
      <c r="AO54" s="19">
        <v>104.460519640803</v>
      </c>
      <c r="AP54" s="18">
        <v>2.3881088767145502E-2</v>
      </c>
      <c r="AQ54" s="19">
        <v>104.198189724313</v>
      </c>
      <c r="AR54" s="18">
        <v>1.23295280701712E-2</v>
      </c>
      <c r="AS54" s="19">
        <v>98.773721087253804</v>
      </c>
      <c r="AT54" s="18">
        <v>-1.92072764173434E-3</v>
      </c>
      <c r="AU54" s="19">
        <v>92.155243426776494</v>
      </c>
      <c r="AV54" s="18">
        <v>-3.5122840554138599E-2</v>
      </c>
      <c r="AW54" s="19">
        <v>97.788403329737207</v>
      </c>
      <c r="AX54" s="18">
        <v>-1.1467085374122001E-2</v>
      </c>
      <c r="AY54" s="19">
        <v>101.864245569394</v>
      </c>
      <c r="AZ54" s="18">
        <v>8.3568510507092703E-3</v>
      </c>
      <c r="BA54" s="19">
        <v>103.900726181756</v>
      </c>
      <c r="BB54" s="18">
        <v>-1.3030612056167E-2</v>
      </c>
      <c r="BC54" s="19">
        <v>102.42899954938601</v>
      </c>
      <c r="BD54" s="18">
        <v>-4.6628490876956504E-3</v>
      </c>
      <c r="BE54" s="19">
        <v>100.668561052511</v>
      </c>
      <c r="BF54" s="18">
        <v>5.9912908758104101E-3</v>
      </c>
      <c r="BG54" s="19"/>
      <c r="BH54" s="18"/>
    </row>
    <row r="55" spans="1:60" x14ac:dyDescent="0.2">
      <c r="A55" s="16">
        <v>2023</v>
      </c>
      <c r="B55" s="16"/>
      <c r="C55" s="19">
        <v>106.026219621059</v>
      </c>
      <c r="D55" s="18">
        <v>9.3396781696415392E-3</v>
      </c>
      <c r="E55" s="19">
        <v>106.140469624483</v>
      </c>
      <c r="F55" s="18">
        <v>1.01243540101272E-2</v>
      </c>
      <c r="G55" s="19">
        <v>98.090461140480599</v>
      </c>
      <c r="H55" s="18">
        <v>3.1896074147362202E-2</v>
      </c>
      <c r="I55" s="19">
        <v>104.740072778187</v>
      </c>
      <c r="J55" s="18">
        <v>3.4992038331869098E-2</v>
      </c>
      <c r="K55" s="19">
        <v>94.067734746379799</v>
      </c>
      <c r="L55" s="18">
        <v>5.7068891866518499E-3</v>
      </c>
      <c r="M55" s="19">
        <v>82.1266898298217</v>
      </c>
      <c r="N55" s="18">
        <v>-7.7760551463370395E-2</v>
      </c>
      <c r="O55" s="19">
        <v>102.341062002024</v>
      </c>
      <c r="P55" s="18">
        <v>6.04855542484415E-2</v>
      </c>
      <c r="Q55" s="19">
        <v>136.28105518842099</v>
      </c>
      <c r="R55" s="18">
        <v>0.47356637697868997</v>
      </c>
      <c r="S55" s="19">
        <v>99.120837855210496</v>
      </c>
      <c r="T55" s="18">
        <v>-0.106019785165548</v>
      </c>
      <c r="U55" s="19">
        <v>114.720864374776</v>
      </c>
      <c r="V55" s="18">
        <v>5.2769280833247202E-2</v>
      </c>
      <c r="W55" s="19">
        <v>131.86503965981501</v>
      </c>
      <c r="X55" s="18">
        <v>-7.4679852455399501E-2</v>
      </c>
      <c r="Y55" s="19">
        <v>104.952534372472</v>
      </c>
      <c r="Z55" s="18">
        <v>3.0466701933300699E-2</v>
      </c>
      <c r="AA55" s="19">
        <v>104.351762328764</v>
      </c>
      <c r="AB55" s="18">
        <v>-9.3328622454716993E-3</v>
      </c>
      <c r="AC55" s="19">
        <v>104.632103258291</v>
      </c>
      <c r="AD55" s="18">
        <v>4.5311915858711402E-2</v>
      </c>
      <c r="AE55" s="19">
        <v>97.975102225087596</v>
      </c>
      <c r="AF55" s="18">
        <v>-2.4952339518330398E-3</v>
      </c>
      <c r="AG55" s="19">
        <v>108.240818583261</v>
      </c>
      <c r="AH55" s="18">
        <v>7.5527881535918398E-2</v>
      </c>
      <c r="AI55" s="19">
        <v>117.501302013711</v>
      </c>
      <c r="AJ55" s="18">
        <v>0.16103650416646501</v>
      </c>
      <c r="AK55" s="19">
        <v>103.91144024116601</v>
      </c>
      <c r="AL55" s="18">
        <v>2.5411932440881E-2</v>
      </c>
      <c r="AM55" s="19">
        <v>104.626006565899</v>
      </c>
      <c r="AN55" s="18">
        <v>1.8702762796615601E-2</v>
      </c>
      <c r="AO55" s="19">
        <v>107.740155458785</v>
      </c>
      <c r="AP55" s="18">
        <v>3.1395936275822697E-2</v>
      </c>
      <c r="AQ55" s="19">
        <v>106.97538419054401</v>
      </c>
      <c r="AR55" s="18">
        <v>2.6653001108549301E-2</v>
      </c>
      <c r="AS55" s="19">
        <v>99.428980545891406</v>
      </c>
      <c r="AT55" s="18">
        <v>6.6339452581598603E-3</v>
      </c>
      <c r="AU55" s="19">
        <v>89.413098050964294</v>
      </c>
      <c r="AV55" s="18">
        <v>-2.9755717350918E-2</v>
      </c>
      <c r="AW55" s="19">
        <v>100.490843671767</v>
      </c>
      <c r="AX55" s="18">
        <v>2.76355912358777E-2</v>
      </c>
      <c r="AY55" s="19">
        <v>103.145864219476</v>
      </c>
      <c r="AZ55" s="18">
        <v>1.25816339473985E-2</v>
      </c>
      <c r="BA55" s="19">
        <v>101.75457286501</v>
      </c>
      <c r="BB55" s="18">
        <v>-2.06558067071787E-2</v>
      </c>
      <c r="BC55" s="19">
        <v>102.04290986001899</v>
      </c>
      <c r="BD55" s="18">
        <v>-3.7693396505446E-3</v>
      </c>
      <c r="BE55" s="19">
        <v>102.302815759579</v>
      </c>
      <c r="BF55" s="18">
        <v>1.6234012783946601E-2</v>
      </c>
      <c r="BG55" s="19"/>
      <c r="BH55" s="18"/>
    </row>
    <row r="56" spans="1:60" x14ac:dyDescent="0.2">
      <c r="A56" s="16">
        <v>2024</v>
      </c>
      <c r="B56" s="16"/>
      <c r="C56" s="19">
        <v>107.050287657453</v>
      </c>
      <c r="D56" s="18">
        <v>9.6586301016259295E-3</v>
      </c>
      <c r="E56" s="19">
        <v>107.030257890434</v>
      </c>
      <c r="F56" s="18">
        <v>8.3831197383890093E-3</v>
      </c>
      <c r="G56" s="19">
        <v>102.621264534007</v>
      </c>
      <c r="H56" s="18">
        <v>4.6190050906556E-2</v>
      </c>
      <c r="I56" s="19">
        <v>105.920396076624</v>
      </c>
      <c r="J56" s="18">
        <v>1.12690708258019E-2</v>
      </c>
      <c r="K56" s="19">
        <v>93.963574823275593</v>
      </c>
      <c r="L56" s="18">
        <v>-1.1072863972432199E-3</v>
      </c>
      <c r="M56" s="19">
        <v>79.837414323320203</v>
      </c>
      <c r="N56" s="18">
        <v>-2.7874927276932401E-2</v>
      </c>
      <c r="O56" s="19">
        <v>104.116823999506</v>
      </c>
      <c r="P56" s="18">
        <v>1.7351412646537299E-2</v>
      </c>
      <c r="Q56" s="19">
        <v>158.850010178953</v>
      </c>
      <c r="R56" s="18">
        <v>0.16560596011917</v>
      </c>
      <c r="S56" s="19">
        <v>96.4121545816447</v>
      </c>
      <c r="T56" s="18">
        <v>-2.7327082096727899E-2</v>
      </c>
      <c r="U56" s="19">
        <v>117.095697108161</v>
      </c>
      <c r="V56" s="18">
        <v>2.07009661784519E-2</v>
      </c>
      <c r="W56" s="19">
        <v>129.18812109132301</v>
      </c>
      <c r="X56" s="18">
        <v>-2.0300441841127101E-2</v>
      </c>
      <c r="Y56" s="19">
        <v>102.958909076865</v>
      </c>
      <c r="Z56" s="18">
        <v>-1.8995494558823E-2</v>
      </c>
      <c r="AA56" s="19">
        <v>105.275416539304</v>
      </c>
      <c r="AB56" s="18">
        <v>8.8513522908217901E-3</v>
      </c>
      <c r="AC56" s="19">
        <v>108.26672637402901</v>
      </c>
      <c r="AD56" s="18">
        <v>3.4737169592831997E-2</v>
      </c>
      <c r="AE56" s="19">
        <v>98.137750536970898</v>
      </c>
      <c r="AF56" s="18">
        <v>1.66009841469328E-3</v>
      </c>
      <c r="AG56" s="19">
        <v>109.237464809708</v>
      </c>
      <c r="AH56" s="18">
        <v>9.20767451219184E-3</v>
      </c>
      <c r="AI56" s="19">
        <v>118.76867905122</v>
      </c>
      <c r="AJ56" s="18">
        <v>1.07860680331962E-2</v>
      </c>
      <c r="AK56" s="19">
        <v>105.310220556598</v>
      </c>
      <c r="AL56" s="18">
        <v>1.3461273486206999E-2</v>
      </c>
      <c r="AM56" s="19">
        <v>106.6510124835</v>
      </c>
      <c r="AN56" s="18">
        <v>1.93547090639032E-2</v>
      </c>
      <c r="AO56" s="19">
        <v>109.66369952246301</v>
      </c>
      <c r="AP56" s="18">
        <v>1.7853548247513101E-2</v>
      </c>
      <c r="AQ56" s="19">
        <v>109.78797769956</v>
      </c>
      <c r="AR56" s="18">
        <v>2.6291969225427099E-2</v>
      </c>
      <c r="AS56" s="19">
        <v>99.414732975811106</v>
      </c>
      <c r="AT56" s="18">
        <v>-1.4329393706036299E-4</v>
      </c>
      <c r="AU56" s="19">
        <v>91.330575154404301</v>
      </c>
      <c r="AV56" s="18">
        <v>2.1445147805381599E-2</v>
      </c>
      <c r="AW56" s="19">
        <v>103.247295432611</v>
      </c>
      <c r="AX56" s="18">
        <v>2.7429879779370399E-2</v>
      </c>
      <c r="AY56" s="19">
        <v>104.827533951654</v>
      </c>
      <c r="AZ56" s="18">
        <v>1.6303801852876099E-2</v>
      </c>
      <c r="BA56" s="19">
        <v>108.020143135973</v>
      </c>
      <c r="BB56" s="18">
        <v>6.1575318873144297E-2</v>
      </c>
      <c r="BC56" s="19">
        <v>105.749316320331</v>
      </c>
      <c r="BD56" s="18">
        <v>3.63220381053087E-2</v>
      </c>
      <c r="BE56" s="19">
        <v>103.21801531112</v>
      </c>
      <c r="BF56" s="18">
        <v>8.9459859413054694E-3</v>
      </c>
      <c r="BG56" s="19"/>
      <c r="BH56" s="18"/>
    </row>
    <row r="57" spans="1:60" x14ac:dyDescent="0.2">
      <c r="A57" s="16"/>
      <c r="B57" s="16"/>
      <c r="C57" s="19"/>
      <c r="D57" s="18"/>
      <c r="E57" s="19"/>
      <c r="F57" s="18"/>
      <c r="G57" s="19"/>
      <c r="H57" s="18"/>
      <c r="I57" s="19"/>
      <c r="J57" s="18"/>
      <c r="K57" s="19"/>
      <c r="L57" s="18"/>
      <c r="M57" s="19"/>
      <c r="N57" s="18"/>
      <c r="O57" s="19"/>
      <c r="P57" s="18"/>
      <c r="Q57" s="19"/>
      <c r="R57" s="18"/>
      <c r="S57" s="19"/>
      <c r="T57" s="18"/>
      <c r="U57" s="19"/>
      <c r="V57" s="18"/>
      <c r="W57" s="19"/>
      <c r="X57" s="18"/>
      <c r="Y57" s="19"/>
      <c r="Z57" s="18"/>
      <c r="AA57" s="19"/>
      <c r="AB57" s="18"/>
      <c r="AC57" s="19"/>
      <c r="AD57" s="18"/>
      <c r="AE57" s="19"/>
      <c r="AF57" s="18"/>
      <c r="AG57" s="19"/>
      <c r="AH57" s="18"/>
      <c r="AI57" s="19"/>
      <c r="AJ57" s="18"/>
      <c r="AK57" s="19"/>
      <c r="AL57" s="18"/>
      <c r="AM57" s="19"/>
      <c r="AN57" s="18"/>
      <c r="AO57" s="19"/>
      <c r="AP57" s="18"/>
      <c r="AQ57" s="19"/>
      <c r="AR57" s="18"/>
      <c r="AS57" s="19"/>
      <c r="AT57" s="18"/>
      <c r="AU57" s="19"/>
      <c r="AV57" s="18"/>
      <c r="AW57" s="19"/>
      <c r="AX57" s="18"/>
      <c r="AY57" s="19"/>
      <c r="AZ57" s="18"/>
      <c r="BA57" s="19"/>
      <c r="BB57" s="18"/>
      <c r="BC57" s="19"/>
      <c r="BD57" s="18"/>
      <c r="BE57" s="19"/>
      <c r="BF57" s="18"/>
      <c r="BG57" s="19"/>
      <c r="BH57" s="18"/>
    </row>
  </sheetData>
  <sheetProtection password="DD0B" sheet="1"/>
  <mergeCells count="66">
    <mergeCell ref="C5:D10"/>
    <mergeCell ref="E6:F10"/>
    <mergeCell ref="G6:H10"/>
    <mergeCell ref="I6:J10"/>
    <mergeCell ref="K6:L10"/>
    <mergeCell ref="AO6:AP10"/>
    <mergeCell ref="AQ6:AR10"/>
    <mergeCell ref="AS6:AT10"/>
    <mergeCell ref="S6:T10"/>
    <mergeCell ref="U6:V10"/>
    <mergeCell ref="W6:X10"/>
    <mergeCell ref="AA6:AB10"/>
    <mergeCell ref="Y8:Z10"/>
    <mergeCell ref="AC6:AD10"/>
    <mergeCell ref="M11:N11"/>
    <mergeCell ref="Q11:R11"/>
    <mergeCell ref="S11:T11"/>
    <mergeCell ref="AG6:AH10"/>
    <mergeCell ref="AM6:AN10"/>
    <mergeCell ref="Q6:R10"/>
    <mergeCell ref="O6:P6"/>
    <mergeCell ref="O7:P7"/>
    <mergeCell ref="C11:D11"/>
    <mergeCell ref="E11:F11"/>
    <mergeCell ref="G11:H11"/>
    <mergeCell ref="I11:J11"/>
    <mergeCell ref="K11:L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Q11:AR11"/>
    <mergeCell ref="O11:P11"/>
    <mergeCell ref="O8:P10"/>
    <mergeCell ref="AE11:AF11"/>
    <mergeCell ref="AE6:AF10"/>
    <mergeCell ref="AY11:AZ11"/>
    <mergeCell ref="AU11:AV11"/>
    <mergeCell ref="AW11:AX11"/>
    <mergeCell ref="AS11:AT11"/>
    <mergeCell ref="U11:V11"/>
    <mergeCell ref="W11:X11"/>
    <mergeCell ref="Y11:Z11"/>
    <mergeCell ref="AA11:AB11"/>
    <mergeCell ref="AG11:AH11"/>
    <mergeCell ref="AK11:AL11"/>
    <mergeCell ref="AU6:AV10"/>
    <mergeCell ref="AW6:AX10"/>
    <mergeCell ref="AC11:AD11"/>
    <mergeCell ref="AK6:AL6"/>
    <mergeCell ref="AK7:AL7"/>
    <mergeCell ref="AK8:AL10"/>
    <mergeCell ref="AI6:AJ6"/>
    <mergeCell ref="AI7:AJ7"/>
    <mergeCell ref="AI8:AJ10"/>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le10"/>
  <dimension ref="A1:BH57"/>
  <sheetViews>
    <sheetView showGridLines="0" zoomScaleNormal="100" workbookViewId="0">
      <pane xSplit="2" ySplit="11" topLeftCell="C12" activePane="bottomRight" state="frozen"/>
      <selection activeCell="AG1" sqref="AG1:AH1048576"/>
      <selection pane="topRight" activeCell="AG1" sqref="AG1:AH1048576"/>
      <selection pane="bottomLeft" activeCell="AG1" sqref="AG1:AH1048576"/>
      <selection pane="bottomRight" activeCell="AG1" sqref="AG1:AH1048576"/>
    </sheetView>
  </sheetViews>
  <sheetFormatPr defaultColWidth="11.5546875" defaultRowHeight="10" x14ac:dyDescent="0.2"/>
  <cols>
    <col min="1" max="1" width="9.77734375" customWidth="1"/>
    <col min="2" max="2" width="2.6640625" customWidth="1"/>
    <col min="3" max="60" width="9.77734375" customWidth="1"/>
  </cols>
  <sheetData>
    <row r="1" spans="1:60" ht="11.25" customHeight="1" x14ac:dyDescent="0.25">
      <c r="A1" s="6" t="str">
        <f ca="1">INDIRECT("beschriftung!"&amp;ADDRESS(beschriftung!$C$1*12+ROW(beschriftung!$A1)-1,COLUMN(beschriftung!A$1)))</f>
        <v>ESA 2010, Quarterly aggregates of Gross Domestic Product, production approach, raw data</v>
      </c>
      <c r="C1" s="12"/>
      <c r="E1" s="12"/>
      <c r="G1" s="12"/>
      <c r="I1" s="12"/>
      <c r="K1" s="12"/>
      <c r="M1" s="12"/>
      <c r="Q1" s="12"/>
      <c r="S1" s="12"/>
      <c r="U1" s="12"/>
      <c r="W1" s="12"/>
      <c r="Y1" s="12"/>
      <c r="AA1" s="12"/>
      <c r="AG1" s="12"/>
      <c r="AI1" s="12"/>
      <c r="AM1" s="12"/>
      <c r="AO1" s="12"/>
      <c r="AQ1" s="12"/>
      <c r="AS1" s="12"/>
      <c r="AU1" s="12"/>
      <c r="AW1" s="12"/>
    </row>
    <row r="2" spans="1:60" ht="11.25" customHeight="1" x14ac:dyDescent="0.2">
      <c r="A2" s="4" t="str">
        <f ca="1">INDIRECT("beschriftung!"&amp;ADDRESS(beschriftung!$C$1*12+ROW(beschriftung!$A5)-1,COLUMN(beschriftung!B$1)))</f>
        <v>Contributions to real GDP-growth</v>
      </c>
      <c r="C2" s="12"/>
      <c r="E2" s="12"/>
      <c r="G2" s="12"/>
      <c r="I2" s="12"/>
      <c r="K2" s="12"/>
      <c r="M2" s="12"/>
      <c r="Q2" s="12"/>
      <c r="S2" s="12"/>
      <c r="U2" s="12"/>
      <c r="W2" s="12"/>
      <c r="Y2" s="12"/>
      <c r="AA2" s="12"/>
      <c r="AG2" s="12"/>
      <c r="AI2" s="12"/>
      <c r="AM2" s="12"/>
      <c r="AO2" s="12"/>
      <c r="AQ2" s="12"/>
      <c r="AS2" s="12"/>
      <c r="AU2" s="12"/>
      <c r="AW2" s="12"/>
    </row>
    <row r="3" spans="1:60" ht="11.25" customHeight="1" x14ac:dyDescent="0.2">
      <c r="C3" s="12"/>
      <c r="E3" s="12"/>
      <c r="G3" s="12"/>
      <c r="I3" s="12"/>
      <c r="K3" s="12"/>
      <c r="M3" s="12"/>
      <c r="Q3" s="12"/>
      <c r="S3" s="12"/>
      <c r="U3" s="12"/>
      <c r="W3" s="12"/>
      <c r="Y3" s="12"/>
      <c r="AA3" s="12"/>
      <c r="AG3" s="12"/>
      <c r="AI3" s="12"/>
      <c r="AM3" s="12"/>
      <c r="AO3" s="12"/>
      <c r="AQ3" s="12"/>
      <c r="AS3" s="12"/>
      <c r="AU3" s="12"/>
      <c r="AW3" s="12"/>
    </row>
    <row r="4" spans="1:60" ht="11.25" customHeight="1" x14ac:dyDescent="0.2">
      <c r="A4" s="5"/>
      <c r="C4" s="47" t="str">
        <f ca="1">INDIRECT("beschriftung!"&amp;ADDRESS(beschriftung!$C$1*12+ROW(beschriftung!$A5)-1,COLUMN(beschriftung!C$1)))</f>
        <v>Gross domestic product</v>
      </c>
      <c r="D4" s="48" t="e">
        <f ca="1">IF(INDIRECT("beschriftung.!"&amp;ADDRESS(#REF!*12+ROW($A5)-1,COLUMN(D$1)))="","",INDIRECT("beschriftung.!"&amp;ADDRESS(#REF!*12+ROW($A5)-1,COLUMN(D$1))))</f>
        <v>#REF!</v>
      </c>
      <c r="E4" s="48" t="e">
        <f ca="1">IF(INDIRECT("beschriftung.!"&amp;ADDRESS(#REF!*12+ROW($A5)-1,COLUMN(E$1)))="","",INDIRECT("beschriftung.!"&amp;ADDRESS(#REF!*12+ROW($A5)-1,COLUMN(E$1))))</f>
        <v>#REF!</v>
      </c>
      <c r="F4" s="48" t="e">
        <f ca="1">IF(INDIRECT("beschriftung.!"&amp;ADDRESS(#REF!*12+ROW($A5)-1,COLUMN(F$1)))="","",INDIRECT("beschriftung.!"&amp;ADDRESS(#REF!*12+ROW($A5)-1,COLUMN(F$1))))</f>
        <v>#REF!</v>
      </c>
      <c r="G4" s="48" t="e">
        <f ca="1">IF(INDIRECT("beschriftung.!"&amp;ADDRESS(#REF!*12+ROW($A5)-1,COLUMN(G$1)))="","",INDIRECT("beschriftung.!"&amp;ADDRESS(#REF!*12+ROW($A5)-1,COLUMN(G$1))))</f>
        <v>#REF!</v>
      </c>
      <c r="H4" s="48" t="e">
        <f ca="1">IF(INDIRECT("beschriftung.!"&amp;ADDRESS(#REF!*12+ROW($A5)-1,COLUMN(H$1)))="","",INDIRECT("beschriftung.!"&amp;ADDRESS(#REF!*12+ROW($A5)-1,COLUMN(H$1))))</f>
        <v>#REF!</v>
      </c>
      <c r="I4" s="48" t="e">
        <f ca="1">IF(INDIRECT("beschriftung.!"&amp;ADDRESS(#REF!*12+ROW($A5)-1,COLUMN(I$1)))="","",INDIRECT("beschriftung.!"&amp;ADDRESS(#REF!*12+ROW($A5)-1,COLUMN(I$1))))</f>
        <v>#REF!</v>
      </c>
      <c r="J4" s="48" t="e">
        <f ca="1">IF(INDIRECT("beschriftung.!"&amp;ADDRESS(#REF!*12+ROW($A5)-1,COLUMN(J$1)))="","",INDIRECT("beschriftung.!"&amp;ADDRESS(#REF!*12+ROW($A5)-1,COLUMN(J$1))))</f>
        <v>#REF!</v>
      </c>
      <c r="K4" s="48" t="e">
        <f ca="1">IF(INDIRECT("beschriftung.!"&amp;ADDRESS(#REF!*12+ROW($A5)-1,COLUMN(K$1)))="","",INDIRECT("beschriftung.!"&amp;ADDRESS(#REF!*12+ROW($A5)-1,COLUMN(K$1))))</f>
        <v>#REF!</v>
      </c>
      <c r="L4" s="48" t="e">
        <f ca="1">IF(INDIRECT("beschriftung.!"&amp;ADDRESS(#REF!*12+ROW($A5)-1,COLUMN(L$1)))="","",INDIRECT("beschriftung.!"&amp;ADDRESS(#REF!*12+ROW($A5)-1,COLUMN(L$1))))</f>
        <v>#REF!</v>
      </c>
      <c r="M4" s="48"/>
      <c r="N4" s="48"/>
      <c r="O4" s="48"/>
      <c r="P4" s="48"/>
      <c r="Q4" s="48" t="e">
        <f ca="1">IF(INDIRECT("beschriftung.!"&amp;ADDRESS(#REF!*12+ROW($A5)-1,COLUMN(Q$1)))="","",INDIRECT("beschriftung.!"&amp;ADDRESS(#REF!*12+ROW($A5)-1,COLUMN(Q$1))))</f>
        <v>#REF!</v>
      </c>
      <c r="R4" s="48" t="e">
        <f ca="1">IF(INDIRECT("beschriftung.!"&amp;ADDRESS(#REF!*12+ROW($A5)-1,COLUMN(R$1)))="","",INDIRECT("beschriftung.!"&amp;ADDRESS(#REF!*12+ROW($A5)-1,COLUMN(R$1))))</f>
        <v>#REF!</v>
      </c>
      <c r="S4" s="48"/>
      <c r="T4" s="48"/>
      <c r="U4" s="48" t="e">
        <f ca="1">IF(INDIRECT("beschriftung.!"&amp;ADDRESS(#REF!*12+ROW($A5)-1,COLUMN(U$1)))="","",INDIRECT("beschriftung.!"&amp;ADDRESS(#REF!*12+ROW($A5)-1,COLUMN(U$1))))</f>
        <v>#REF!</v>
      </c>
      <c r="V4" s="48" t="e">
        <f ca="1">IF(INDIRECT("beschriftung.!"&amp;ADDRESS(#REF!*12+ROW($A5)-1,COLUMN(V$1)))="","",INDIRECT("beschriftung.!"&amp;ADDRESS(#REF!*12+ROW($A5)-1,COLUMN(V$1))))</f>
        <v>#REF!</v>
      </c>
      <c r="W4" s="48" t="e">
        <f ca="1">IF(INDIRECT("beschriftung.!"&amp;ADDRESS(#REF!*12+ROW($A5)-1,COLUMN(W$1)))="","",INDIRECT("beschriftung.!"&amp;ADDRESS(#REF!*12+ROW($A5)-1,COLUMN(W$1))))</f>
        <v>#REF!</v>
      </c>
      <c r="X4" s="48" t="e">
        <f ca="1">IF(INDIRECT("beschriftung.!"&amp;ADDRESS(#REF!*12+ROW($A5)-1,COLUMN(X$1)))="","",INDIRECT("beschriftung.!"&amp;ADDRESS(#REF!*12+ROW($A5)-1,COLUMN(X$1))))</f>
        <v>#REF!</v>
      </c>
      <c r="Y4" s="48"/>
      <c r="Z4" s="48"/>
      <c r="AA4" s="48" t="e">
        <f ca="1">IF(INDIRECT("beschriftung.!"&amp;ADDRESS(#REF!*12+ROW($A5)-1,COLUMN(AA$1)))="","",INDIRECT("beschriftung.!"&amp;ADDRESS(#REF!*12+ROW($A5)-1,COLUMN(AA$1))))</f>
        <v>#REF!</v>
      </c>
      <c r="AB4" s="48" t="e">
        <f ca="1">IF(INDIRECT("beschriftung.!"&amp;ADDRESS(#REF!*12+ROW($A5)-1,COLUMN(AB$1)))="","",INDIRECT("beschriftung.!"&amp;ADDRESS(#REF!*12+ROW($A5)-1,COLUMN(AB$1))))</f>
        <v>#REF!</v>
      </c>
      <c r="AC4" s="48"/>
      <c r="AD4" s="48"/>
      <c r="AE4" s="48"/>
      <c r="AF4" s="48"/>
      <c r="AG4" s="48" t="e">
        <f ca="1">IF(INDIRECT("beschriftung.!"&amp;ADDRESS(#REF!*12+ROW($A5)-1,COLUMN(AG$1)))="","",INDIRECT("beschriftung.!"&amp;ADDRESS(#REF!*12+ROW($A5)-1,COLUMN(AG$1))))</f>
        <v>#REF!</v>
      </c>
      <c r="AH4" s="48" t="e">
        <f ca="1">IF(INDIRECT("beschriftung.!"&amp;ADDRESS(#REF!*12+ROW($A5)-1,COLUMN(AH$1)))="","",INDIRECT("beschriftung.!"&amp;ADDRESS(#REF!*12+ROW($A5)-1,COLUMN(AH$1))))</f>
        <v>#REF!</v>
      </c>
      <c r="AI4" s="48" t="e">
        <f ca="1">IF(INDIRECT("beschriftung.!"&amp;ADDRESS(#REF!*12+ROW($A5)-1,COLUMN(AI$1)))="","",INDIRECT("beschriftung.!"&amp;ADDRESS(#REF!*12+ROW($A5)-1,COLUMN(AI$1))))</f>
        <v>#REF!</v>
      </c>
      <c r="AJ4" s="48" t="e">
        <f ca="1">IF(INDIRECT("beschriftung.!"&amp;ADDRESS(#REF!*12+ROW($A5)-1,COLUMN(AJ$1)))="","",INDIRECT("beschriftung.!"&amp;ADDRESS(#REF!*12+ROW($A5)-1,COLUMN(AJ$1))))</f>
        <v>#REF!</v>
      </c>
      <c r="AK4" s="48"/>
      <c r="AL4" s="48"/>
      <c r="AM4" s="48" t="e">
        <f ca="1">IF(INDIRECT("beschriftung.!"&amp;ADDRESS(#REF!*12+ROW($A5)-1,COLUMN(AM$1)))="","",INDIRECT("beschriftung.!"&amp;ADDRESS(#REF!*12+ROW($A5)-1,COLUMN(AM$1))))</f>
        <v>#REF!</v>
      </c>
      <c r="AN4" s="48" t="e">
        <f ca="1">IF(INDIRECT("beschriftung.!"&amp;ADDRESS(#REF!*12+ROW($A5)-1,COLUMN(AN$1)))="","",INDIRECT("beschriftung.!"&amp;ADDRESS(#REF!*12+ROW($A5)-1,COLUMN(AN$1))))</f>
        <v>#REF!</v>
      </c>
      <c r="AO4" s="48" t="e">
        <f ca="1">IF(INDIRECT("beschriftung.!"&amp;ADDRESS(#REF!*12+ROW($A5)-1,COLUMN(AO$1)))="","",INDIRECT("beschriftung.!"&amp;ADDRESS(#REF!*12+ROW($A5)-1,COLUMN(AO$1))))</f>
        <v>#REF!</v>
      </c>
      <c r="AP4" s="48" t="e">
        <f ca="1">IF(INDIRECT("beschriftung.!"&amp;ADDRESS(#REF!*12+ROW($A5)-1,COLUMN(AP$1)))="","",INDIRECT("beschriftung.!"&amp;ADDRESS(#REF!*12+ROW($A5)-1,COLUMN(AP$1))))</f>
        <v>#REF!</v>
      </c>
      <c r="AQ4" s="48" t="e">
        <f ca="1">IF(INDIRECT("beschriftung.!"&amp;ADDRESS(#REF!*12+ROW($A5)-1,COLUMN(AQ$1)))="","",INDIRECT("beschriftung.!"&amp;ADDRESS(#REF!*12+ROW($A5)-1,COLUMN(AQ$1))))</f>
        <v>#REF!</v>
      </c>
      <c r="AR4" s="48" t="e">
        <f ca="1">IF(INDIRECT("beschriftung.!"&amp;ADDRESS(#REF!*12+ROW($A5)-1,COLUMN(AR$1)))="","",INDIRECT("beschriftung.!"&amp;ADDRESS(#REF!*12+ROW($A5)-1,COLUMN(AR$1))))</f>
        <v>#REF!</v>
      </c>
      <c r="AS4" s="48" t="e">
        <f ca="1">IF(INDIRECT("beschriftung.!"&amp;ADDRESS(#REF!*12+ROW($A5)-1,COLUMN(AS$1)))="","",INDIRECT("beschriftung.!"&amp;ADDRESS(#REF!*12+ROW($A5)-1,COLUMN(AS$1))))</f>
        <v>#REF!</v>
      </c>
      <c r="AT4" s="48" t="e">
        <f ca="1">IF(INDIRECT("beschriftung.!"&amp;ADDRESS(#REF!*12+ROW($A5)-1,COLUMN(AT$1)))="","",INDIRECT("beschriftung.!"&amp;ADDRESS(#REF!*12+ROW($A5)-1,COLUMN(AT$1))))</f>
        <v>#REF!</v>
      </c>
      <c r="AU4" s="48" t="e">
        <f ca="1">IF(INDIRECT("beschriftung.!"&amp;ADDRESS(#REF!*12+ROW($A5)-1,COLUMN(AU$1)))="","",INDIRECT("beschriftung.!"&amp;ADDRESS(#REF!*12+ROW($A5)-1,COLUMN(AU$1))))</f>
        <v>#REF!</v>
      </c>
      <c r="AV4" s="48" t="e">
        <f ca="1">IF(INDIRECT("beschriftung.!"&amp;ADDRESS(#REF!*12+ROW($A5)-1,COLUMN(AV$1)))="","",INDIRECT("beschriftung.!"&amp;ADDRESS(#REF!*12+ROW($A5)-1,COLUMN(AV$1))))</f>
        <v>#REF!</v>
      </c>
      <c r="AW4" s="48"/>
      <c r="AX4" s="48"/>
      <c r="AY4" s="48" t="e">
        <f ca="1">IF(INDIRECT("beschriftung.!"&amp;ADDRESS(#REF!*12+ROW($A5)-1,COLUMN(AY$1)))="","",INDIRECT("beschriftung.!"&amp;ADDRESS(#REF!*12+ROW($A5)-1,COLUMN(AY$1))))</f>
        <v>#REF!</v>
      </c>
      <c r="AZ4" s="48" t="e">
        <f ca="1">IF(INDIRECT("beschriftung.!"&amp;ADDRESS(#REF!*12+ROW($A5)-1,COLUMN(AZ$1)))="","",INDIRECT("beschriftung.!"&amp;ADDRESS(#REF!*12+ROW($A5)-1,COLUMN(AZ$1))))</f>
        <v>#REF!</v>
      </c>
      <c r="BA4" s="48" t="e">
        <f ca="1">IF(INDIRECT("beschriftung.!"&amp;ADDRESS(#REF!*12+ROW($A5)-1,COLUMN(BA$1)))="","",INDIRECT("beschriftung.!"&amp;ADDRESS(#REF!*12+ROW($A5)-1,COLUMN(BA$1))))</f>
        <v>#REF!</v>
      </c>
      <c r="BB4" s="48" t="e">
        <f ca="1">IF(INDIRECT("beschriftung.!"&amp;ADDRESS(#REF!*12+ROW($A5)-1,COLUMN(BB$1)))="","",INDIRECT("beschriftung.!"&amp;ADDRESS(#REF!*12+ROW($A5)-1,COLUMN(BB$1))))</f>
        <v>#REF!</v>
      </c>
      <c r="BC4" s="48" t="e">
        <f ca="1">IF(INDIRECT("beschriftung.!"&amp;ADDRESS(#REF!*12+ROW($A5)-1,COLUMN(BC$1)))="","",INDIRECT("beschriftung.!"&amp;ADDRESS(#REF!*12+ROW($A5)-1,COLUMN(BC$1))))</f>
        <v>#REF!</v>
      </c>
      <c r="BD4" s="48" t="e">
        <f ca="1">IF(INDIRECT("beschriftung.!"&amp;ADDRESS(#REF!*12+ROW($A5)-1,COLUMN(BD$1)))="","",INDIRECT("beschriftung.!"&amp;ADDRESS(#REF!*12+ROW($A5)-1,COLUMN(BD$1))))</f>
        <v>#REF!</v>
      </c>
      <c r="BE4" s="48" t="e">
        <f ca="1">IF(INDIRECT("beschriftung.!"&amp;ADDRESS(#REF!*12+ROW($A5)-1,COLUMN(BE$1)))="","",INDIRECT("beschriftung.!"&amp;ADDRESS(#REF!*12+ROW($A5)-1,COLUMN(BE$1))))</f>
        <v>#REF!</v>
      </c>
      <c r="BF4" s="49" t="e">
        <f ca="1">IF(INDIRECT("beschriftung.!"&amp;ADDRESS(#REF!*12+ROW($A5)-1,COLUMN(BF$1)))="","",INDIRECT("beschriftung.!"&amp;ADDRESS(#REF!*12+ROW($A5)-1,COLUMN(BF$1))))</f>
        <v>#REF!</v>
      </c>
    </row>
    <row r="5" spans="1:60" ht="11.25" customHeight="1" x14ac:dyDescent="0.2">
      <c r="A5" s="5"/>
      <c r="C5" s="50"/>
      <c r="D5" s="51"/>
      <c r="E5" s="56" t="str">
        <f ca="1">INDIRECT("beschriftung!"&amp;ADDRESS(beschriftung!$C$1*12+ROW(beschriftung!$A6)-1,COLUMN(beschriftung!D$1)))</f>
        <v>Gross value added before adjustments</v>
      </c>
      <c r="F5" s="48" t="e">
        <f ca="1">IF(INDIRECT("beschriftung.!"&amp;ADDRESS(#REF!*12+ROW($A6)-1,COLUMN(F$1)))="","",INDIRECT("beschriftung.!"&amp;ADDRESS(#REF!*12+ROW($A6)-1,COLUMN(F$1))))</f>
        <v>#REF!</v>
      </c>
      <c r="G5" s="48" t="e">
        <f ca="1">IF(INDIRECT("beschriftung.!"&amp;ADDRESS(#REF!*12+ROW($A6)-1,COLUMN(G$1)))="","",INDIRECT("beschriftung.!"&amp;ADDRESS(#REF!*12+ROW($A6)-1,COLUMN(G$1))))</f>
        <v>#REF!</v>
      </c>
      <c r="H5" s="48" t="e">
        <f ca="1">IF(INDIRECT("beschriftung.!"&amp;ADDRESS(#REF!*12+ROW($A6)-1,COLUMN(H$1)))="","",INDIRECT("beschriftung.!"&amp;ADDRESS(#REF!*12+ROW($A6)-1,COLUMN(H$1))))</f>
        <v>#REF!</v>
      </c>
      <c r="I5" s="48" t="e">
        <f ca="1">IF(INDIRECT("beschriftung.!"&amp;ADDRESS(#REF!*12+ROW($A6)-1,COLUMN(I$1)))="","",INDIRECT("beschriftung.!"&amp;ADDRESS(#REF!*12+ROW($A6)-1,COLUMN(I$1))))</f>
        <v>#REF!</v>
      </c>
      <c r="J5" s="48" t="e">
        <f ca="1">IF(INDIRECT("beschriftung.!"&amp;ADDRESS(#REF!*12+ROW($A6)-1,COLUMN(J$1)))="","",INDIRECT("beschriftung.!"&amp;ADDRESS(#REF!*12+ROW($A6)-1,COLUMN(J$1))))</f>
        <v>#REF!</v>
      </c>
      <c r="K5" s="48" t="e">
        <f ca="1">IF(INDIRECT("beschriftung.!"&amp;ADDRESS(#REF!*12+ROW($A6)-1,COLUMN(K$1)))="","",INDIRECT("beschriftung.!"&amp;ADDRESS(#REF!*12+ROW($A6)-1,COLUMN(K$1))))</f>
        <v>#REF!</v>
      </c>
      <c r="L5" s="48" t="e">
        <f ca="1">IF(INDIRECT("beschriftung.!"&amp;ADDRESS(#REF!*12+ROW($A6)-1,COLUMN(L$1)))="","",INDIRECT("beschriftung.!"&amp;ADDRESS(#REF!*12+ROW($A6)-1,COLUMN(L$1))))</f>
        <v>#REF!</v>
      </c>
      <c r="M5" s="48"/>
      <c r="N5" s="48"/>
      <c r="O5" s="48"/>
      <c r="P5" s="48"/>
      <c r="Q5" s="48" t="e">
        <f ca="1">IF(INDIRECT("beschriftung.!"&amp;ADDRESS(#REF!*12+ROW($A6)-1,COLUMN(Q$1)))="","",INDIRECT("beschriftung.!"&amp;ADDRESS(#REF!*12+ROW($A6)-1,COLUMN(Q$1))))</f>
        <v>#REF!</v>
      </c>
      <c r="R5" s="48" t="e">
        <f ca="1">IF(INDIRECT("beschriftung.!"&amp;ADDRESS(#REF!*12+ROW($A6)-1,COLUMN(R$1)))="","",INDIRECT("beschriftung.!"&amp;ADDRESS(#REF!*12+ROW($A6)-1,COLUMN(R$1))))</f>
        <v>#REF!</v>
      </c>
      <c r="S5" s="48"/>
      <c r="T5" s="48"/>
      <c r="U5" s="48" t="e">
        <f ca="1">IF(INDIRECT("beschriftung.!"&amp;ADDRESS(#REF!*12+ROW($A6)-1,COLUMN(U$1)))="","",INDIRECT("beschriftung.!"&amp;ADDRESS(#REF!*12+ROW($A6)-1,COLUMN(U$1))))</f>
        <v>#REF!</v>
      </c>
      <c r="V5" s="48" t="e">
        <f ca="1">IF(INDIRECT("beschriftung.!"&amp;ADDRESS(#REF!*12+ROW($A6)-1,COLUMN(V$1)))="","",INDIRECT("beschriftung.!"&amp;ADDRESS(#REF!*12+ROW($A6)-1,COLUMN(V$1))))</f>
        <v>#REF!</v>
      </c>
      <c r="W5" s="48" t="e">
        <f ca="1">IF(INDIRECT("beschriftung.!"&amp;ADDRESS(#REF!*12+ROW($A6)-1,COLUMN(W$1)))="","",INDIRECT("beschriftung.!"&amp;ADDRESS(#REF!*12+ROW($A6)-1,COLUMN(W$1))))</f>
        <v>#REF!</v>
      </c>
      <c r="X5" s="48" t="e">
        <f ca="1">IF(INDIRECT("beschriftung.!"&amp;ADDRESS(#REF!*12+ROW($A6)-1,COLUMN(X$1)))="","",INDIRECT("beschriftung.!"&amp;ADDRESS(#REF!*12+ROW($A6)-1,COLUMN(X$1))))</f>
        <v>#REF!</v>
      </c>
      <c r="Y5" s="48"/>
      <c r="Z5" s="48"/>
      <c r="AA5" s="48" t="e">
        <f ca="1">IF(INDIRECT("beschriftung.!"&amp;ADDRESS(#REF!*12+ROW($A6)-1,COLUMN(AA$1)))="","",INDIRECT("beschriftung.!"&amp;ADDRESS(#REF!*12+ROW($A6)-1,COLUMN(AA$1))))</f>
        <v>#REF!</v>
      </c>
      <c r="AB5" s="48" t="e">
        <f ca="1">IF(INDIRECT("beschriftung.!"&amp;ADDRESS(#REF!*12+ROW($A6)-1,COLUMN(AB$1)))="","",INDIRECT("beschriftung.!"&amp;ADDRESS(#REF!*12+ROW($A6)-1,COLUMN(AB$1))))</f>
        <v>#REF!</v>
      </c>
      <c r="AC5" s="48"/>
      <c r="AD5" s="48"/>
      <c r="AE5" s="48"/>
      <c r="AF5" s="48"/>
      <c r="AG5" s="48" t="e">
        <f ca="1">IF(INDIRECT("beschriftung.!"&amp;ADDRESS(#REF!*12+ROW($A6)-1,COLUMN(AG$1)))="","",INDIRECT("beschriftung.!"&amp;ADDRESS(#REF!*12+ROW($A6)-1,COLUMN(AG$1))))</f>
        <v>#REF!</v>
      </c>
      <c r="AH5" s="48" t="e">
        <f ca="1">IF(INDIRECT("beschriftung.!"&amp;ADDRESS(#REF!*12+ROW($A6)-1,COLUMN(AH$1)))="","",INDIRECT("beschriftung.!"&amp;ADDRESS(#REF!*12+ROW($A6)-1,COLUMN(AH$1))))</f>
        <v>#REF!</v>
      </c>
      <c r="AI5" s="48" t="e">
        <f ca="1">IF(INDIRECT("beschriftung.!"&amp;ADDRESS(#REF!*12+ROW($A6)-1,COLUMN(AI$1)))="","",INDIRECT("beschriftung.!"&amp;ADDRESS(#REF!*12+ROW($A6)-1,COLUMN(AI$1))))</f>
        <v>#REF!</v>
      </c>
      <c r="AJ5" s="48" t="e">
        <f ca="1">IF(INDIRECT("beschriftung.!"&amp;ADDRESS(#REF!*12+ROW($A6)-1,COLUMN(AJ$1)))="","",INDIRECT("beschriftung.!"&amp;ADDRESS(#REF!*12+ROW($A6)-1,COLUMN(AJ$1))))</f>
        <v>#REF!</v>
      </c>
      <c r="AK5" s="48"/>
      <c r="AL5" s="48"/>
      <c r="AM5" s="48" t="e">
        <f ca="1">IF(INDIRECT("beschriftung.!"&amp;ADDRESS(#REF!*12+ROW($A6)-1,COLUMN(AM$1)))="","",INDIRECT("beschriftung.!"&amp;ADDRESS(#REF!*12+ROW($A6)-1,COLUMN(AM$1))))</f>
        <v>#REF!</v>
      </c>
      <c r="AN5" s="48" t="e">
        <f ca="1">IF(INDIRECT("beschriftung.!"&amp;ADDRESS(#REF!*12+ROW($A6)-1,COLUMN(AN$1)))="","",INDIRECT("beschriftung.!"&amp;ADDRESS(#REF!*12+ROW($A6)-1,COLUMN(AN$1))))</f>
        <v>#REF!</v>
      </c>
      <c r="AO5" s="48" t="e">
        <f ca="1">IF(INDIRECT("beschriftung.!"&amp;ADDRESS(#REF!*12+ROW($A6)-1,COLUMN(AO$1)))="","",INDIRECT("beschriftung.!"&amp;ADDRESS(#REF!*12+ROW($A6)-1,COLUMN(AO$1))))</f>
        <v>#REF!</v>
      </c>
      <c r="AP5" s="48" t="e">
        <f ca="1">IF(INDIRECT("beschriftung.!"&amp;ADDRESS(#REF!*12+ROW($A6)-1,COLUMN(AP$1)))="","",INDIRECT("beschriftung.!"&amp;ADDRESS(#REF!*12+ROW($A6)-1,COLUMN(AP$1))))</f>
        <v>#REF!</v>
      </c>
      <c r="AQ5" s="48" t="e">
        <f ca="1">IF(INDIRECT("beschriftung.!"&amp;ADDRESS(#REF!*12+ROW($A6)-1,COLUMN(AQ$1)))="","",INDIRECT("beschriftung.!"&amp;ADDRESS(#REF!*12+ROW($A6)-1,COLUMN(AQ$1))))</f>
        <v>#REF!</v>
      </c>
      <c r="AR5" s="48" t="e">
        <f ca="1">IF(INDIRECT("beschriftung.!"&amp;ADDRESS(#REF!*12+ROW($A6)-1,COLUMN(AR$1)))="","",INDIRECT("beschriftung.!"&amp;ADDRESS(#REF!*12+ROW($A6)-1,COLUMN(AR$1))))</f>
        <v>#REF!</v>
      </c>
      <c r="AS5" s="48" t="e">
        <f ca="1">IF(INDIRECT("beschriftung.!"&amp;ADDRESS(#REF!*12+ROW($A6)-1,COLUMN(AS$1)))="","",INDIRECT("beschriftung.!"&amp;ADDRESS(#REF!*12+ROW($A6)-1,COLUMN(AS$1))))</f>
        <v>#REF!</v>
      </c>
      <c r="AT5" s="48" t="e">
        <f ca="1">IF(INDIRECT("beschriftung.!"&amp;ADDRESS(#REF!*12+ROW($A6)-1,COLUMN(AT$1)))="","",INDIRECT("beschriftung.!"&amp;ADDRESS(#REF!*12+ROW($A6)-1,COLUMN(AT$1))))</f>
        <v>#REF!</v>
      </c>
      <c r="AU5" s="48" t="e">
        <f ca="1">IF(INDIRECT("beschriftung.!"&amp;ADDRESS(#REF!*12+ROW($A6)-1,COLUMN(AU$1)))="","",INDIRECT("beschriftung.!"&amp;ADDRESS(#REF!*12+ROW($A6)-1,COLUMN(AU$1))))</f>
        <v>#REF!</v>
      </c>
      <c r="AV5" s="48" t="e">
        <f ca="1">IF(INDIRECT("beschriftung.!"&amp;ADDRESS(#REF!*12+ROW($A6)-1,COLUMN(AV$1)))="","",INDIRECT("beschriftung.!"&amp;ADDRESS(#REF!*12+ROW($A6)-1,COLUMN(AV$1))))</f>
        <v>#REF!</v>
      </c>
      <c r="AW5" s="48"/>
      <c r="AX5" s="48"/>
      <c r="AY5" s="48" t="e">
        <f ca="1">IF(INDIRECT("beschriftung.!"&amp;ADDRESS(#REF!*12+ROW($A6)-1,COLUMN(AY$1)))="","",INDIRECT("beschriftung.!"&amp;ADDRESS(#REF!*12+ROW($A6)-1,COLUMN(AY$1))))</f>
        <v>#REF!</v>
      </c>
      <c r="AZ5" s="57" t="e">
        <f ca="1">IF(INDIRECT("beschriftung.!"&amp;ADDRESS(#REF!*12+ROW($A6)-1,COLUMN(AZ$1)))="","",INDIRECT("beschriftung.!"&amp;ADDRESS(#REF!*12+ROW($A6)-1,COLUMN(AZ$1))))</f>
        <v>#REF!</v>
      </c>
      <c r="BA5" s="56" t="str">
        <f ca="1">INDIRECT("beschriftung!"&amp;ADDRESS(beschriftung!$C$1*12+ROW(beschriftung!$A6)-1,COLUMN(beschriftung!AS$1)))</f>
        <v>Adjustments</v>
      </c>
      <c r="BB5" s="48" t="e">
        <f ca="1">IF(INDIRECT("beschriftung.!"&amp;ADDRESS(#REF!*12+ROW($A6)-1,COLUMN(BB$1)))="","",INDIRECT("beschriftung.!"&amp;ADDRESS(#REF!*12+ROW($A6)-1,COLUMN(BB$1))))</f>
        <v>#REF!</v>
      </c>
      <c r="BC5" s="48" t="e">
        <f ca="1">IF(INDIRECT("beschriftung.!"&amp;ADDRESS(#REF!*12+ROW($A6)-1,COLUMN(BC$1)))="","",INDIRECT("beschriftung.!"&amp;ADDRESS(#REF!*12+ROW($A6)-1,COLUMN(BC$1))))</f>
        <v>#REF!</v>
      </c>
      <c r="BD5" s="48" t="e">
        <f ca="1">IF(INDIRECT("beschriftung.!"&amp;ADDRESS(#REF!*12+ROW($A6)-1,COLUMN(BD$1)))="","",INDIRECT("beschriftung.!"&amp;ADDRESS(#REF!*12+ROW($A6)-1,COLUMN(BD$1))))</f>
        <v>#REF!</v>
      </c>
      <c r="BE5" s="48" t="e">
        <f ca="1">IF(INDIRECT("beschriftung.!"&amp;ADDRESS(#REF!*12+ROW($A6)-1,COLUMN(BE$1)))="","",INDIRECT("beschriftung.!"&amp;ADDRESS(#REF!*12+ROW($A6)-1,COLUMN(BE$1))))</f>
        <v>#REF!</v>
      </c>
      <c r="BF5" s="57" t="e">
        <f ca="1">IF(INDIRECT("beschriftung.!"&amp;ADDRESS(#REF!*12+ROW($A6)-1,COLUMN(BF$1)))="","",INDIRECT("beschriftung.!"&amp;ADDRESS(#REF!*12+ROW($A6)-1,COLUMN(BF$1))))</f>
        <v>#REF!</v>
      </c>
    </row>
    <row r="6" spans="1:60" ht="11.25" customHeight="1" x14ac:dyDescent="0.2">
      <c r="A6" s="5"/>
      <c r="C6" s="52"/>
      <c r="D6" s="53"/>
      <c r="E6" s="58" t="s">
        <v>3</v>
      </c>
      <c r="F6" s="30"/>
      <c r="G6" s="21" t="str">
        <f ca="1">INDIRECT("beschriftung!"&amp;ADDRESS(beschriftung!$C$1*12+ROW(beschriftung!$A7)-1,COLUMN(beschriftung!E$1)))</f>
        <v xml:space="preserve">Agriculture, forestry and fishing </v>
      </c>
      <c r="H6" s="21"/>
      <c r="I6" s="21" t="str">
        <f ca="1">INDIRECT("beschriftung!"&amp;ADDRESS(beschriftung!$C$1*12+ROW(beschriftung!$A7)-1,COLUMN(beschriftung!G$1)))</f>
        <v>Mining and quarrying</v>
      </c>
      <c r="J6" s="21"/>
      <c r="K6" s="21" t="str">
        <f ca="1">INDIRECT("beschriftung!"&amp;ADDRESS(beschriftung!$C$1*12+ROW(beschriftung!$A7)-1,COLUMN(beschriftung!I$1)))</f>
        <v>Manufacturing</v>
      </c>
      <c r="L6" s="27"/>
      <c r="M6" s="39"/>
      <c r="N6" s="39"/>
      <c r="O6" s="39"/>
      <c r="P6" s="41"/>
      <c r="Q6" s="28" t="str">
        <f ca="1">INDIRECT("beschriftung!"&amp;ADDRESS(beschriftung!$C$1*12+ROW(beschriftung!$A7)-1,COLUMN(beschriftung!M$1)))</f>
        <v>Electricity, gas, steam and air conditioning supply</v>
      </c>
      <c r="R6" s="21"/>
      <c r="S6" s="21" t="str">
        <f ca="1">INDIRECT("beschriftung!"&amp;ADDRESS(beschriftung!$C$1*12+ROW(beschriftung!$A7)-1,COLUMN(beschriftung!O$1)))</f>
        <v>Water supply, sewerage, waste management and remediation activities</v>
      </c>
      <c r="T6" s="21"/>
      <c r="U6" s="21" t="str">
        <f ca="1">INDIRECT("beschriftung!"&amp;ADDRESS(beschriftung!$C$1*12+ROW(beschriftung!$A7)-1,COLUMN(beschriftung!Q$1)))</f>
        <v>Construction</v>
      </c>
      <c r="V6" s="21"/>
      <c r="W6" s="21" t="str">
        <f ca="1">INDIRECT("beschriftung!"&amp;ADDRESS(beschriftung!$C$1*12+ROW(beschriftung!$A7)-1,COLUMN(beschriftung!S$1)))</f>
        <v>Trade, repair of motor vehicles and motorcycles</v>
      </c>
      <c r="X6" s="27"/>
      <c r="Y6" s="43"/>
      <c r="Z6" s="44"/>
      <c r="AA6" s="21" t="str">
        <f ca="1">INDIRECT("beschriftung!"&amp;ADDRESS(beschriftung!$C$1*12+ROW(beschriftung!$A7)-1,COLUMN(beschriftung!W$1)))</f>
        <v>Transportation and storage</v>
      </c>
      <c r="AB6" s="21"/>
      <c r="AC6" s="21" t="str">
        <f ca="1">INDIRECT("beschriftung!"&amp;ADDRESS(beschriftung!$C$1*12+ROW(beschriftung!$A7)-1,COLUMN(beschriftung!Y$1)))</f>
        <v>Accommodation and food service activities</v>
      </c>
      <c r="AD6" s="21"/>
      <c r="AE6" s="27" t="str">
        <f ca="1">INDIRECT("beschriftung!"&amp;ADDRESS(beschriftung!$C$1*12+ROW(beschriftung!$A7)-1,COLUMN(beschriftung!X$1)))</f>
        <v>Information and communication</v>
      </c>
      <c r="AF6" s="28"/>
      <c r="AG6" s="21" t="str">
        <f ca="1">INDIRECT("beschriftung!"&amp;ADDRESS(beschriftung!$C$1*12+ROW(beschriftung!$A7)-1,COLUMN(beschriftung!AA$1)))</f>
        <v>Financial and insurance activities</v>
      </c>
      <c r="AH6" s="27"/>
      <c r="AI6" s="33"/>
      <c r="AJ6" s="33"/>
      <c r="AK6" s="33"/>
      <c r="AL6" s="34"/>
      <c r="AM6" s="28" t="str">
        <f ca="1">INDIRECT("beschriftung!"&amp;ADDRESS(beschriftung!$C$1*12+ROW(beschriftung!$A7)-1,COLUMN(beschriftung!AE$1)))</f>
        <v>Real estate, professional, scientific, technical activities and administrative services</v>
      </c>
      <c r="AN6" s="21"/>
      <c r="AO6" s="21" t="str">
        <f ca="1">INDIRECT("beschriftung!"&amp;ADDRESS(beschriftung!$C$1*12+ROW(beschriftung!$A7)-1,COLUMN(beschriftung!AG$1)))</f>
        <v>Public administration</v>
      </c>
      <c r="AP6" s="21"/>
      <c r="AQ6" s="21" t="str">
        <f ca="1">INDIRECT("beschriftung!"&amp;ADDRESS(beschriftung!$C$1*12+ROW(beschriftung!$A7)-1,COLUMN(beschriftung!AI$1)))</f>
        <v>Education</v>
      </c>
      <c r="AR6" s="21"/>
      <c r="AS6" s="21" t="str">
        <f ca="1">INDIRECT("beschriftung!"&amp;ADDRESS(beschriftung!$C$1*12+ROW(beschriftung!$A7)-1,COLUMN(beschriftung!AK$1)))</f>
        <v>Human health and social work activities</v>
      </c>
      <c r="AT6" s="21"/>
      <c r="AU6" s="21" t="str">
        <f ca="1">INDIRECT("beschriftung!"&amp;ADDRESS(beschriftung!$C$1*12+ROW(beschriftung!$A7)-1,COLUMN(beschriftung!AM$1)))</f>
        <v xml:space="preserve">Arts, entertainment and recreation </v>
      </c>
      <c r="AV6" s="21"/>
      <c r="AW6" s="21" t="str">
        <f ca="1">INDIRECT("beschriftung!"&amp;ADDRESS(beschriftung!$C$1*12+ROW(beschriftung!$A7)-1,COLUMN(beschriftung!AO$1)))</f>
        <v>Other service activities</v>
      </c>
      <c r="AX6" s="21"/>
      <c r="AY6" s="21" t="str">
        <f ca="1">INDIRECT("beschriftung!"&amp;ADDRESS(beschriftung!$C$1*12+ROW(beschriftung!$A7)-1,COLUMN(beschriftung!AQ$1)))</f>
        <v>Activities of housholds as employers and producers for own use</v>
      </c>
      <c r="AZ6" s="21"/>
      <c r="BA6" s="53"/>
      <c r="BB6" s="53"/>
      <c r="BC6" s="21" t="str">
        <f ca="1">INDIRECT("beschriftung!"&amp;ADDRESS(beschriftung!$C$1*12+ROW(beschriftung!$A7)-1,COLUMN(beschriftung!AU$1)))</f>
        <v>Taxes on products</v>
      </c>
      <c r="BD6" s="21"/>
      <c r="BE6" s="21" t="str">
        <f ca="1">INDIRECT("beschriftung!"&amp;ADDRESS(beschriftung!$C$1*12+ROW(beschriftung!$A7)-1,COLUMN(beschriftung!AW$1)))</f>
        <v>Subsidies on products</v>
      </c>
      <c r="BF6" s="21"/>
    </row>
    <row r="7" spans="1:60" ht="11.25" customHeight="1" x14ac:dyDescent="0.2">
      <c r="A7" s="7"/>
      <c r="B7" s="7"/>
      <c r="C7" s="52"/>
      <c r="D7" s="53"/>
      <c r="E7" s="58"/>
      <c r="F7" s="30"/>
      <c r="G7" s="22"/>
      <c r="H7" s="22"/>
      <c r="I7" s="22"/>
      <c r="J7" s="22"/>
      <c r="K7" s="22"/>
      <c r="L7" s="29"/>
      <c r="M7" s="40"/>
      <c r="N7" s="40"/>
      <c r="O7" s="40"/>
      <c r="P7" s="42"/>
      <c r="Q7" s="30"/>
      <c r="R7" s="22"/>
      <c r="S7" s="22"/>
      <c r="T7" s="22"/>
      <c r="U7" s="22"/>
      <c r="V7" s="22"/>
      <c r="W7" s="22"/>
      <c r="X7" s="29"/>
      <c r="Y7" s="45"/>
      <c r="Z7" s="46"/>
      <c r="AA7" s="22"/>
      <c r="AB7" s="22"/>
      <c r="AC7" s="22"/>
      <c r="AD7" s="22"/>
      <c r="AE7" s="29"/>
      <c r="AF7" s="30"/>
      <c r="AG7" s="22"/>
      <c r="AH7" s="29"/>
      <c r="AI7" s="35"/>
      <c r="AJ7" s="35"/>
      <c r="AK7" s="35"/>
      <c r="AL7" s="36"/>
      <c r="AM7" s="30"/>
      <c r="AN7" s="22"/>
      <c r="AO7" s="22"/>
      <c r="AP7" s="22"/>
      <c r="AQ7" s="22"/>
      <c r="AR7" s="22"/>
      <c r="AS7" s="22"/>
      <c r="AT7" s="22"/>
      <c r="AU7" s="22"/>
      <c r="AV7" s="22"/>
      <c r="AW7" s="22"/>
      <c r="AX7" s="22"/>
      <c r="AY7" s="22"/>
      <c r="AZ7" s="22"/>
      <c r="BA7" s="53"/>
      <c r="BB7" s="53"/>
      <c r="BC7" s="22"/>
      <c r="BD7" s="22"/>
      <c r="BE7" s="22"/>
      <c r="BF7" s="22"/>
    </row>
    <row r="8" spans="1:60" ht="11.25" customHeight="1" x14ac:dyDescent="0.2">
      <c r="A8" s="2"/>
      <c r="B8" s="2"/>
      <c r="C8" s="52"/>
      <c r="D8" s="53"/>
      <c r="E8" s="59"/>
      <c r="F8" s="60"/>
      <c r="G8" s="23"/>
      <c r="H8" s="23"/>
      <c r="I8" s="23"/>
      <c r="J8" s="23"/>
      <c r="K8" s="23"/>
      <c r="L8" s="23"/>
      <c r="M8" s="29" t="str">
        <f ca="1">INDIRECT("beschriftung!"&amp;ADDRESS(beschriftung!$C$1*12+ROW(beschriftung!$A7),COLUMN(beschriftung!J$1)))</f>
        <v>thereof chemicals and pharmaceuticals</v>
      </c>
      <c r="N8" s="30"/>
      <c r="O8" s="29" t="str">
        <f ca="1">INDIRECT("beschriftung!"&amp;ADDRESS(beschriftung!$C$1*12+ROW(beschriftung!$A7),COLUMN(beschriftung!K$1)))</f>
        <v xml:space="preserve">thereof other manufacturing </v>
      </c>
      <c r="P8" s="30"/>
      <c r="Q8" s="23"/>
      <c r="R8" s="23"/>
      <c r="S8" s="23"/>
      <c r="T8" s="23"/>
      <c r="U8" s="23"/>
      <c r="V8" s="23"/>
      <c r="W8" s="23"/>
      <c r="X8" s="23"/>
      <c r="Y8" s="29" t="str">
        <f ca="1">INDIRECT("beschriftung!"&amp;ADDRESS(beschriftung!$C$1*12+ROW(beschriftung!$A7),COLUMN(beschriftung!U$1)))</f>
        <v>thereof retail trade</v>
      </c>
      <c r="Z8" s="30"/>
      <c r="AA8" s="23"/>
      <c r="AB8" s="23"/>
      <c r="AC8" s="23"/>
      <c r="AD8" s="23"/>
      <c r="AE8" s="29"/>
      <c r="AF8" s="30"/>
      <c r="AG8" s="23"/>
      <c r="AH8" s="23"/>
      <c r="AI8" s="29" t="str">
        <f ca="1">INDIRECT("beschriftung!"&amp;ADDRESS(beschriftung!$C$1*12+ROW(beschriftung!$A7),COLUMN(beschriftung!AB$1)))</f>
        <v>thereof financial activities</v>
      </c>
      <c r="AJ8" s="30"/>
      <c r="AK8" s="29" t="str">
        <f ca="1">INDIRECT("beschriftung!"&amp;ADDRESS(beschriftung!$C$1*12+ROW(beschriftung!$A7),COLUMN(beschriftung!AC$1)))</f>
        <v>thereof insurance activities</v>
      </c>
      <c r="AL8" s="30"/>
      <c r="AM8" s="23"/>
      <c r="AN8" s="23"/>
      <c r="AO8" s="23"/>
      <c r="AP8" s="23"/>
      <c r="AQ8" s="23"/>
      <c r="AR8" s="23"/>
      <c r="AS8" s="23"/>
      <c r="AT8" s="23"/>
      <c r="AU8" s="23"/>
      <c r="AV8" s="23"/>
      <c r="AW8" s="23"/>
      <c r="AX8" s="23"/>
      <c r="AY8" s="23"/>
      <c r="AZ8" s="23"/>
      <c r="BA8" s="53"/>
      <c r="BB8" s="53"/>
      <c r="BC8" s="23"/>
      <c r="BD8" s="23"/>
      <c r="BE8" s="23"/>
      <c r="BF8" s="23"/>
    </row>
    <row r="9" spans="1:60" ht="11.25" customHeight="1" x14ac:dyDescent="0.2">
      <c r="A9" s="2"/>
      <c r="B9" s="2"/>
      <c r="C9" s="52"/>
      <c r="D9" s="53"/>
      <c r="E9" s="59"/>
      <c r="F9" s="60"/>
      <c r="G9" s="23"/>
      <c r="H9" s="23"/>
      <c r="I9" s="23"/>
      <c r="J9" s="23"/>
      <c r="K9" s="23"/>
      <c r="L9" s="23"/>
      <c r="M9" s="29"/>
      <c r="N9" s="30"/>
      <c r="O9" s="29"/>
      <c r="P9" s="30"/>
      <c r="Q9" s="23"/>
      <c r="R9" s="23"/>
      <c r="S9" s="23"/>
      <c r="T9" s="23"/>
      <c r="U9" s="23"/>
      <c r="V9" s="23"/>
      <c r="W9" s="23"/>
      <c r="X9" s="23"/>
      <c r="Y9" s="29"/>
      <c r="Z9" s="30"/>
      <c r="AA9" s="23"/>
      <c r="AB9" s="23"/>
      <c r="AC9" s="23"/>
      <c r="AD9" s="23"/>
      <c r="AE9" s="29"/>
      <c r="AF9" s="30"/>
      <c r="AG9" s="23"/>
      <c r="AH9" s="23"/>
      <c r="AI9" s="29"/>
      <c r="AJ9" s="30"/>
      <c r="AK9" s="29"/>
      <c r="AL9" s="30"/>
      <c r="AM9" s="23"/>
      <c r="AN9" s="23"/>
      <c r="AO9" s="23"/>
      <c r="AP9" s="23"/>
      <c r="AQ9" s="23"/>
      <c r="AR9" s="23"/>
      <c r="AS9" s="23"/>
      <c r="AT9" s="23"/>
      <c r="AU9" s="23"/>
      <c r="AV9" s="23"/>
      <c r="AW9" s="23"/>
      <c r="AX9" s="23"/>
      <c r="AY9" s="23"/>
      <c r="AZ9" s="23"/>
      <c r="BA9" s="53"/>
      <c r="BB9" s="53"/>
      <c r="BC9" s="23"/>
      <c r="BD9" s="23"/>
      <c r="BE9" s="23"/>
      <c r="BF9" s="23"/>
    </row>
    <row r="10" spans="1:60" ht="11.25" customHeight="1" x14ac:dyDescent="0.2">
      <c r="A10" s="2"/>
      <c r="B10" s="7"/>
      <c r="C10" s="54"/>
      <c r="D10" s="55"/>
      <c r="E10" s="61"/>
      <c r="F10" s="62"/>
      <c r="G10" s="24"/>
      <c r="H10" s="24"/>
      <c r="I10" s="24"/>
      <c r="J10" s="24"/>
      <c r="K10" s="24"/>
      <c r="L10" s="24"/>
      <c r="M10" s="31"/>
      <c r="N10" s="32"/>
      <c r="O10" s="31"/>
      <c r="P10" s="32"/>
      <c r="Q10" s="24"/>
      <c r="R10" s="24"/>
      <c r="S10" s="24"/>
      <c r="T10" s="24"/>
      <c r="U10" s="24"/>
      <c r="V10" s="24"/>
      <c r="W10" s="24"/>
      <c r="X10" s="24"/>
      <c r="Y10" s="31"/>
      <c r="Z10" s="32"/>
      <c r="AA10" s="24"/>
      <c r="AB10" s="24"/>
      <c r="AC10" s="24"/>
      <c r="AD10" s="24"/>
      <c r="AE10" s="31"/>
      <c r="AF10" s="32"/>
      <c r="AG10" s="24"/>
      <c r="AH10" s="24"/>
      <c r="AI10" s="31"/>
      <c r="AJ10" s="32"/>
      <c r="AK10" s="31"/>
      <c r="AL10" s="32"/>
      <c r="AM10" s="24"/>
      <c r="AN10" s="24"/>
      <c r="AO10" s="24"/>
      <c r="AP10" s="24"/>
      <c r="AQ10" s="24"/>
      <c r="AR10" s="24"/>
      <c r="AS10" s="24"/>
      <c r="AT10" s="24"/>
      <c r="AU10" s="24"/>
      <c r="AV10" s="24"/>
      <c r="AW10" s="24"/>
      <c r="AX10" s="24"/>
      <c r="AY10" s="24"/>
      <c r="AZ10" s="24"/>
      <c r="BA10" s="53"/>
      <c r="BB10" s="53"/>
      <c r="BC10" s="24"/>
      <c r="BD10" s="24"/>
      <c r="BE10" s="24"/>
      <c r="BF10" s="24"/>
    </row>
    <row r="11" spans="1:60" ht="11.25" customHeight="1" x14ac:dyDescent="0.2">
      <c r="A11" s="2"/>
      <c r="B11" s="7"/>
      <c r="C11" s="63" t="s">
        <v>196</v>
      </c>
      <c r="D11" s="64"/>
      <c r="E11" s="65" t="s">
        <v>197</v>
      </c>
      <c r="F11" s="66"/>
      <c r="G11" s="25" t="s">
        <v>45</v>
      </c>
      <c r="H11" s="26"/>
      <c r="I11" s="25" t="s">
        <v>46</v>
      </c>
      <c r="J11" s="26"/>
      <c r="K11" s="25" t="s">
        <v>47</v>
      </c>
      <c r="L11" s="26"/>
      <c r="M11" s="25" t="s">
        <v>121</v>
      </c>
      <c r="N11" s="26"/>
      <c r="O11" s="37" t="s">
        <v>190</v>
      </c>
      <c r="P11" s="38"/>
      <c r="Q11" s="25" t="s">
        <v>120</v>
      </c>
      <c r="R11" s="26"/>
      <c r="S11" s="25" t="s">
        <v>119</v>
      </c>
      <c r="T11" s="26"/>
      <c r="U11" s="25" t="s">
        <v>48</v>
      </c>
      <c r="V11" s="26"/>
      <c r="W11" s="25" t="s">
        <v>49</v>
      </c>
      <c r="X11" s="26"/>
      <c r="Y11" s="25" t="s">
        <v>122</v>
      </c>
      <c r="Z11" s="26"/>
      <c r="AA11" s="25" t="s">
        <v>191</v>
      </c>
      <c r="AB11" s="26"/>
      <c r="AC11" s="25" t="s">
        <v>50</v>
      </c>
      <c r="AD11" s="26"/>
      <c r="AE11" s="37" t="s">
        <v>192</v>
      </c>
      <c r="AF11" s="38"/>
      <c r="AG11" s="25" t="s">
        <v>193</v>
      </c>
      <c r="AH11" s="26"/>
      <c r="AI11" s="25" t="s">
        <v>51</v>
      </c>
      <c r="AJ11" s="26"/>
      <c r="AK11" s="37" t="s">
        <v>52</v>
      </c>
      <c r="AL11" s="38"/>
      <c r="AM11" s="25" t="s">
        <v>53</v>
      </c>
      <c r="AN11" s="26"/>
      <c r="AO11" s="25" t="s">
        <v>54</v>
      </c>
      <c r="AP11" s="26"/>
      <c r="AQ11" s="25" t="s">
        <v>55</v>
      </c>
      <c r="AR11" s="26"/>
      <c r="AS11" s="25" t="s">
        <v>56</v>
      </c>
      <c r="AT11" s="25"/>
      <c r="AU11" s="25" t="s">
        <v>123</v>
      </c>
      <c r="AV11" s="26"/>
      <c r="AW11" s="25" t="s">
        <v>124</v>
      </c>
      <c r="AX11" s="26"/>
      <c r="AY11" s="25" t="s">
        <v>57</v>
      </c>
      <c r="AZ11" s="26"/>
      <c r="BA11" s="8"/>
      <c r="BB11" s="10"/>
      <c r="BC11" s="67" t="s">
        <v>194</v>
      </c>
      <c r="BD11" s="68"/>
      <c r="BE11" s="67" t="s">
        <v>195</v>
      </c>
      <c r="BF11" s="68"/>
    </row>
    <row r="12" spans="1:60" x14ac:dyDescent="0.2">
      <c r="A12" s="16">
        <v>1980</v>
      </c>
      <c r="B12" s="16"/>
      <c r="C12" s="20"/>
      <c r="D12" s="18"/>
      <c r="E12" s="20"/>
      <c r="F12" s="18"/>
      <c r="G12" s="20"/>
      <c r="H12" s="18"/>
      <c r="I12" s="20"/>
      <c r="J12" s="18"/>
      <c r="K12" s="20"/>
      <c r="L12" s="18"/>
      <c r="M12" s="20"/>
      <c r="N12" s="18"/>
      <c r="O12" s="20"/>
      <c r="P12" s="18"/>
      <c r="Q12" s="20"/>
      <c r="R12" s="18"/>
      <c r="S12" s="20"/>
      <c r="T12" s="18"/>
      <c r="U12" s="20"/>
      <c r="V12" s="18"/>
      <c r="W12" s="20"/>
      <c r="X12" s="18"/>
      <c r="Y12" s="20"/>
      <c r="Z12" s="18"/>
      <c r="AA12" s="20"/>
      <c r="AB12" s="18"/>
      <c r="AC12" s="20"/>
      <c r="AD12" s="18"/>
      <c r="AE12" s="20"/>
      <c r="AF12" s="18"/>
      <c r="AG12" s="20"/>
      <c r="AH12" s="18"/>
      <c r="AI12" s="20"/>
      <c r="AJ12" s="18"/>
      <c r="AK12" s="20"/>
      <c r="AL12" s="18"/>
      <c r="AM12" s="20"/>
      <c r="AN12" s="18"/>
      <c r="AO12" s="20"/>
      <c r="AP12" s="18"/>
      <c r="AQ12" s="20"/>
      <c r="AR12" s="18"/>
      <c r="AS12" s="20"/>
      <c r="AT12" s="18"/>
      <c r="AU12" s="20"/>
      <c r="AV12" s="18"/>
      <c r="AW12" s="20"/>
      <c r="AX12" s="18"/>
      <c r="AY12" s="20"/>
      <c r="AZ12" s="18"/>
      <c r="BA12" s="20"/>
      <c r="BB12" s="18"/>
      <c r="BC12" s="20"/>
      <c r="BD12" s="18"/>
      <c r="BE12" s="20"/>
      <c r="BF12" s="18"/>
      <c r="BG12" s="20"/>
      <c r="BH12" s="18"/>
    </row>
    <row r="13" spans="1:60" x14ac:dyDescent="0.2">
      <c r="A13" s="16">
        <v>1981</v>
      </c>
      <c r="B13" s="16"/>
      <c r="C13" s="20"/>
      <c r="D13" s="18"/>
      <c r="E13" s="20"/>
      <c r="F13" s="18"/>
      <c r="G13" s="20"/>
      <c r="H13" s="18"/>
      <c r="I13" s="20"/>
      <c r="J13" s="18"/>
      <c r="K13" s="20"/>
      <c r="L13" s="18"/>
      <c r="M13" s="20"/>
      <c r="N13" s="18"/>
      <c r="O13" s="20"/>
      <c r="P13" s="18"/>
      <c r="Q13" s="20"/>
      <c r="R13" s="18"/>
      <c r="S13" s="20"/>
      <c r="T13" s="18"/>
      <c r="U13" s="20"/>
      <c r="V13" s="18"/>
      <c r="W13" s="20"/>
      <c r="X13" s="18"/>
      <c r="Y13" s="20"/>
      <c r="Z13" s="18"/>
      <c r="AA13" s="20"/>
      <c r="AB13" s="18"/>
      <c r="AC13" s="20"/>
      <c r="AD13" s="18"/>
      <c r="AE13" s="20"/>
      <c r="AF13" s="18"/>
      <c r="AG13" s="20"/>
      <c r="AH13" s="18"/>
      <c r="AI13" s="20"/>
      <c r="AJ13" s="18"/>
      <c r="AK13" s="20"/>
      <c r="AL13" s="18"/>
      <c r="AM13" s="20"/>
      <c r="AN13" s="18"/>
      <c r="AO13" s="20"/>
      <c r="AP13" s="18"/>
      <c r="AQ13" s="20"/>
      <c r="AR13" s="18"/>
      <c r="AS13" s="20"/>
      <c r="AT13" s="18"/>
      <c r="AU13" s="20"/>
      <c r="AV13" s="18"/>
      <c r="AW13" s="20"/>
      <c r="AX13" s="18"/>
      <c r="AY13" s="20"/>
      <c r="AZ13" s="18"/>
      <c r="BA13" s="20"/>
      <c r="BB13" s="18"/>
      <c r="BC13" s="20"/>
      <c r="BD13" s="18"/>
      <c r="BE13" s="20"/>
      <c r="BF13" s="18"/>
      <c r="BG13" s="20"/>
      <c r="BH13" s="18"/>
    </row>
    <row r="14" spans="1:60" x14ac:dyDescent="0.2">
      <c r="A14" s="16">
        <v>1982</v>
      </c>
      <c r="B14" s="16"/>
      <c r="C14" s="20"/>
      <c r="D14" s="18"/>
      <c r="E14" s="20"/>
      <c r="F14" s="18"/>
      <c r="G14" s="20"/>
      <c r="H14" s="18"/>
      <c r="I14" s="20"/>
      <c r="J14" s="18"/>
      <c r="K14" s="20"/>
      <c r="L14" s="18"/>
      <c r="M14" s="20"/>
      <c r="N14" s="18"/>
      <c r="O14" s="20"/>
      <c r="P14" s="18"/>
      <c r="Q14" s="20"/>
      <c r="R14" s="18"/>
      <c r="S14" s="20"/>
      <c r="T14" s="18"/>
      <c r="U14" s="20"/>
      <c r="V14" s="18"/>
      <c r="W14" s="20"/>
      <c r="X14" s="18"/>
      <c r="Y14" s="20"/>
      <c r="Z14" s="18"/>
      <c r="AA14" s="20"/>
      <c r="AB14" s="18"/>
      <c r="AC14" s="20"/>
      <c r="AD14" s="18"/>
      <c r="AE14" s="20"/>
      <c r="AF14" s="18"/>
      <c r="AG14" s="20"/>
      <c r="AH14" s="18"/>
      <c r="AI14" s="20"/>
      <c r="AJ14" s="18"/>
      <c r="AK14" s="20"/>
      <c r="AL14" s="18"/>
      <c r="AM14" s="20"/>
      <c r="AN14" s="18"/>
      <c r="AO14" s="20"/>
      <c r="AP14" s="18"/>
      <c r="AQ14" s="20"/>
      <c r="AR14" s="18"/>
      <c r="AS14" s="20"/>
      <c r="AT14" s="18"/>
      <c r="AU14" s="20"/>
      <c r="AV14" s="18"/>
      <c r="AW14" s="20"/>
      <c r="AX14" s="18"/>
      <c r="AY14" s="20"/>
      <c r="AZ14" s="18"/>
      <c r="BA14" s="20"/>
      <c r="BB14" s="18"/>
      <c r="BC14" s="20"/>
      <c r="BD14" s="18"/>
      <c r="BE14" s="20"/>
      <c r="BF14" s="18"/>
      <c r="BG14" s="20"/>
      <c r="BH14" s="18"/>
    </row>
    <row r="15" spans="1:60" x14ac:dyDescent="0.2">
      <c r="A15" s="16">
        <v>1983</v>
      </c>
      <c r="B15" s="16"/>
      <c r="C15" s="20"/>
      <c r="D15" s="18"/>
      <c r="E15" s="20"/>
      <c r="F15" s="18"/>
      <c r="G15" s="20"/>
      <c r="H15" s="18"/>
      <c r="I15" s="20"/>
      <c r="J15" s="18"/>
      <c r="K15" s="20"/>
      <c r="L15" s="18"/>
      <c r="M15" s="20"/>
      <c r="N15" s="18"/>
      <c r="O15" s="20"/>
      <c r="P15" s="18"/>
      <c r="Q15" s="20"/>
      <c r="R15" s="18"/>
      <c r="S15" s="20"/>
      <c r="T15" s="18"/>
      <c r="U15" s="20"/>
      <c r="V15" s="18"/>
      <c r="W15" s="20"/>
      <c r="X15" s="18"/>
      <c r="Y15" s="20"/>
      <c r="Z15" s="18"/>
      <c r="AA15" s="20"/>
      <c r="AB15" s="18"/>
      <c r="AC15" s="20"/>
      <c r="AD15" s="18"/>
      <c r="AE15" s="20"/>
      <c r="AF15" s="18"/>
      <c r="AG15" s="20"/>
      <c r="AH15" s="18"/>
      <c r="AI15" s="20"/>
      <c r="AJ15" s="18"/>
      <c r="AK15" s="20"/>
      <c r="AL15" s="18"/>
      <c r="AM15" s="20"/>
      <c r="AN15" s="18"/>
      <c r="AO15" s="20"/>
      <c r="AP15" s="18"/>
      <c r="AQ15" s="20"/>
      <c r="AR15" s="18"/>
      <c r="AS15" s="20"/>
      <c r="AT15" s="18"/>
      <c r="AU15" s="20"/>
      <c r="AV15" s="18"/>
      <c r="AW15" s="20"/>
      <c r="AX15" s="18"/>
      <c r="AY15" s="20"/>
      <c r="AZ15" s="18"/>
      <c r="BA15" s="20"/>
      <c r="BB15" s="18"/>
      <c r="BC15" s="20"/>
      <c r="BD15" s="18"/>
      <c r="BE15" s="20"/>
      <c r="BF15" s="18"/>
      <c r="BG15" s="20"/>
      <c r="BH15" s="18"/>
    </row>
    <row r="16" spans="1:60" x14ac:dyDescent="0.2">
      <c r="A16" s="16">
        <v>1984</v>
      </c>
      <c r="B16" s="16"/>
      <c r="C16" s="20"/>
      <c r="D16" s="18"/>
      <c r="E16" s="20"/>
      <c r="F16" s="18"/>
      <c r="G16" s="20"/>
      <c r="H16" s="18"/>
      <c r="I16" s="20"/>
      <c r="J16" s="18"/>
      <c r="K16" s="20"/>
      <c r="L16" s="18"/>
      <c r="M16" s="20"/>
      <c r="N16" s="18"/>
      <c r="O16" s="20"/>
      <c r="P16" s="18"/>
      <c r="Q16" s="20"/>
      <c r="R16" s="18"/>
      <c r="S16" s="20"/>
      <c r="T16" s="18"/>
      <c r="U16" s="20"/>
      <c r="V16" s="18"/>
      <c r="W16" s="20"/>
      <c r="X16" s="18"/>
      <c r="Y16" s="20"/>
      <c r="Z16" s="18"/>
      <c r="AA16" s="20"/>
      <c r="AB16" s="18"/>
      <c r="AC16" s="20"/>
      <c r="AD16" s="18"/>
      <c r="AE16" s="20"/>
      <c r="AF16" s="18"/>
      <c r="AG16" s="20"/>
      <c r="AH16" s="18"/>
      <c r="AI16" s="20"/>
      <c r="AJ16" s="18"/>
      <c r="AK16" s="20"/>
      <c r="AL16" s="18"/>
      <c r="AM16" s="20"/>
      <c r="AN16" s="18"/>
      <c r="AO16" s="20"/>
      <c r="AP16" s="18"/>
      <c r="AQ16" s="20"/>
      <c r="AR16" s="18"/>
      <c r="AS16" s="20"/>
      <c r="AT16" s="18"/>
      <c r="AU16" s="20"/>
      <c r="AV16" s="18"/>
      <c r="AW16" s="20"/>
      <c r="AX16" s="18"/>
      <c r="AY16" s="20"/>
      <c r="AZ16" s="18"/>
      <c r="BA16" s="20"/>
      <c r="BB16" s="18"/>
      <c r="BC16" s="20"/>
      <c r="BD16" s="18"/>
      <c r="BE16" s="20"/>
      <c r="BF16" s="18"/>
      <c r="BG16" s="20"/>
      <c r="BH16" s="18"/>
    </row>
    <row r="17" spans="1:60" x14ac:dyDescent="0.2">
      <c r="A17" s="16">
        <v>1985</v>
      </c>
      <c r="B17" s="16"/>
      <c r="C17" s="20"/>
      <c r="D17" s="18"/>
      <c r="E17" s="20"/>
      <c r="F17" s="18"/>
      <c r="G17" s="20"/>
      <c r="H17" s="18"/>
      <c r="I17" s="20"/>
      <c r="J17" s="18"/>
      <c r="K17" s="20"/>
      <c r="L17" s="18"/>
      <c r="M17" s="20"/>
      <c r="N17" s="18"/>
      <c r="O17" s="20"/>
      <c r="P17" s="18"/>
      <c r="Q17" s="20"/>
      <c r="R17" s="18"/>
      <c r="S17" s="20"/>
      <c r="T17" s="18"/>
      <c r="U17" s="20"/>
      <c r="V17" s="18"/>
      <c r="W17" s="20"/>
      <c r="X17" s="18"/>
      <c r="Y17" s="20"/>
      <c r="Z17" s="18"/>
      <c r="AA17" s="20"/>
      <c r="AB17" s="18"/>
      <c r="AC17" s="20"/>
      <c r="AD17" s="18"/>
      <c r="AE17" s="20"/>
      <c r="AF17" s="18"/>
      <c r="AG17" s="20"/>
      <c r="AH17" s="18"/>
      <c r="AI17" s="20"/>
      <c r="AJ17" s="18"/>
      <c r="AK17" s="20"/>
      <c r="AL17" s="18"/>
      <c r="AM17" s="20"/>
      <c r="AN17" s="18"/>
      <c r="AO17" s="20"/>
      <c r="AP17" s="18"/>
      <c r="AQ17" s="20"/>
      <c r="AR17" s="18"/>
      <c r="AS17" s="20"/>
      <c r="AT17" s="18"/>
      <c r="AU17" s="20"/>
      <c r="AV17" s="18"/>
      <c r="AW17" s="20"/>
      <c r="AX17" s="18"/>
      <c r="AY17" s="20"/>
      <c r="AZ17" s="18"/>
      <c r="BA17" s="20"/>
      <c r="BB17" s="18"/>
      <c r="BC17" s="20"/>
      <c r="BD17" s="18"/>
      <c r="BE17" s="20"/>
      <c r="BF17" s="18"/>
      <c r="BG17" s="20"/>
      <c r="BH17" s="18"/>
    </row>
    <row r="18" spans="1:60" x14ac:dyDescent="0.2">
      <c r="A18" s="16">
        <v>1986</v>
      </c>
      <c r="B18" s="16"/>
      <c r="C18" s="20"/>
      <c r="D18" s="18"/>
      <c r="E18" s="20"/>
      <c r="F18" s="18"/>
      <c r="G18" s="20"/>
      <c r="H18" s="18"/>
      <c r="I18" s="20"/>
      <c r="J18" s="18"/>
      <c r="K18" s="20"/>
      <c r="L18" s="18"/>
      <c r="M18" s="20"/>
      <c r="N18" s="18"/>
      <c r="O18" s="20"/>
      <c r="P18" s="18"/>
      <c r="Q18" s="20"/>
      <c r="R18" s="18"/>
      <c r="S18" s="20"/>
      <c r="T18" s="18"/>
      <c r="U18" s="20"/>
      <c r="V18" s="18"/>
      <c r="W18" s="20"/>
      <c r="X18" s="18"/>
      <c r="Y18" s="20"/>
      <c r="Z18" s="18"/>
      <c r="AA18" s="20"/>
      <c r="AB18" s="18"/>
      <c r="AC18" s="20"/>
      <c r="AD18" s="18"/>
      <c r="AE18" s="20"/>
      <c r="AF18" s="18"/>
      <c r="AG18" s="20"/>
      <c r="AH18" s="18"/>
      <c r="AI18" s="20"/>
      <c r="AJ18" s="18"/>
      <c r="AK18" s="20"/>
      <c r="AL18" s="18"/>
      <c r="AM18" s="20"/>
      <c r="AN18" s="18"/>
      <c r="AO18" s="20"/>
      <c r="AP18" s="18"/>
      <c r="AQ18" s="20"/>
      <c r="AR18" s="18"/>
      <c r="AS18" s="20"/>
      <c r="AT18" s="18"/>
      <c r="AU18" s="20"/>
      <c r="AV18" s="18"/>
      <c r="AW18" s="20"/>
      <c r="AX18" s="18"/>
      <c r="AY18" s="20"/>
      <c r="AZ18" s="18"/>
      <c r="BA18" s="20"/>
      <c r="BB18" s="18"/>
      <c r="BC18" s="20"/>
      <c r="BD18" s="18"/>
      <c r="BE18" s="20"/>
      <c r="BF18" s="18"/>
      <c r="BG18" s="20"/>
      <c r="BH18" s="18"/>
    </row>
    <row r="19" spans="1:60" x14ac:dyDescent="0.2">
      <c r="A19" s="16">
        <v>1987</v>
      </c>
      <c r="B19" s="16"/>
      <c r="C19" s="20"/>
      <c r="D19" s="18"/>
      <c r="E19" s="20"/>
      <c r="F19" s="18"/>
      <c r="G19" s="20"/>
      <c r="H19" s="18"/>
      <c r="I19" s="20"/>
      <c r="J19" s="18"/>
      <c r="K19" s="20"/>
      <c r="L19" s="18"/>
      <c r="M19" s="20"/>
      <c r="N19" s="18"/>
      <c r="O19" s="20"/>
      <c r="P19" s="18"/>
      <c r="Q19" s="20"/>
      <c r="R19" s="18"/>
      <c r="S19" s="20"/>
      <c r="T19" s="18"/>
      <c r="U19" s="20"/>
      <c r="V19" s="18"/>
      <c r="W19" s="20"/>
      <c r="X19" s="18"/>
      <c r="Y19" s="20"/>
      <c r="Z19" s="18"/>
      <c r="AA19" s="20"/>
      <c r="AB19" s="18"/>
      <c r="AC19" s="20"/>
      <c r="AD19" s="18"/>
      <c r="AE19" s="20"/>
      <c r="AF19" s="18"/>
      <c r="AG19" s="20"/>
      <c r="AH19" s="18"/>
      <c r="AI19" s="20"/>
      <c r="AJ19" s="18"/>
      <c r="AK19" s="20"/>
      <c r="AL19" s="18"/>
      <c r="AM19" s="20"/>
      <c r="AN19" s="18"/>
      <c r="AO19" s="20"/>
      <c r="AP19" s="18"/>
      <c r="AQ19" s="20"/>
      <c r="AR19" s="18"/>
      <c r="AS19" s="20"/>
      <c r="AT19" s="18"/>
      <c r="AU19" s="20"/>
      <c r="AV19" s="18"/>
      <c r="AW19" s="20"/>
      <c r="AX19" s="18"/>
      <c r="AY19" s="20"/>
      <c r="AZ19" s="18"/>
      <c r="BA19" s="20"/>
      <c r="BB19" s="18"/>
      <c r="BC19" s="20"/>
      <c r="BD19" s="18"/>
      <c r="BE19" s="20"/>
      <c r="BF19" s="18"/>
      <c r="BG19" s="20"/>
      <c r="BH19" s="18"/>
    </row>
    <row r="20" spans="1:60" x14ac:dyDescent="0.2">
      <c r="A20" s="16">
        <v>1988</v>
      </c>
      <c r="B20" s="16"/>
      <c r="C20" s="20"/>
      <c r="D20" s="18"/>
      <c r="E20" s="20"/>
      <c r="F20" s="18"/>
      <c r="G20" s="20"/>
      <c r="H20" s="18"/>
      <c r="I20" s="20"/>
      <c r="J20" s="18"/>
      <c r="K20" s="20"/>
      <c r="L20" s="18"/>
      <c r="M20" s="20"/>
      <c r="N20" s="18"/>
      <c r="O20" s="20"/>
      <c r="P20" s="18"/>
      <c r="Q20" s="20"/>
      <c r="R20" s="18"/>
      <c r="S20" s="20"/>
      <c r="T20" s="18"/>
      <c r="U20" s="20"/>
      <c r="V20" s="18"/>
      <c r="W20" s="20"/>
      <c r="X20" s="18"/>
      <c r="Y20" s="20"/>
      <c r="Z20" s="18"/>
      <c r="AA20" s="20"/>
      <c r="AB20" s="18"/>
      <c r="AC20" s="20"/>
      <c r="AD20" s="18"/>
      <c r="AE20" s="20"/>
      <c r="AF20" s="18"/>
      <c r="AG20" s="20"/>
      <c r="AH20" s="18"/>
      <c r="AI20" s="20"/>
      <c r="AJ20" s="18"/>
      <c r="AK20" s="20"/>
      <c r="AL20" s="18"/>
      <c r="AM20" s="20"/>
      <c r="AN20" s="18"/>
      <c r="AO20" s="20"/>
      <c r="AP20" s="18"/>
      <c r="AQ20" s="20"/>
      <c r="AR20" s="18"/>
      <c r="AS20" s="20"/>
      <c r="AT20" s="18"/>
      <c r="AU20" s="20"/>
      <c r="AV20" s="18"/>
      <c r="AW20" s="20"/>
      <c r="AX20" s="18"/>
      <c r="AY20" s="20"/>
      <c r="AZ20" s="18"/>
      <c r="BA20" s="20"/>
      <c r="BB20" s="18"/>
      <c r="BC20" s="20"/>
      <c r="BD20" s="18"/>
      <c r="BE20" s="20"/>
      <c r="BF20" s="18"/>
      <c r="BG20" s="20"/>
      <c r="BH20" s="18"/>
    </row>
    <row r="21" spans="1:60" x14ac:dyDescent="0.2">
      <c r="A21" s="16">
        <v>1989</v>
      </c>
      <c r="B21" s="16"/>
      <c r="C21" s="20"/>
      <c r="D21" s="18"/>
      <c r="E21" s="20"/>
      <c r="F21" s="18"/>
      <c r="G21" s="20"/>
      <c r="H21" s="18"/>
      <c r="I21" s="20"/>
      <c r="J21" s="18"/>
      <c r="K21" s="20"/>
      <c r="L21" s="18"/>
      <c r="M21" s="20"/>
      <c r="N21" s="18"/>
      <c r="O21" s="20"/>
      <c r="P21" s="18"/>
      <c r="Q21" s="20"/>
      <c r="R21" s="18"/>
      <c r="S21" s="20"/>
      <c r="T21" s="18"/>
      <c r="U21" s="20"/>
      <c r="V21" s="18"/>
      <c r="W21" s="20"/>
      <c r="X21" s="18"/>
      <c r="Y21" s="20"/>
      <c r="Z21" s="18"/>
      <c r="AA21" s="20"/>
      <c r="AB21" s="18"/>
      <c r="AC21" s="20"/>
      <c r="AD21" s="18"/>
      <c r="AE21" s="20"/>
      <c r="AF21" s="18"/>
      <c r="AG21" s="20"/>
      <c r="AH21" s="18"/>
      <c r="AI21" s="20"/>
      <c r="AJ21" s="18"/>
      <c r="AK21" s="20"/>
      <c r="AL21" s="18"/>
      <c r="AM21" s="20"/>
      <c r="AN21" s="18"/>
      <c r="AO21" s="20"/>
      <c r="AP21" s="18"/>
      <c r="AQ21" s="20"/>
      <c r="AR21" s="18"/>
      <c r="AS21" s="20"/>
      <c r="AT21" s="18"/>
      <c r="AU21" s="20"/>
      <c r="AV21" s="18"/>
      <c r="AW21" s="20"/>
      <c r="AX21" s="18"/>
      <c r="AY21" s="20"/>
      <c r="AZ21" s="18"/>
      <c r="BA21" s="20"/>
      <c r="BB21" s="18"/>
      <c r="BC21" s="20"/>
      <c r="BD21" s="18"/>
      <c r="BE21" s="20"/>
      <c r="BF21" s="18"/>
      <c r="BG21" s="20"/>
      <c r="BH21" s="18"/>
    </row>
    <row r="22" spans="1:60" x14ac:dyDescent="0.2">
      <c r="A22" s="16">
        <v>1990</v>
      </c>
      <c r="B22" s="16"/>
      <c r="C22" s="20"/>
      <c r="D22" s="18"/>
      <c r="E22" s="20">
        <v>3.5535600544587702E-2</v>
      </c>
      <c r="F22" s="18"/>
      <c r="G22" s="20">
        <v>-1.0408414694511199E-3</v>
      </c>
      <c r="H22" s="18"/>
      <c r="I22" s="20">
        <v>-7.3778532264997794E-5</v>
      </c>
      <c r="J22" s="18"/>
      <c r="K22" s="20">
        <v>1.06119909881888E-2</v>
      </c>
      <c r="L22" s="18"/>
      <c r="M22" s="20">
        <v>1.9712247389653799E-3</v>
      </c>
      <c r="N22" s="18"/>
      <c r="O22" s="20">
        <v>8.6407662492234208E-3</v>
      </c>
      <c r="P22" s="18"/>
      <c r="Q22" s="20">
        <v>1.2987053453537901E-3</v>
      </c>
      <c r="R22" s="18"/>
      <c r="S22" s="20">
        <v>6.5600237327123297E-4</v>
      </c>
      <c r="T22" s="18"/>
      <c r="U22" s="20">
        <v>2.2082405998102598E-3</v>
      </c>
      <c r="V22" s="18"/>
      <c r="W22" s="20">
        <v>9.3828714163480906E-3</v>
      </c>
      <c r="X22" s="18"/>
      <c r="Y22" s="20">
        <v>1.13738972083556E-3</v>
      </c>
      <c r="Z22" s="18"/>
      <c r="AA22" s="20">
        <v>-2.6655975323731898E-3</v>
      </c>
      <c r="AB22" s="18"/>
      <c r="AC22" s="20">
        <v>1.68123537924899E-3</v>
      </c>
      <c r="AD22" s="18"/>
      <c r="AE22" s="20">
        <v>6.0596957135537505E-4</v>
      </c>
      <c r="AF22" s="18"/>
      <c r="AG22" s="20">
        <v>4.69493883394578E-4</v>
      </c>
      <c r="AH22" s="18"/>
      <c r="AI22" s="20">
        <v>-1.7763556334622599E-3</v>
      </c>
      <c r="AJ22" s="18"/>
      <c r="AK22" s="20">
        <v>2.40233169273505E-3</v>
      </c>
      <c r="AL22" s="18"/>
      <c r="AM22" s="20">
        <v>3.7967097015515999E-3</v>
      </c>
      <c r="AN22" s="18"/>
      <c r="AO22" s="20">
        <v>3.8000797994385501E-3</v>
      </c>
      <c r="AP22" s="18"/>
      <c r="AQ22" s="20">
        <v>3.5986091733462501E-3</v>
      </c>
      <c r="AR22" s="18"/>
      <c r="AS22" s="20">
        <v>6.9092815739975105E-4</v>
      </c>
      <c r="AT22" s="18"/>
      <c r="AU22" s="20">
        <v>-2.29266394653152E-5</v>
      </c>
      <c r="AV22" s="18"/>
      <c r="AW22" s="20">
        <v>3.03403890673939E-4</v>
      </c>
      <c r="AX22" s="18"/>
      <c r="AY22" s="20">
        <v>2.34504438761097E-4</v>
      </c>
      <c r="AZ22" s="18"/>
      <c r="BA22" s="20">
        <v>1.2106557877811801E-3</v>
      </c>
      <c r="BB22" s="18"/>
      <c r="BC22" s="20">
        <v>1.6522534217994799E-3</v>
      </c>
      <c r="BD22" s="18"/>
      <c r="BE22" s="20">
        <v>-4.4159763401829599E-4</v>
      </c>
      <c r="BF22" s="18"/>
      <c r="BG22" s="20"/>
      <c r="BH22" s="18"/>
    </row>
    <row r="23" spans="1:60" x14ac:dyDescent="0.2">
      <c r="A23" s="16">
        <v>1991</v>
      </c>
      <c r="B23" s="16"/>
      <c r="C23" s="20"/>
      <c r="D23" s="18"/>
      <c r="E23" s="20">
        <v>-6.6985864439428004E-3</v>
      </c>
      <c r="F23" s="18"/>
      <c r="G23" s="20">
        <v>-1.17465544289415E-4</v>
      </c>
      <c r="H23" s="18"/>
      <c r="I23" s="20">
        <v>-1.9183961835237801E-5</v>
      </c>
      <c r="J23" s="18"/>
      <c r="K23" s="20">
        <v>1.23291767119158E-3</v>
      </c>
      <c r="L23" s="18"/>
      <c r="M23" s="20">
        <v>1.7284292066759299E-3</v>
      </c>
      <c r="N23" s="18"/>
      <c r="O23" s="20">
        <v>-4.9551153548445302E-4</v>
      </c>
      <c r="P23" s="18"/>
      <c r="Q23" s="20">
        <v>5.1448136825140095E-4</v>
      </c>
      <c r="R23" s="18"/>
      <c r="S23" s="20">
        <v>1.0001013845844799E-3</v>
      </c>
      <c r="T23" s="18"/>
      <c r="U23" s="20">
        <v>-2.34555705958003E-3</v>
      </c>
      <c r="V23" s="18"/>
      <c r="W23" s="20">
        <v>-1.41874188969115E-2</v>
      </c>
      <c r="X23" s="18"/>
      <c r="Y23" s="20">
        <v>-2.7264922626210998E-3</v>
      </c>
      <c r="Z23" s="18"/>
      <c r="AA23" s="20">
        <v>4.2430630571923802E-3</v>
      </c>
      <c r="AB23" s="18"/>
      <c r="AC23" s="20">
        <v>2.2113604799741001E-4</v>
      </c>
      <c r="AD23" s="18"/>
      <c r="AE23" s="20">
        <v>8.4592879774044295E-4</v>
      </c>
      <c r="AF23" s="18"/>
      <c r="AG23" s="20">
        <v>3.0700559456375998E-3</v>
      </c>
      <c r="AH23" s="18"/>
      <c r="AI23" s="20">
        <v>1.02406434246671E-3</v>
      </c>
      <c r="AJ23" s="18"/>
      <c r="AK23" s="20">
        <v>1.9217439624359799E-3</v>
      </c>
      <c r="AL23" s="18"/>
      <c r="AM23" s="20">
        <v>-1.0510364315176E-4</v>
      </c>
      <c r="AN23" s="18"/>
      <c r="AO23" s="20">
        <v>9.4599742382117397E-4</v>
      </c>
      <c r="AP23" s="18"/>
      <c r="AQ23" s="20">
        <v>-7.3394593323209301E-4</v>
      </c>
      <c r="AR23" s="18"/>
      <c r="AS23" s="20">
        <v>3.94533793733196E-4</v>
      </c>
      <c r="AT23" s="18"/>
      <c r="AU23" s="20">
        <v>2.4413273962331001E-4</v>
      </c>
      <c r="AV23" s="18"/>
      <c r="AW23" s="20">
        <v>-1.8997800915687201E-3</v>
      </c>
      <c r="AX23" s="18"/>
      <c r="AY23" s="20">
        <v>-2.4795431468520501E-6</v>
      </c>
      <c r="AZ23" s="18"/>
      <c r="BA23" s="20">
        <v>-2.45957926917873E-3</v>
      </c>
      <c r="BB23" s="18"/>
      <c r="BC23" s="20">
        <v>-9.0612569542204799E-4</v>
      </c>
      <c r="BD23" s="18"/>
      <c r="BE23" s="20">
        <v>-1.55345357375667E-3</v>
      </c>
      <c r="BF23" s="18"/>
      <c r="BG23" s="20"/>
      <c r="BH23" s="18"/>
    </row>
    <row r="24" spans="1:60" x14ac:dyDescent="0.2">
      <c r="A24" s="16">
        <v>1992</v>
      </c>
      <c r="B24" s="16"/>
      <c r="C24" s="20"/>
      <c r="D24" s="18"/>
      <c r="E24" s="20">
        <v>4.1795556978196197E-4</v>
      </c>
      <c r="F24" s="18"/>
      <c r="G24" s="20">
        <v>5.6245143415360201E-4</v>
      </c>
      <c r="H24" s="18"/>
      <c r="I24" s="20">
        <v>-2.28450761752841E-4</v>
      </c>
      <c r="J24" s="18"/>
      <c r="K24" s="20">
        <v>1.44148950555017E-4</v>
      </c>
      <c r="L24" s="18"/>
      <c r="M24" s="20">
        <v>2.0070213910176899E-3</v>
      </c>
      <c r="N24" s="18"/>
      <c r="O24" s="20">
        <v>-1.86287244046267E-3</v>
      </c>
      <c r="P24" s="18"/>
      <c r="Q24" s="20">
        <v>6.1597213785590204E-4</v>
      </c>
      <c r="R24" s="18"/>
      <c r="S24" s="20">
        <v>7.7552226429871405E-4</v>
      </c>
      <c r="T24" s="18"/>
      <c r="U24" s="20">
        <v>-2.2379585859005299E-3</v>
      </c>
      <c r="V24" s="18"/>
      <c r="W24" s="20">
        <v>4.1828207665011401E-4</v>
      </c>
      <c r="X24" s="18"/>
      <c r="Y24" s="20">
        <v>-5.9892873447668903E-5</v>
      </c>
      <c r="Z24" s="18"/>
      <c r="AA24" s="20">
        <v>8.2307168641191795E-4</v>
      </c>
      <c r="AB24" s="18"/>
      <c r="AC24" s="20">
        <v>-7.4909918195375895E-4</v>
      </c>
      <c r="AD24" s="18"/>
      <c r="AE24" s="20">
        <v>-1.2824412048366E-3</v>
      </c>
      <c r="AF24" s="18"/>
      <c r="AG24" s="20">
        <v>3.7053176939379701E-3</v>
      </c>
      <c r="AH24" s="18"/>
      <c r="AI24" s="20">
        <v>3.98354022926232E-4</v>
      </c>
      <c r="AJ24" s="18"/>
      <c r="AK24" s="20">
        <v>3.38862284904761E-3</v>
      </c>
      <c r="AL24" s="18"/>
      <c r="AM24" s="20">
        <v>-6.6826345287390601E-4</v>
      </c>
      <c r="AN24" s="18"/>
      <c r="AO24" s="20">
        <v>-2.7567005419499199E-5</v>
      </c>
      <c r="AP24" s="18"/>
      <c r="AQ24" s="20">
        <v>-1.6616320595869E-5</v>
      </c>
      <c r="AR24" s="18"/>
      <c r="AS24" s="20">
        <v>9.3134108984621898E-5</v>
      </c>
      <c r="AT24" s="18"/>
      <c r="AU24" s="20">
        <v>-4.58554879093746E-4</v>
      </c>
      <c r="AV24" s="18"/>
      <c r="AW24" s="20">
        <v>-1.0352281134786701E-3</v>
      </c>
      <c r="AX24" s="18"/>
      <c r="AY24" s="20">
        <v>-1.5765277160560099E-5</v>
      </c>
      <c r="AZ24" s="18"/>
      <c r="BA24" s="20">
        <v>-8.55285499491242E-4</v>
      </c>
      <c r="BB24" s="18"/>
      <c r="BC24" s="20">
        <v>-1.16947253214591E-3</v>
      </c>
      <c r="BD24" s="18"/>
      <c r="BE24" s="20">
        <v>3.1418703265466099E-4</v>
      </c>
      <c r="BF24" s="18"/>
      <c r="BG24" s="20"/>
      <c r="BH24" s="18"/>
    </row>
    <row r="25" spans="1:60" x14ac:dyDescent="0.2">
      <c r="A25" s="16">
        <v>1993</v>
      </c>
      <c r="B25" s="16"/>
      <c r="C25" s="20"/>
      <c r="D25" s="18"/>
      <c r="E25" s="20">
        <v>-2.1588514303977099E-3</v>
      </c>
      <c r="F25" s="18"/>
      <c r="G25" s="20">
        <v>-7.3389957454786999E-4</v>
      </c>
      <c r="H25" s="18"/>
      <c r="I25" s="20">
        <v>-2.3933265375462801E-5</v>
      </c>
      <c r="J25" s="18"/>
      <c r="K25" s="20">
        <v>-7.9042557800394205E-5</v>
      </c>
      <c r="L25" s="18"/>
      <c r="M25" s="20">
        <v>1.9898459058320999E-3</v>
      </c>
      <c r="N25" s="18"/>
      <c r="O25" s="20">
        <v>-2.0688884636324901E-3</v>
      </c>
      <c r="P25" s="18"/>
      <c r="Q25" s="20">
        <v>1.10253713271474E-3</v>
      </c>
      <c r="R25" s="18"/>
      <c r="S25" s="20">
        <v>1.4877169280349401E-4</v>
      </c>
      <c r="T25" s="18"/>
      <c r="U25" s="20">
        <v>-1.8344863544372599E-3</v>
      </c>
      <c r="V25" s="18"/>
      <c r="W25" s="20">
        <v>-5.59584017525128E-3</v>
      </c>
      <c r="X25" s="18"/>
      <c r="Y25" s="20">
        <v>-1.2594310234289199E-3</v>
      </c>
      <c r="Z25" s="18"/>
      <c r="AA25" s="20">
        <v>-1.1141745970380599E-3</v>
      </c>
      <c r="AB25" s="18"/>
      <c r="AC25" s="20">
        <v>-8.5004353959883597E-4</v>
      </c>
      <c r="AD25" s="18"/>
      <c r="AE25" s="20">
        <v>-2.1764337971737898E-3</v>
      </c>
      <c r="AF25" s="18"/>
      <c r="AG25" s="20">
        <v>6.7761823690543699E-3</v>
      </c>
      <c r="AH25" s="18"/>
      <c r="AI25" s="20">
        <v>5.3641747713145003E-3</v>
      </c>
      <c r="AJ25" s="18"/>
      <c r="AK25" s="20">
        <v>1.25866294018791E-3</v>
      </c>
      <c r="AL25" s="18"/>
      <c r="AM25" s="20">
        <v>1.5475148735323999E-3</v>
      </c>
      <c r="AN25" s="18"/>
      <c r="AO25" s="20">
        <v>3.9475936568190197E-4</v>
      </c>
      <c r="AP25" s="18"/>
      <c r="AQ25" s="20">
        <v>6.5360987647399699E-4</v>
      </c>
      <c r="AR25" s="18"/>
      <c r="AS25" s="20">
        <v>4.6519536685021699E-4</v>
      </c>
      <c r="AT25" s="18"/>
      <c r="AU25" s="20">
        <v>-2.4406443978497599E-4</v>
      </c>
      <c r="AV25" s="18"/>
      <c r="AW25" s="20">
        <v>-6.32011864492745E-4</v>
      </c>
      <c r="AX25" s="18"/>
      <c r="AY25" s="20">
        <v>3.6508057991763698E-5</v>
      </c>
      <c r="AZ25" s="18"/>
      <c r="BA25" s="20">
        <v>8.9901596995224198E-4</v>
      </c>
      <c r="BB25" s="18"/>
      <c r="BC25" s="20">
        <v>3.81258710583092E-5</v>
      </c>
      <c r="BD25" s="18"/>
      <c r="BE25" s="20">
        <v>8.60890098893932E-4</v>
      </c>
      <c r="BF25" s="18"/>
      <c r="BG25" s="20"/>
      <c r="BH25" s="18"/>
    </row>
    <row r="26" spans="1:60" x14ac:dyDescent="0.2">
      <c r="A26" s="16">
        <v>1994</v>
      </c>
      <c r="B26" s="16"/>
      <c r="C26" s="20"/>
      <c r="D26" s="18"/>
      <c r="E26" s="20">
        <v>1.0463646993092801E-2</v>
      </c>
      <c r="F26" s="18"/>
      <c r="G26" s="20">
        <v>-9.4983382877757204E-4</v>
      </c>
      <c r="H26" s="18"/>
      <c r="I26" s="20">
        <v>-6.88038658297902E-5</v>
      </c>
      <c r="J26" s="18"/>
      <c r="K26" s="20">
        <v>6.9605104587676797E-3</v>
      </c>
      <c r="L26" s="18"/>
      <c r="M26" s="20">
        <v>3.9003955365850399E-3</v>
      </c>
      <c r="N26" s="18"/>
      <c r="O26" s="20">
        <v>3.0601149221826298E-3</v>
      </c>
      <c r="P26" s="18"/>
      <c r="Q26" s="20">
        <v>3.3505887632668701E-3</v>
      </c>
      <c r="R26" s="18"/>
      <c r="S26" s="20">
        <v>-8.23679197781402E-5</v>
      </c>
      <c r="T26" s="18"/>
      <c r="U26" s="20">
        <v>8.9706882127619895E-4</v>
      </c>
      <c r="V26" s="18"/>
      <c r="W26" s="20">
        <v>-6.7431624682764296E-4</v>
      </c>
      <c r="X26" s="18"/>
      <c r="Y26" s="20">
        <v>-8.5846458457611101E-4</v>
      </c>
      <c r="Z26" s="18"/>
      <c r="AA26" s="20">
        <v>-7.3239345454441298E-4</v>
      </c>
      <c r="AB26" s="18"/>
      <c r="AC26" s="20">
        <v>-1.2477293859939999E-3</v>
      </c>
      <c r="AD26" s="18"/>
      <c r="AE26" s="20">
        <v>-8.3706789376864995E-4</v>
      </c>
      <c r="AF26" s="18"/>
      <c r="AG26" s="20">
        <v>1.65727110182156E-3</v>
      </c>
      <c r="AH26" s="18"/>
      <c r="AI26" s="20">
        <v>4.8416354012392401E-4</v>
      </c>
      <c r="AJ26" s="18"/>
      <c r="AK26" s="20">
        <v>7.56068681623826E-4</v>
      </c>
      <c r="AL26" s="18"/>
      <c r="AM26" s="20">
        <v>5.0285912054649703E-3</v>
      </c>
      <c r="AN26" s="18"/>
      <c r="AO26" s="20">
        <v>1.5378310519635701E-3</v>
      </c>
      <c r="AP26" s="18"/>
      <c r="AQ26" s="20">
        <v>-4.5826397851054896E-3</v>
      </c>
      <c r="AR26" s="18"/>
      <c r="AS26" s="20">
        <v>1.9710519724030501E-3</v>
      </c>
      <c r="AT26" s="18"/>
      <c r="AU26" s="20">
        <v>-1.7060758149394301E-4</v>
      </c>
      <c r="AV26" s="18"/>
      <c r="AW26" s="20">
        <v>-1.7121379770216199E-3</v>
      </c>
      <c r="AX26" s="18"/>
      <c r="AY26" s="20">
        <v>1.1863155727020901E-4</v>
      </c>
      <c r="AZ26" s="18"/>
      <c r="BA26" s="20">
        <v>2.2339299733183E-3</v>
      </c>
      <c r="BB26" s="18"/>
      <c r="BC26" s="20">
        <v>1.4694854330073101E-3</v>
      </c>
      <c r="BD26" s="18"/>
      <c r="BE26" s="20">
        <v>7.6444454031099503E-4</v>
      </c>
      <c r="BF26" s="18"/>
      <c r="BG26" s="20"/>
      <c r="BH26" s="18"/>
    </row>
    <row r="27" spans="1:60" x14ac:dyDescent="0.2">
      <c r="A27" s="16">
        <v>1995</v>
      </c>
      <c r="B27" s="16"/>
      <c r="C27" s="20"/>
      <c r="D27" s="18"/>
      <c r="E27" s="20">
        <v>4.4265760880712098E-3</v>
      </c>
      <c r="F27" s="18"/>
      <c r="G27" s="20">
        <v>3.7294974962711702E-4</v>
      </c>
      <c r="H27" s="18"/>
      <c r="I27" s="20">
        <v>2.1131622069009201E-4</v>
      </c>
      <c r="J27" s="18"/>
      <c r="K27" s="20">
        <v>-1.23525230088299E-3</v>
      </c>
      <c r="L27" s="18"/>
      <c r="M27" s="20">
        <v>2.2494513060263401E-3</v>
      </c>
      <c r="N27" s="18"/>
      <c r="O27" s="20">
        <v>-3.4847036069093401E-3</v>
      </c>
      <c r="P27" s="18"/>
      <c r="Q27" s="20">
        <v>1.33204610430222E-3</v>
      </c>
      <c r="R27" s="18"/>
      <c r="S27" s="20">
        <v>7.2165501123161999E-4</v>
      </c>
      <c r="T27" s="18"/>
      <c r="U27" s="20">
        <v>-2.3522659743191602E-3</v>
      </c>
      <c r="V27" s="18"/>
      <c r="W27" s="20">
        <v>2.3785499316214898E-3</v>
      </c>
      <c r="X27" s="18"/>
      <c r="Y27" s="20">
        <v>-4.48429099699618E-4</v>
      </c>
      <c r="Z27" s="18"/>
      <c r="AA27" s="20">
        <v>-3.47091246946347E-4</v>
      </c>
      <c r="AB27" s="18"/>
      <c r="AC27" s="20">
        <v>-1.1129295587940899E-3</v>
      </c>
      <c r="AD27" s="18"/>
      <c r="AE27" s="20">
        <v>1.34563152000752E-3</v>
      </c>
      <c r="AF27" s="18"/>
      <c r="AG27" s="20">
        <v>-7.1857728409568499E-4</v>
      </c>
      <c r="AH27" s="18"/>
      <c r="AI27" s="20">
        <v>-3.1861367563081702E-3</v>
      </c>
      <c r="AJ27" s="18"/>
      <c r="AK27" s="20">
        <v>2.73928560495408E-3</v>
      </c>
      <c r="AL27" s="18"/>
      <c r="AM27" s="20">
        <v>1.9634359175765701E-4</v>
      </c>
      <c r="AN27" s="18"/>
      <c r="AO27" s="20">
        <v>-5.0296426811160502E-4</v>
      </c>
      <c r="AP27" s="18"/>
      <c r="AQ27" s="20">
        <v>1.5406885531030899E-3</v>
      </c>
      <c r="AR27" s="18"/>
      <c r="AS27" s="20">
        <v>2.2012744335682699E-3</v>
      </c>
      <c r="AT27" s="18"/>
      <c r="AU27" s="20">
        <v>6.5181651756524104E-4</v>
      </c>
      <c r="AV27" s="18"/>
      <c r="AW27" s="20">
        <v>-2.6124693444362699E-4</v>
      </c>
      <c r="AX27" s="18"/>
      <c r="AY27" s="20">
        <v>4.6320221904082098E-6</v>
      </c>
      <c r="AZ27" s="18"/>
      <c r="BA27" s="20">
        <v>3.8208835360706902E-4</v>
      </c>
      <c r="BB27" s="18"/>
      <c r="BC27" s="20">
        <v>3.3088025494784699E-4</v>
      </c>
      <c r="BD27" s="18"/>
      <c r="BE27" s="20">
        <v>5.12080986592326E-5</v>
      </c>
      <c r="BF27" s="18"/>
      <c r="BG27" s="20"/>
      <c r="BH27" s="18"/>
    </row>
    <row r="28" spans="1:60" x14ac:dyDescent="0.2">
      <c r="A28" s="16">
        <v>1996</v>
      </c>
      <c r="B28" s="16"/>
      <c r="C28" s="20"/>
      <c r="D28" s="18"/>
      <c r="E28" s="20">
        <v>4.3809003047792497E-3</v>
      </c>
      <c r="F28" s="18"/>
      <c r="G28" s="20">
        <v>-2.9701108466193901E-5</v>
      </c>
      <c r="H28" s="18"/>
      <c r="I28" s="20">
        <v>-1.29928056380433E-4</v>
      </c>
      <c r="J28" s="18"/>
      <c r="K28" s="20">
        <v>1.64633308289764E-3</v>
      </c>
      <c r="L28" s="18"/>
      <c r="M28" s="20">
        <v>4.3182728940238202E-4</v>
      </c>
      <c r="N28" s="18"/>
      <c r="O28" s="20">
        <v>1.2145057934952999E-3</v>
      </c>
      <c r="P28" s="18"/>
      <c r="Q28" s="20">
        <v>-1.93161307519311E-3</v>
      </c>
      <c r="R28" s="18"/>
      <c r="S28" s="20">
        <v>-4.4926483081019402E-4</v>
      </c>
      <c r="T28" s="18"/>
      <c r="U28" s="20">
        <v>-3.8112961114963998E-3</v>
      </c>
      <c r="V28" s="18"/>
      <c r="W28" s="20">
        <v>-2.6291520077187502E-3</v>
      </c>
      <c r="X28" s="18"/>
      <c r="Y28" s="20">
        <v>-1.10718433178622E-3</v>
      </c>
      <c r="Z28" s="18"/>
      <c r="AA28" s="20">
        <v>8.1892333021530502E-4</v>
      </c>
      <c r="AB28" s="18"/>
      <c r="AC28" s="20">
        <v>5.3322685645579702E-5</v>
      </c>
      <c r="AD28" s="18"/>
      <c r="AE28" s="20">
        <v>1.4809429394548799E-4</v>
      </c>
      <c r="AF28" s="18"/>
      <c r="AG28" s="20">
        <v>6.4098604330132302E-3</v>
      </c>
      <c r="AH28" s="18"/>
      <c r="AI28" s="20">
        <v>5.7657028405534699E-3</v>
      </c>
      <c r="AJ28" s="18"/>
      <c r="AK28" s="20">
        <v>3.5388751060720902E-4</v>
      </c>
      <c r="AL28" s="18"/>
      <c r="AM28" s="20">
        <v>3.0723248924869602E-3</v>
      </c>
      <c r="AN28" s="18"/>
      <c r="AO28" s="20">
        <v>-8.3106527933671795E-5</v>
      </c>
      <c r="AP28" s="18"/>
      <c r="AQ28" s="20">
        <v>9.1779794851155994E-5</v>
      </c>
      <c r="AR28" s="18"/>
      <c r="AS28" s="20">
        <v>9.0162992690393201E-4</v>
      </c>
      <c r="AT28" s="18"/>
      <c r="AU28" s="20">
        <v>8.7999379907227095E-4</v>
      </c>
      <c r="AV28" s="18"/>
      <c r="AW28" s="20">
        <v>-4.8055487578382302E-4</v>
      </c>
      <c r="AX28" s="18"/>
      <c r="AY28" s="20">
        <v>-9.6745340469409403E-5</v>
      </c>
      <c r="AZ28" s="18"/>
      <c r="BA28" s="20">
        <v>1.2207680730055501E-3</v>
      </c>
      <c r="BB28" s="18"/>
      <c r="BC28" s="20">
        <v>1.56797450051299E-3</v>
      </c>
      <c r="BD28" s="18"/>
      <c r="BE28" s="20">
        <v>-3.4720642750743399E-4</v>
      </c>
      <c r="BF28" s="18"/>
      <c r="BG28" s="20"/>
      <c r="BH28" s="18"/>
    </row>
    <row r="29" spans="1:60" x14ac:dyDescent="0.2">
      <c r="A29" s="16">
        <v>1997</v>
      </c>
      <c r="B29" s="16"/>
      <c r="C29" s="20"/>
      <c r="D29" s="18"/>
      <c r="E29" s="20">
        <v>1.77449576459561E-2</v>
      </c>
      <c r="F29" s="18"/>
      <c r="G29" s="20">
        <v>1.01570053302652E-4</v>
      </c>
      <c r="H29" s="18"/>
      <c r="I29" s="20">
        <v>2.4329027344542701E-4</v>
      </c>
      <c r="J29" s="18"/>
      <c r="K29" s="20">
        <v>5.7556106390167696E-3</v>
      </c>
      <c r="L29" s="18"/>
      <c r="M29" s="20">
        <v>1.74787489066827E-3</v>
      </c>
      <c r="N29" s="18"/>
      <c r="O29" s="20">
        <v>4.0077357483484398E-3</v>
      </c>
      <c r="P29" s="18"/>
      <c r="Q29" s="20">
        <v>-2.0412060239468301E-4</v>
      </c>
      <c r="R29" s="18"/>
      <c r="S29" s="20">
        <v>-7.0058561413590501E-5</v>
      </c>
      <c r="T29" s="18"/>
      <c r="U29" s="20">
        <v>-4.1533889145201697E-3</v>
      </c>
      <c r="V29" s="18"/>
      <c r="W29" s="20">
        <v>2.3112660134184098E-3</v>
      </c>
      <c r="X29" s="18"/>
      <c r="Y29" s="20">
        <v>8.2217071289768305E-4</v>
      </c>
      <c r="Z29" s="18"/>
      <c r="AA29" s="20">
        <v>-1.2575428050617501E-3</v>
      </c>
      <c r="AB29" s="18"/>
      <c r="AC29" s="20">
        <v>4.230632019507E-3</v>
      </c>
      <c r="AD29" s="18"/>
      <c r="AE29" s="20">
        <v>-6.6993341207899403E-4</v>
      </c>
      <c r="AF29" s="18"/>
      <c r="AG29" s="20">
        <v>1.1168642559714901E-2</v>
      </c>
      <c r="AH29" s="18"/>
      <c r="AI29" s="20">
        <v>7.2713618150243003E-3</v>
      </c>
      <c r="AJ29" s="18"/>
      <c r="AK29" s="20">
        <v>1.79550306977378E-3</v>
      </c>
      <c r="AL29" s="18"/>
      <c r="AM29" s="20">
        <v>9.8960196547058401E-4</v>
      </c>
      <c r="AN29" s="18"/>
      <c r="AO29" s="20">
        <v>-1.3258383149372701E-4</v>
      </c>
      <c r="AP29" s="18"/>
      <c r="AQ29" s="20">
        <v>4.5587568200753102E-4</v>
      </c>
      <c r="AR29" s="18"/>
      <c r="AS29" s="20">
        <v>4.4079810678976302E-4</v>
      </c>
      <c r="AT29" s="18"/>
      <c r="AU29" s="20">
        <v>-1.1115819906540301E-3</v>
      </c>
      <c r="AV29" s="18"/>
      <c r="AW29" s="20">
        <v>-3.5012598832266E-4</v>
      </c>
      <c r="AX29" s="18"/>
      <c r="AY29" s="20">
        <v>-2.9935607777333399E-6</v>
      </c>
      <c r="AZ29" s="18"/>
      <c r="BA29" s="20">
        <v>3.2312108524286398E-3</v>
      </c>
      <c r="BB29" s="18"/>
      <c r="BC29" s="20">
        <v>2.8757956382333698E-3</v>
      </c>
      <c r="BD29" s="18"/>
      <c r="BE29" s="20">
        <v>3.5541521419528302E-4</v>
      </c>
      <c r="BF29" s="18"/>
      <c r="BG29" s="20"/>
      <c r="BH29" s="18"/>
    </row>
    <row r="30" spans="1:60" x14ac:dyDescent="0.2">
      <c r="A30" s="16">
        <v>1998</v>
      </c>
      <c r="B30" s="16"/>
      <c r="C30" s="20"/>
      <c r="D30" s="18"/>
      <c r="E30" s="20">
        <v>2.7558797933484602E-2</v>
      </c>
      <c r="F30" s="18"/>
      <c r="G30" s="20">
        <v>1.4884622280149899E-4</v>
      </c>
      <c r="H30" s="18"/>
      <c r="I30" s="20">
        <v>1.05550134079775E-4</v>
      </c>
      <c r="J30" s="18"/>
      <c r="K30" s="20">
        <v>4.2964572252941697E-3</v>
      </c>
      <c r="L30" s="18"/>
      <c r="M30" s="20">
        <v>3.1293329493247402E-3</v>
      </c>
      <c r="N30" s="18"/>
      <c r="O30" s="20">
        <v>1.1671242759694099E-3</v>
      </c>
      <c r="P30" s="18"/>
      <c r="Q30" s="20">
        <v>-7.5085549877832597E-4</v>
      </c>
      <c r="R30" s="18"/>
      <c r="S30" s="20">
        <v>-1.53557497693861E-4</v>
      </c>
      <c r="T30" s="18"/>
      <c r="U30" s="20">
        <v>4.16925835445075E-4</v>
      </c>
      <c r="V30" s="18"/>
      <c r="W30" s="20">
        <v>2.5616545930251099E-3</v>
      </c>
      <c r="X30" s="18"/>
      <c r="Y30" s="20">
        <v>9.3489180226735105E-4</v>
      </c>
      <c r="Z30" s="18"/>
      <c r="AA30" s="20">
        <v>1.8310724161898901E-3</v>
      </c>
      <c r="AB30" s="18"/>
      <c r="AC30" s="20">
        <v>9.3239487434825603E-4</v>
      </c>
      <c r="AD30" s="18"/>
      <c r="AE30" s="20">
        <v>4.5637413112554204E-3</v>
      </c>
      <c r="AF30" s="18"/>
      <c r="AG30" s="20">
        <v>5.3281311068572798E-3</v>
      </c>
      <c r="AH30" s="18"/>
      <c r="AI30" s="20">
        <v>1.4910537915419999E-3</v>
      </c>
      <c r="AJ30" s="18"/>
      <c r="AK30" s="20">
        <v>1.5411101800486299E-3</v>
      </c>
      <c r="AL30" s="18"/>
      <c r="AM30" s="20">
        <v>3.5560804013371398E-3</v>
      </c>
      <c r="AN30" s="18"/>
      <c r="AO30" s="20">
        <v>-2.59121232496616E-4</v>
      </c>
      <c r="AP30" s="18"/>
      <c r="AQ30" s="20">
        <v>8.0868950761379596E-4</v>
      </c>
      <c r="AR30" s="18"/>
      <c r="AS30" s="20">
        <v>2.6372197811793002E-3</v>
      </c>
      <c r="AT30" s="18"/>
      <c r="AU30" s="20">
        <v>1.6349438399613299E-3</v>
      </c>
      <c r="AV30" s="18"/>
      <c r="AW30" s="20">
        <v>-1.30850855268258E-4</v>
      </c>
      <c r="AX30" s="18"/>
      <c r="AY30" s="20">
        <v>3.1475768333731801E-5</v>
      </c>
      <c r="AZ30" s="18"/>
      <c r="BA30" s="20">
        <v>2.0233978993465E-4</v>
      </c>
      <c r="BB30" s="18"/>
      <c r="BC30" s="20">
        <v>2.4030462425270499E-3</v>
      </c>
      <c r="BD30" s="18"/>
      <c r="BE30" s="20">
        <v>-2.2007064525923999E-3</v>
      </c>
      <c r="BF30" s="18"/>
      <c r="BG30" s="20"/>
      <c r="BH30" s="18"/>
    </row>
    <row r="31" spans="1:60" x14ac:dyDescent="0.2">
      <c r="A31" s="16">
        <v>1999</v>
      </c>
      <c r="B31" s="16"/>
      <c r="C31" s="20"/>
      <c r="D31" s="18"/>
      <c r="E31" s="20">
        <v>1.10513217967514E-2</v>
      </c>
      <c r="F31" s="18"/>
      <c r="G31" s="20">
        <v>3.1969322203166802E-4</v>
      </c>
      <c r="H31" s="18"/>
      <c r="I31" s="20">
        <v>-4.8859783817172199E-5</v>
      </c>
      <c r="J31" s="18"/>
      <c r="K31" s="20">
        <v>2.36360919543938E-3</v>
      </c>
      <c r="L31" s="18"/>
      <c r="M31" s="20">
        <v>7.1042710300506197E-4</v>
      </c>
      <c r="N31" s="18"/>
      <c r="O31" s="20">
        <v>1.6531820924343701E-3</v>
      </c>
      <c r="P31" s="18"/>
      <c r="Q31" s="20">
        <v>7.8164516214585401E-4</v>
      </c>
      <c r="R31" s="18"/>
      <c r="S31" s="20">
        <v>2.42278487533468E-5</v>
      </c>
      <c r="T31" s="18"/>
      <c r="U31" s="20">
        <v>-1.4820459371436699E-3</v>
      </c>
      <c r="V31" s="18"/>
      <c r="W31" s="20">
        <v>5.30248620593119E-3</v>
      </c>
      <c r="X31" s="18"/>
      <c r="Y31" s="20">
        <v>7.7896196216026498E-4</v>
      </c>
      <c r="Z31" s="18"/>
      <c r="AA31" s="20">
        <v>-5.3319346808469899E-3</v>
      </c>
      <c r="AB31" s="18"/>
      <c r="AC31" s="20">
        <v>-2.9477394052278299E-4</v>
      </c>
      <c r="AD31" s="18"/>
      <c r="AE31" s="20">
        <v>2.5458927745284701E-3</v>
      </c>
      <c r="AF31" s="18"/>
      <c r="AG31" s="20">
        <v>4.4262455223955796E-3</v>
      </c>
      <c r="AH31" s="18"/>
      <c r="AI31" s="20">
        <v>3.7773544580347301E-3</v>
      </c>
      <c r="AJ31" s="18"/>
      <c r="AK31" s="20">
        <v>5.1326245196009197E-4</v>
      </c>
      <c r="AL31" s="18"/>
      <c r="AM31" s="20">
        <v>2.0141344592104699E-3</v>
      </c>
      <c r="AN31" s="18"/>
      <c r="AO31" s="20">
        <v>4.9925195370195598E-4</v>
      </c>
      <c r="AP31" s="18"/>
      <c r="AQ31" s="20">
        <v>4.6481826394396698E-4</v>
      </c>
      <c r="AR31" s="18"/>
      <c r="AS31" s="20">
        <v>1.12082077842837E-3</v>
      </c>
      <c r="AT31" s="18"/>
      <c r="AU31" s="20">
        <v>-1.19657494887516E-3</v>
      </c>
      <c r="AV31" s="18"/>
      <c r="AW31" s="20">
        <v>-5.1118070634615905E-4</v>
      </c>
      <c r="AX31" s="18"/>
      <c r="AY31" s="20">
        <v>5.3866407793399799E-5</v>
      </c>
      <c r="AZ31" s="18"/>
      <c r="BA31" s="20">
        <v>5.7494341138605897E-3</v>
      </c>
      <c r="BB31" s="18"/>
      <c r="BC31" s="20">
        <v>2.0978602837219201E-3</v>
      </c>
      <c r="BD31" s="18"/>
      <c r="BE31" s="20">
        <v>3.65157383013866E-3</v>
      </c>
      <c r="BF31" s="18"/>
      <c r="BG31" s="20"/>
      <c r="BH31" s="18"/>
    </row>
    <row r="32" spans="1:60" x14ac:dyDescent="0.2">
      <c r="A32" s="16">
        <v>2000</v>
      </c>
      <c r="B32" s="16"/>
      <c r="C32" s="20"/>
      <c r="D32" s="18"/>
      <c r="E32" s="20">
        <v>3.2193658362728299E-2</v>
      </c>
      <c r="F32" s="18"/>
      <c r="G32" s="20">
        <v>2.4962702259999001E-4</v>
      </c>
      <c r="H32" s="18"/>
      <c r="I32" s="20">
        <v>-4.1560187441474799E-5</v>
      </c>
      <c r="J32" s="18"/>
      <c r="K32" s="20">
        <v>3.7623122382515598E-3</v>
      </c>
      <c r="L32" s="18"/>
      <c r="M32" s="20">
        <v>3.0198624132185999E-3</v>
      </c>
      <c r="N32" s="18"/>
      <c r="O32" s="20">
        <v>7.4244982503289601E-4</v>
      </c>
      <c r="P32" s="18"/>
      <c r="Q32" s="20">
        <v>-6.9333548845875494E-5</v>
      </c>
      <c r="R32" s="18"/>
      <c r="S32" s="20">
        <v>-1.8903766584157201E-4</v>
      </c>
      <c r="T32" s="18"/>
      <c r="U32" s="20">
        <v>-4.30904222163156E-4</v>
      </c>
      <c r="V32" s="18"/>
      <c r="W32" s="20">
        <v>5.4723519002552803E-3</v>
      </c>
      <c r="X32" s="18"/>
      <c r="Y32" s="20">
        <v>8.7716183425221505E-4</v>
      </c>
      <c r="Z32" s="18"/>
      <c r="AA32" s="20">
        <v>1.71661749653367E-3</v>
      </c>
      <c r="AB32" s="18"/>
      <c r="AC32" s="20">
        <v>4.9483933042803103E-4</v>
      </c>
      <c r="AD32" s="18"/>
      <c r="AE32" s="20">
        <v>6.0602009143738101E-3</v>
      </c>
      <c r="AF32" s="18"/>
      <c r="AG32" s="20">
        <v>1.1096220215289601E-2</v>
      </c>
      <c r="AH32" s="18"/>
      <c r="AI32" s="20">
        <v>7.0524098425299398E-3</v>
      </c>
      <c r="AJ32" s="18"/>
      <c r="AK32" s="20">
        <v>2.1696865110455302E-3</v>
      </c>
      <c r="AL32" s="18"/>
      <c r="AM32" s="20">
        <v>-5.5731290404474902E-4</v>
      </c>
      <c r="AN32" s="18"/>
      <c r="AO32" s="20">
        <v>1.2852879237365601E-3</v>
      </c>
      <c r="AP32" s="18"/>
      <c r="AQ32" s="20">
        <v>-6.6872071596116496E-4</v>
      </c>
      <c r="AR32" s="18"/>
      <c r="AS32" s="20">
        <v>2.32322372688648E-3</v>
      </c>
      <c r="AT32" s="18"/>
      <c r="AU32" s="20">
        <v>1.63749708245824E-3</v>
      </c>
      <c r="AV32" s="18"/>
      <c r="AW32" s="20">
        <v>2.0866078911921099E-5</v>
      </c>
      <c r="AX32" s="18"/>
      <c r="AY32" s="20">
        <v>3.1483677301231501E-5</v>
      </c>
      <c r="AZ32" s="18"/>
      <c r="BA32" s="20">
        <v>4.1385102523629298E-3</v>
      </c>
      <c r="BB32" s="18"/>
      <c r="BC32" s="20">
        <v>3.1328055814376699E-3</v>
      </c>
      <c r="BD32" s="18"/>
      <c r="BE32" s="20">
        <v>1.0057046709252501E-3</v>
      </c>
      <c r="BF32" s="18"/>
      <c r="BG32" s="20"/>
      <c r="BH32" s="18"/>
    </row>
    <row r="33" spans="1:60" x14ac:dyDescent="0.2">
      <c r="A33" s="16">
        <v>2001</v>
      </c>
      <c r="B33" s="16"/>
      <c r="C33" s="20"/>
      <c r="D33" s="18"/>
      <c r="E33" s="20">
        <v>1.7338530909606499E-2</v>
      </c>
      <c r="F33" s="18"/>
      <c r="G33" s="20">
        <v>-8.2422748606636996E-4</v>
      </c>
      <c r="H33" s="18"/>
      <c r="I33" s="20">
        <v>6.3503388612585401E-6</v>
      </c>
      <c r="J33" s="18"/>
      <c r="K33" s="20">
        <v>1.0504677733794401E-2</v>
      </c>
      <c r="L33" s="18"/>
      <c r="M33" s="20">
        <v>5.3240458809717603E-3</v>
      </c>
      <c r="N33" s="18"/>
      <c r="O33" s="20">
        <v>5.1806318528226803E-3</v>
      </c>
      <c r="P33" s="18"/>
      <c r="Q33" s="20">
        <v>3.6609528586939498E-4</v>
      </c>
      <c r="R33" s="18"/>
      <c r="S33" s="20">
        <v>7.4478403918738694E-5</v>
      </c>
      <c r="T33" s="18"/>
      <c r="U33" s="20">
        <v>-2.5214330513367899E-4</v>
      </c>
      <c r="V33" s="18"/>
      <c r="W33" s="20">
        <v>4.22075912377481E-3</v>
      </c>
      <c r="X33" s="18"/>
      <c r="Y33" s="20">
        <v>2.29071650292609E-3</v>
      </c>
      <c r="Z33" s="18"/>
      <c r="AA33" s="20">
        <v>1.5890831853677401E-5</v>
      </c>
      <c r="AB33" s="18"/>
      <c r="AC33" s="20">
        <v>5.0863855064736305E-4</v>
      </c>
      <c r="AD33" s="18"/>
      <c r="AE33" s="20">
        <v>2.4858638855710601E-3</v>
      </c>
      <c r="AF33" s="18"/>
      <c r="AG33" s="20">
        <v>-8.61227230122792E-3</v>
      </c>
      <c r="AH33" s="18"/>
      <c r="AI33" s="20">
        <v>-9.3631615387683303E-3</v>
      </c>
      <c r="AJ33" s="18"/>
      <c r="AK33" s="20">
        <v>9.1285664203673896E-4</v>
      </c>
      <c r="AL33" s="18"/>
      <c r="AM33" s="20">
        <v>5.2863361029816197E-3</v>
      </c>
      <c r="AN33" s="18"/>
      <c r="AO33" s="20">
        <v>1.23224051113086E-3</v>
      </c>
      <c r="AP33" s="18"/>
      <c r="AQ33" s="20">
        <v>2.24343780088177E-4</v>
      </c>
      <c r="AR33" s="18"/>
      <c r="AS33" s="20">
        <v>3.2265499717544E-3</v>
      </c>
      <c r="AT33" s="18"/>
      <c r="AU33" s="20">
        <v>-1.45091819570636E-3</v>
      </c>
      <c r="AV33" s="18"/>
      <c r="AW33" s="20">
        <v>2.6454593745681799E-4</v>
      </c>
      <c r="AX33" s="18"/>
      <c r="AY33" s="20">
        <v>6.1321740038282896E-5</v>
      </c>
      <c r="AZ33" s="18"/>
      <c r="BA33" s="20">
        <v>-1.4165537245114301E-3</v>
      </c>
      <c r="BB33" s="18"/>
      <c r="BC33" s="20">
        <v>-9.3649662410432994E-5</v>
      </c>
      <c r="BD33" s="18"/>
      <c r="BE33" s="20">
        <v>-1.3229040621009699E-3</v>
      </c>
      <c r="BF33" s="18"/>
      <c r="BG33" s="20"/>
      <c r="BH33" s="18"/>
    </row>
    <row r="34" spans="1:60" x14ac:dyDescent="0.2">
      <c r="A34" s="16">
        <v>2002</v>
      </c>
      <c r="B34" s="16"/>
      <c r="C34" s="20"/>
      <c r="D34" s="18"/>
      <c r="E34" s="20">
        <v>5.0036547547331897E-3</v>
      </c>
      <c r="F34" s="18"/>
      <c r="G34" s="20">
        <v>2.49248545582536E-4</v>
      </c>
      <c r="H34" s="18"/>
      <c r="I34" s="20">
        <v>-1.29971012644339E-5</v>
      </c>
      <c r="J34" s="18"/>
      <c r="K34" s="20">
        <v>4.6445288616769097E-3</v>
      </c>
      <c r="L34" s="18"/>
      <c r="M34" s="20">
        <v>5.7751974627124197E-3</v>
      </c>
      <c r="N34" s="18"/>
      <c r="O34" s="20">
        <v>-1.1306686010354699E-3</v>
      </c>
      <c r="P34" s="18"/>
      <c r="Q34" s="20">
        <v>-3.5348561010164802E-3</v>
      </c>
      <c r="R34" s="18"/>
      <c r="S34" s="20">
        <v>8.7713039931527898E-5</v>
      </c>
      <c r="T34" s="18"/>
      <c r="U34" s="20">
        <v>2.1389615121880602E-3</v>
      </c>
      <c r="V34" s="18"/>
      <c r="W34" s="20">
        <v>4.3022510500042403E-3</v>
      </c>
      <c r="X34" s="18"/>
      <c r="Y34" s="20">
        <v>2.0758046272375902E-5</v>
      </c>
      <c r="Z34" s="18"/>
      <c r="AA34" s="20">
        <v>7.2363020444394404E-4</v>
      </c>
      <c r="AB34" s="18"/>
      <c r="AC34" s="20">
        <v>-1.21647830499851E-3</v>
      </c>
      <c r="AD34" s="18"/>
      <c r="AE34" s="20">
        <v>8.4468110991277605E-4</v>
      </c>
      <c r="AF34" s="18"/>
      <c r="AG34" s="20">
        <v>-3.8365389011406799E-3</v>
      </c>
      <c r="AH34" s="18"/>
      <c r="AI34" s="20">
        <v>-2.9292918008984202E-3</v>
      </c>
      <c r="AJ34" s="18"/>
      <c r="AK34" s="20">
        <v>-9.3914820315667898E-4</v>
      </c>
      <c r="AL34" s="18"/>
      <c r="AM34" s="20">
        <v>-6.5615094675748002E-3</v>
      </c>
      <c r="AN34" s="18"/>
      <c r="AO34" s="20">
        <v>4.9167121032311998E-4</v>
      </c>
      <c r="AP34" s="18"/>
      <c r="AQ34" s="20">
        <v>1.6395132332362101E-3</v>
      </c>
      <c r="AR34" s="18"/>
      <c r="AS34" s="20">
        <v>1.8544409863387901E-3</v>
      </c>
      <c r="AT34" s="18"/>
      <c r="AU34" s="20">
        <v>2.57573398826277E-3</v>
      </c>
      <c r="AV34" s="18"/>
      <c r="AW34" s="20">
        <v>5.97728165676067E-4</v>
      </c>
      <c r="AX34" s="18"/>
      <c r="AY34" s="20">
        <v>1.5932723151167199E-5</v>
      </c>
      <c r="AZ34" s="18"/>
      <c r="BA34" s="20">
        <v>-1.19955264234479E-3</v>
      </c>
      <c r="BB34" s="18"/>
      <c r="BC34" s="20">
        <v>-2.6543344274694198E-5</v>
      </c>
      <c r="BD34" s="18"/>
      <c r="BE34" s="20">
        <v>-1.1730092980701001E-3</v>
      </c>
      <c r="BF34" s="18"/>
      <c r="BG34" s="20"/>
      <c r="BH34" s="18"/>
    </row>
    <row r="35" spans="1:60" x14ac:dyDescent="0.2">
      <c r="A35" s="16">
        <v>2003</v>
      </c>
      <c r="B35" s="16"/>
      <c r="C35" s="20"/>
      <c r="D35" s="18"/>
      <c r="E35" s="20">
        <v>-2.9227406500702798E-3</v>
      </c>
      <c r="F35" s="18"/>
      <c r="G35" s="20">
        <v>-1.3861974800165101E-3</v>
      </c>
      <c r="H35" s="18"/>
      <c r="I35" s="20">
        <v>-6.2420418846904305E-5</v>
      </c>
      <c r="J35" s="18"/>
      <c r="K35" s="20">
        <v>-5.8731008403698295E-4</v>
      </c>
      <c r="L35" s="18"/>
      <c r="M35" s="20">
        <v>2.02261799858151E-3</v>
      </c>
      <c r="N35" s="18"/>
      <c r="O35" s="20">
        <v>-2.6099280826185301E-3</v>
      </c>
      <c r="P35" s="18"/>
      <c r="Q35" s="20">
        <v>-1.4251053292473499E-3</v>
      </c>
      <c r="R35" s="18"/>
      <c r="S35" s="20">
        <v>-1.72909063486902E-5</v>
      </c>
      <c r="T35" s="18"/>
      <c r="U35" s="20">
        <v>8.9573758852778496E-4</v>
      </c>
      <c r="V35" s="18"/>
      <c r="W35" s="20">
        <v>3.9893092974580902E-3</v>
      </c>
      <c r="X35" s="18"/>
      <c r="Y35" s="20">
        <v>1.03435552603025E-3</v>
      </c>
      <c r="Z35" s="18"/>
      <c r="AA35" s="20">
        <v>4.2627177735784301E-4</v>
      </c>
      <c r="AB35" s="18"/>
      <c r="AC35" s="20">
        <v>-2.1327674107836899E-3</v>
      </c>
      <c r="AD35" s="18"/>
      <c r="AE35" s="20">
        <v>-2.2435169894962199E-3</v>
      </c>
      <c r="AF35" s="18"/>
      <c r="AG35" s="20">
        <v>4.3492737324116798E-3</v>
      </c>
      <c r="AH35" s="18"/>
      <c r="AI35" s="20">
        <v>1.9172610454435701E-3</v>
      </c>
      <c r="AJ35" s="18"/>
      <c r="AK35" s="20">
        <v>3.1768594955420399E-3</v>
      </c>
      <c r="AL35" s="18"/>
      <c r="AM35" s="20">
        <v>-5.0426391692035702E-3</v>
      </c>
      <c r="AN35" s="18"/>
      <c r="AO35" s="20">
        <v>9.0252755168929795E-4</v>
      </c>
      <c r="AP35" s="18"/>
      <c r="AQ35" s="20">
        <v>1.74106874671355E-4</v>
      </c>
      <c r="AR35" s="18"/>
      <c r="AS35" s="20">
        <v>1.0957325849500999E-3</v>
      </c>
      <c r="AT35" s="18"/>
      <c r="AU35" s="20">
        <v>-1.71983012928931E-3</v>
      </c>
      <c r="AV35" s="18"/>
      <c r="AW35" s="20">
        <v>-1.3586526641562899E-4</v>
      </c>
      <c r="AX35" s="18"/>
      <c r="AY35" s="20">
        <v>-2.7568734516013698E-6</v>
      </c>
      <c r="AZ35" s="18"/>
      <c r="BA35" s="20">
        <v>8.05161041947787E-5</v>
      </c>
      <c r="BB35" s="18"/>
      <c r="BC35" s="20">
        <v>7.1648760017417503E-4</v>
      </c>
      <c r="BD35" s="18"/>
      <c r="BE35" s="20">
        <v>-6.3597149597941004E-4</v>
      </c>
      <c r="BF35" s="18"/>
      <c r="BG35" s="20"/>
      <c r="BH35" s="18"/>
    </row>
    <row r="36" spans="1:60" x14ac:dyDescent="0.2">
      <c r="A36" s="16">
        <v>2004</v>
      </c>
      <c r="B36" s="16"/>
      <c r="C36" s="20"/>
      <c r="D36" s="18"/>
      <c r="E36" s="20">
        <v>2.35716250489868E-2</v>
      </c>
      <c r="F36" s="18"/>
      <c r="G36" s="20">
        <v>1.4823726519163599E-3</v>
      </c>
      <c r="H36" s="18"/>
      <c r="I36" s="20">
        <v>4.4701961456792E-5</v>
      </c>
      <c r="J36" s="18"/>
      <c r="K36" s="20">
        <v>3.3035478959337998E-3</v>
      </c>
      <c r="L36" s="18"/>
      <c r="M36" s="20">
        <v>3.36840324020321E-3</v>
      </c>
      <c r="N36" s="18"/>
      <c r="O36" s="20">
        <v>-6.4855344269362396E-5</v>
      </c>
      <c r="P36" s="18"/>
      <c r="Q36" s="20">
        <v>-1.6336581026093499E-3</v>
      </c>
      <c r="R36" s="18"/>
      <c r="S36" s="20">
        <v>2.9725822217177502E-4</v>
      </c>
      <c r="T36" s="18"/>
      <c r="U36" s="20">
        <v>-7.6797638709962196E-4</v>
      </c>
      <c r="V36" s="18"/>
      <c r="W36" s="20">
        <v>8.0887210811325296E-3</v>
      </c>
      <c r="X36" s="18"/>
      <c r="Y36" s="20">
        <v>-4.2897999168854499E-5</v>
      </c>
      <c r="Z36" s="18"/>
      <c r="AA36" s="20">
        <v>1.0853902387449701E-3</v>
      </c>
      <c r="AB36" s="18"/>
      <c r="AC36" s="20">
        <v>-9.7450894580566796E-4</v>
      </c>
      <c r="AD36" s="18"/>
      <c r="AE36" s="20">
        <v>8.7037025338338803E-4</v>
      </c>
      <c r="AF36" s="18"/>
      <c r="AG36" s="20">
        <v>5.39265342011037E-3</v>
      </c>
      <c r="AH36" s="18"/>
      <c r="AI36" s="20">
        <v>4.7604561716418003E-3</v>
      </c>
      <c r="AJ36" s="18"/>
      <c r="AK36" s="20">
        <v>-6.6434286407070003E-7</v>
      </c>
      <c r="AL36" s="18"/>
      <c r="AM36" s="20">
        <v>1.5821361954998401E-3</v>
      </c>
      <c r="AN36" s="18"/>
      <c r="AO36" s="20">
        <v>7.8166535334205805E-4</v>
      </c>
      <c r="AP36" s="18"/>
      <c r="AQ36" s="20">
        <v>7.4489298523115603E-4</v>
      </c>
      <c r="AR36" s="18"/>
      <c r="AS36" s="20">
        <v>1.1835994735355101E-3</v>
      </c>
      <c r="AT36" s="18"/>
      <c r="AU36" s="20">
        <v>1.8456477037984999E-3</v>
      </c>
      <c r="AV36" s="18"/>
      <c r="AW36" s="20">
        <v>2.0557848131694701E-4</v>
      </c>
      <c r="AX36" s="18"/>
      <c r="AY36" s="20">
        <v>3.92325669277452E-5</v>
      </c>
      <c r="AZ36" s="18"/>
      <c r="BA36" s="20">
        <v>2.2976644463299101E-3</v>
      </c>
      <c r="BB36" s="18"/>
      <c r="BC36" s="20">
        <v>2.38364977468639E-3</v>
      </c>
      <c r="BD36" s="18"/>
      <c r="BE36" s="20">
        <v>-8.5985328356465998E-5</v>
      </c>
      <c r="BF36" s="18"/>
      <c r="BG36" s="20"/>
      <c r="BH36" s="18"/>
    </row>
    <row r="37" spans="1:60" x14ac:dyDescent="0.2">
      <c r="A37" s="16">
        <v>2005</v>
      </c>
      <c r="B37" s="16"/>
      <c r="C37" s="20"/>
      <c r="D37" s="18"/>
      <c r="E37" s="20">
        <v>2.8250400945007598E-2</v>
      </c>
      <c r="F37" s="18"/>
      <c r="G37" s="20">
        <v>-3.39437987069754E-4</v>
      </c>
      <c r="H37" s="18"/>
      <c r="I37" s="20">
        <v>3.8967289942603599E-5</v>
      </c>
      <c r="J37" s="18"/>
      <c r="K37" s="20">
        <v>9.2751038615964607E-3</v>
      </c>
      <c r="L37" s="18"/>
      <c r="M37" s="20">
        <v>3.6202772321068102E-3</v>
      </c>
      <c r="N37" s="18"/>
      <c r="O37" s="20">
        <v>5.6548266294896704E-3</v>
      </c>
      <c r="P37" s="18"/>
      <c r="Q37" s="20">
        <v>8.4116804066455603E-4</v>
      </c>
      <c r="R37" s="18"/>
      <c r="S37" s="20">
        <v>5.6024703229051395E-4</v>
      </c>
      <c r="T37" s="18"/>
      <c r="U37" s="20">
        <v>1.17896720891279E-3</v>
      </c>
      <c r="V37" s="18"/>
      <c r="W37" s="20">
        <v>4.9353053432079899E-3</v>
      </c>
      <c r="X37" s="18"/>
      <c r="Y37" s="20">
        <v>1.0642702202792499E-3</v>
      </c>
      <c r="Z37" s="18"/>
      <c r="AA37" s="20">
        <v>1.3728207766169201E-4</v>
      </c>
      <c r="AB37" s="18"/>
      <c r="AC37" s="20">
        <v>2.5976777590921101E-4</v>
      </c>
      <c r="AD37" s="18"/>
      <c r="AE37" s="20">
        <v>1.93240063588773E-3</v>
      </c>
      <c r="AF37" s="18"/>
      <c r="AG37" s="20">
        <v>5.4239607936454604E-3</v>
      </c>
      <c r="AH37" s="18"/>
      <c r="AI37" s="20">
        <v>4.4228930881973398E-3</v>
      </c>
      <c r="AJ37" s="18"/>
      <c r="AK37" s="20">
        <v>9.874568050168139E-4</v>
      </c>
      <c r="AL37" s="18"/>
      <c r="AM37" s="20">
        <v>3.6236650258614799E-3</v>
      </c>
      <c r="AN37" s="18"/>
      <c r="AO37" s="20">
        <v>2.6120685254674999E-4</v>
      </c>
      <c r="AP37" s="18"/>
      <c r="AQ37" s="20">
        <v>4.85979880241787E-4</v>
      </c>
      <c r="AR37" s="18"/>
      <c r="AS37" s="20">
        <v>6.2941083839071195E-4</v>
      </c>
      <c r="AT37" s="18"/>
      <c r="AU37" s="20">
        <v>-1.14917173307578E-3</v>
      </c>
      <c r="AV37" s="18"/>
      <c r="AW37" s="20">
        <v>9.0673742356816499E-5</v>
      </c>
      <c r="AX37" s="18"/>
      <c r="AY37" s="20">
        <v>6.4904266036604707E-5</v>
      </c>
      <c r="AZ37" s="18"/>
      <c r="BA37" s="20">
        <v>1.2704479958174501E-3</v>
      </c>
      <c r="BB37" s="18"/>
      <c r="BC37" s="20">
        <v>1.3394511992017299E-3</v>
      </c>
      <c r="BD37" s="18"/>
      <c r="BE37" s="20">
        <v>-6.9003203384264999E-5</v>
      </c>
      <c r="BF37" s="18"/>
      <c r="BG37" s="20"/>
      <c r="BH37" s="18"/>
    </row>
    <row r="38" spans="1:60" x14ac:dyDescent="0.2">
      <c r="A38" s="16">
        <v>2006</v>
      </c>
      <c r="B38" s="16"/>
      <c r="C38" s="20"/>
      <c r="D38" s="18"/>
      <c r="E38" s="20">
        <v>3.86123647076888E-2</v>
      </c>
      <c r="F38" s="18"/>
      <c r="G38" s="20">
        <v>-3.5247674635862898E-4</v>
      </c>
      <c r="H38" s="18"/>
      <c r="I38" s="20">
        <v>-4.9714662198459897E-5</v>
      </c>
      <c r="J38" s="18"/>
      <c r="K38" s="20">
        <v>1.2707455436561399E-2</v>
      </c>
      <c r="L38" s="18"/>
      <c r="M38" s="20">
        <v>5.6439407652227698E-3</v>
      </c>
      <c r="N38" s="18"/>
      <c r="O38" s="20">
        <v>7.0635146713386304E-3</v>
      </c>
      <c r="P38" s="18"/>
      <c r="Q38" s="20">
        <v>7.9879217809737495E-4</v>
      </c>
      <c r="R38" s="18"/>
      <c r="S38" s="20">
        <v>2.30013396707625E-4</v>
      </c>
      <c r="T38" s="18"/>
      <c r="U38" s="20">
        <v>-1.0375590132631501E-3</v>
      </c>
      <c r="V38" s="18"/>
      <c r="W38" s="20">
        <v>9.4355505081271194E-3</v>
      </c>
      <c r="X38" s="18"/>
      <c r="Y38" s="20">
        <v>5.3019467645392803E-4</v>
      </c>
      <c r="Z38" s="18"/>
      <c r="AA38" s="20">
        <v>9.7689865156656689E-4</v>
      </c>
      <c r="AB38" s="18"/>
      <c r="AC38" s="20">
        <v>5.3204639941391296E-4</v>
      </c>
      <c r="AD38" s="18"/>
      <c r="AE38" s="20">
        <v>1.6832517009329601E-3</v>
      </c>
      <c r="AF38" s="18"/>
      <c r="AG38" s="20">
        <v>7.5481099351029299E-3</v>
      </c>
      <c r="AH38" s="18"/>
      <c r="AI38" s="20">
        <v>4.5337773841919804E-3</v>
      </c>
      <c r="AJ38" s="18"/>
      <c r="AK38" s="20">
        <v>9.1149825860612399E-4</v>
      </c>
      <c r="AL38" s="18"/>
      <c r="AM38" s="20">
        <v>2.77138168212243E-3</v>
      </c>
      <c r="AN38" s="18"/>
      <c r="AO38" s="20">
        <v>6.5885945645841797E-4</v>
      </c>
      <c r="AP38" s="18"/>
      <c r="AQ38" s="20">
        <v>-3.3921565793563899E-4</v>
      </c>
      <c r="AR38" s="18"/>
      <c r="AS38" s="20">
        <v>5.6155030830904297E-4</v>
      </c>
      <c r="AT38" s="18"/>
      <c r="AU38" s="20">
        <v>2.1648380574443801E-3</v>
      </c>
      <c r="AV38" s="18"/>
      <c r="AW38" s="20">
        <v>2.8321248361305398E-4</v>
      </c>
      <c r="AX38" s="18"/>
      <c r="AY38" s="20">
        <v>3.93705929872241E-5</v>
      </c>
      <c r="AZ38" s="18"/>
      <c r="BA38" s="20">
        <v>2.73086122594635E-3</v>
      </c>
      <c r="BB38" s="18"/>
      <c r="BC38" s="20">
        <v>2.5260870528837102E-3</v>
      </c>
      <c r="BD38" s="18"/>
      <c r="BE38" s="20">
        <v>2.04774173062621E-4</v>
      </c>
      <c r="BF38" s="18"/>
      <c r="BG38" s="20"/>
      <c r="BH38" s="18"/>
    </row>
    <row r="39" spans="1:60" x14ac:dyDescent="0.2">
      <c r="A39" s="16">
        <v>2007</v>
      </c>
      <c r="B39" s="16"/>
      <c r="C39" s="20"/>
      <c r="D39" s="18"/>
      <c r="E39" s="20">
        <v>3.7404469309852799E-2</v>
      </c>
      <c r="F39" s="18"/>
      <c r="G39" s="20">
        <v>5.1411572431546199E-4</v>
      </c>
      <c r="H39" s="18"/>
      <c r="I39" s="20">
        <v>3.39079495281673E-6</v>
      </c>
      <c r="J39" s="18"/>
      <c r="K39" s="20">
        <v>1.0236684804876099E-2</v>
      </c>
      <c r="L39" s="18"/>
      <c r="M39" s="20">
        <v>3.8661271856504798E-3</v>
      </c>
      <c r="N39" s="18"/>
      <c r="O39" s="20">
        <v>6.3705576192256298E-3</v>
      </c>
      <c r="P39" s="18"/>
      <c r="Q39" s="20">
        <v>7.4882068647437504E-4</v>
      </c>
      <c r="R39" s="18"/>
      <c r="S39" s="20">
        <v>-2.8811712751263501E-4</v>
      </c>
      <c r="T39" s="18"/>
      <c r="U39" s="20">
        <v>-1.1180859572110899E-3</v>
      </c>
      <c r="V39" s="18"/>
      <c r="W39" s="20">
        <v>9.4929963406406893E-3</v>
      </c>
      <c r="X39" s="18"/>
      <c r="Y39" s="20">
        <v>1.33652506027018E-3</v>
      </c>
      <c r="Z39" s="18"/>
      <c r="AA39" s="20">
        <v>9.3555294568617702E-4</v>
      </c>
      <c r="AB39" s="18"/>
      <c r="AC39" s="20">
        <v>8.5937186554179898E-4</v>
      </c>
      <c r="AD39" s="18"/>
      <c r="AE39" s="20">
        <v>5.2184435213749705E-4</v>
      </c>
      <c r="AF39" s="18"/>
      <c r="AG39" s="20">
        <v>8.7996408614272308E-3</v>
      </c>
      <c r="AH39" s="18"/>
      <c r="AI39" s="20">
        <v>6.2910199238959703E-3</v>
      </c>
      <c r="AJ39" s="18"/>
      <c r="AK39" s="20">
        <v>6.3484178328835402E-4</v>
      </c>
      <c r="AL39" s="18"/>
      <c r="AM39" s="20">
        <v>4.3607577054084598E-3</v>
      </c>
      <c r="AN39" s="18"/>
      <c r="AO39" s="20">
        <v>1.27955620701311E-3</v>
      </c>
      <c r="AP39" s="18"/>
      <c r="AQ39" s="20">
        <v>2.4762634974006902E-4</v>
      </c>
      <c r="AR39" s="18"/>
      <c r="AS39" s="20">
        <v>1.96328738346808E-3</v>
      </c>
      <c r="AT39" s="18"/>
      <c r="AU39" s="20">
        <v>-1.4951531019397001E-3</v>
      </c>
      <c r="AV39" s="18"/>
      <c r="AW39" s="20">
        <v>2.1433891982816099E-4</v>
      </c>
      <c r="AX39" s="18"/>
      <c r="AY39" s="20">
        <v>1.2784055500629599E-4</v>
      </c>
      <c r="AZ39" s="18"/>
      <c r="BA39" s="20">
        <v>2.4274680556949802E-3</v>
      </c>
      <c r="BB39" s="18"/>
      <c r="BC39" s="20">
        <v>2.0177160663949699E-3</v>
      </c>
      <c r="BD39" s="18"/>
      <c r="BE39" s="20">
        <v>4.0975198930001601E-4</v>
      </c>
      <c r="BF39" s="18"/>
      <c r="BG39" s="20"/>
      <c r="BH39" s="18"/>
    </row>
    <row r="40" spans="1:60" x14ac:dyDescent="0.2">
      <c r="A40" s="16">
        <v>2008</v>
      </c>
      <c r="B40" s="16"/>
      <c r="C40" s="20"/>
      <c r="D40" s="18"/>
      <c r="E40" s="20">
        <v>2.4674270163474898E-2</v>
      </c>
      <c r="F40" s="18"/>
      <c r="G40" s="20">
        <v>-5.4854282728840498E-8</v>
      </c>
      <c r="H40" s="18"/>
      <c r="I40" s="20">
        <v>-1.3485742257093101E-5</v>
      </c>
      <c r="J40" s="18"/>
      <c r="K40" s="20">
        <v>6.4899973783457904E-3</v>
      </c>
      <c r="L40" s="18"/>
      <c r="M40" s="20">
        <v>2.2464910956767801E-3</v>
      </c>
      <c r="N40" s="18"/>
      <c r="O40" s="20">
        <v>4.24350628266899E-3</v>
      </c>
      <c r="P40" s="18"/>
      <c r="Q40" s="20">
        <v>6.8797204266292703E-4</v>
      </c>
      <c r="R40" s="18"/>
      <c r="S40" s="20">
        <v>-6.3962539490217498E-4</v>
      </c>
      <c r="T40" s="18"/>
      <c r="U40" s="20">
        <v>5.1713181947401305E-4</v>
      </c>
      <c r="V40" s="18"/>
      <c r="W40" s="20">
        <v>7.9874021360823392E-3</v>
      </c>
      <c r="X40" s="18"/>
      <c r="Y40" s="20">
        <v>1.7457086505363801E-3</v>
      </c>
      <c r="Z40" s="18"/>
      <c r="AA40" s="20">
        <v>-8.4174374491481001E-4</v>
      </c>
      <c r="AB40" s="18"/>
      <c r="AC40" s="20">
        <v>7.98728583363439E-4</v>
      </c>
      <c r="AD40" s="18"/>
      <c r="AE40" s="20">
        <v>1.9506861958537599E-3</v>
      </c>
      <c r="AF40" s="18"/>
      <c r="AG40" s="20">
        <v>-4.6736010574923801E-3</v>
      </c>
      <c r="AH40" s="18"/>
      <c r="AI40" s="20">
        <v>-7.23251879880921E-3</v>
      </c>
      <c r="AJ40" s="18"/>
      <c r="AK40" s="20">
        <v>4.2997920010405498E-3</v>
      </c>
      <c r="AL40" s="18"/>
      <c r="AM40" s="20">
        <v>6.57840771282693E-3</v>
      </c>
      <c r="AN40" s="18"/>
      <c r="AO40" s="20">
        <v>7.7493257676621995E-4</v>
      </c>
      <c r="AP40" s="18"/>
      <c r="AQ40" s="20">
        <v>-1.91162367085369E-4</v>
      </c>
      <c r="AR40" s="18"/>
      <c r="AS40" s="20">
        <v>3.01295894561552E-3</v>
      </c>
      <c r="AT40" s="18"/>
      <c r="AU40" s="20">
        <v>1.66893797827523E-3</v>
      </c>
      <c r="AV40" s="18"/>
      <c r="AW40" s="20">
        <v>3.4341775191058701E-4</v>
      </c>
      <c r="AX40" s="18"/>
      <c r="AY40" s="20">
        <v>2.2337020323280301E-4</v>
      </c>
      <c r="AZ40" s="18"/>
      <c r="BA40" s="20">
        <v>6.4169273226064201E-4</v>
      </c>
      <c r="BB40" s="18"/>
      <c r="BC40" s="20">
        <v>1.2573382076881601E-3</v>
      </c>
      <c r="BD40" s="18"/>
      <c r="BE40" s="20">
        <v>-6.1564547542749203E-4</v>
      </c>
      <c r="BF40" s="18"/>
      <c r="BG40" s="20"/>
      <c r="BH40" s="18"/>
    </row>
    <row r="41" spans="1:60" x14ac:dyDescent="0.2">
      <c r="A41" s="16">
        <v>2009</v>
      </c>
      <c r="B41" s="16"/>
      <c r="C41" s="20"/>
      <c r="D41" s="18"/>
      <c r="E41" s="20">
        <v>-1.85266717310371E-2</v>
      </c>
      <c r="F41" s="18"/>
      <c r="G41" s="20">
        <v>4.0983105297869E-4</v>
      </c>
      <c r="H41" s="18"/>
      <c r="I41" s="20">
        <v>-8.3604077554694405E-5</v>
      </c>
      <c r="J41" s="18"/>
      <c r="K41" s="20">
        <v>-2.3045709169920998E-2</v>
      </c>
      <c r="L41" s="18"/>
      <c r="M41" s="20">
        <v>-1.58521222496855E-3</v>
      </c>
      <c r="N41" s="18"/>
      <c r="O41" s="20">
        <v>-2.1460496944952501E-2</v>
      </c>
      <c r="P41" s="18"/>
      <c r="Q41" s="20">
        <v>-1.2345018635077499E-3</v>
      </c>
      <c r="R41" s="18"/>
      <c r="S41" s="20">
        <v>2.28278472918007E-3</v>
      </c>
      <c r="T41" s="18"/>
      <c r="U41" s="20">
        <v>6.9757536587282897E-4</v>
      </c>
      <c r="V41" s="18"/>
      <c r="W41" s="20">
        <v>8.7945091598423605E-3</v>
      </c>
      <c r="X41" s="18"/>
      <c r="Y41" s="20">
        <v>8.9286477892823305E-4</v>
      </c>
      <c r="Z41" s="18"/>
      <c r="AA41" s="20">
        <v>-2.1685715230151102E-3</v>
      </c>
      <c r="AB41" s="18"/>
      <c r="AC41" s="20">
        <v>-1.3153173620866999E-3</v>
      </c>
      <c r="AD41" s="18"/>
      <c r="AE41" s="20">
        <v>8.1627176943807199E-4</v>
      </c>
      <c r="AF41" s="18"/>
      <c r="AG41" s="20">
        <v>-3.1049563448452299E-3</v>
      </c>
      <c r="AH41" s="18"/>
      <c r="AI41" s="20">
        <v>-3.5761834629201902E-3</v>
      </c>
      <c r="AJ41" s="18"/>
      <c r="AK41" s="20">
        <v>1.82342459237556E-3</v>
      </c>
      <c r="AL41" s="18"/>
      <c r="AM41" s="20">
        <v>-1.81487408525186E-3</v>
      </c>
      <c r="AN41" s="18"/>
      <c r="AO41" s="20">
        <v>1.1531268392302801E-3</v>
      </c>
      <c r="AP41" s="18"/>
      <c r="AQ41" s="20">
        <v>-2.58990090316453E-4</v>
      </c>
      <c r="AR41" s="18"/>
      <c r="AS41" s="20">
        <v>1.8141619359205699E-3</v>
      </c>
      <c r="AT41" s="18"/>
      <c r="AU41" s="20">
        <v>-1.38893009049047E-3</v>
      </c>
      <c r="AV41" s="18"/>
      <c r="AW41" s="20">
        <v>-4.98898484839141E-5</v>
      </c>
      <c r="AX41" s="18"/>
      <c r="AY41" s="20">
        <v>-2.9588128026681001E-5</v>
      </c>
      <c r="AZ41" s="18"/>
      <c r="BA41" s="20">
        <v>-8.2242321782976201E-4</v>
      </c>
      <c r="BB41" s="18"/>
      <c r="BC41" s="20">
        <v>2.1575231570411101E-4</v>
      </c>
      <c r="BD41" s="18"/>
      <c r="BE41" s="20">
        <v>-1.0381755335338899E-3</v>
      </c>
      <c r="BF41" s="18"/>
      <c r="BG41" s="20"/>
      <c r="BH41" s="18"/>
    </row>
    <row r="42" spans="1:60" x14ac:dyDescent="0.2">
      <c r="A42" s="16">
        <v>2010</v>
      </c>
      <c r="B42" s="16"/>
      <c r="C42" s="20"/>
      <c r="D42" s="18"/>
      <c r="E42" s="20">
        <v>3.0662110088676899E-2</v>
      </c>
      <c r="F42" s="18"/>
      <c r="G42" s="20">
        <v>-2.3607607403436999E-4</v>
      </c>
      <c r="H42" s="18"/>
      <c r="I42" s="20">
        <v>9.80947581816271E-5</v>
      </c>
      <c r="J42" s="18"/>
      <c r="K42" s="20">
        <v>1.3165774797736399E-2</v>
      </c>
      <c r="L42" s="18"/>
      <c r="M42" s="20">
        <v>4.8638922448591398E-3</v>
      </c>
      <c r="N42" s="18"/>
      <c r="O42" s="20">
        <v>8.3018825528773203E-3</v>
      </c>
      <c r="P42" s="18"/>
      <c r="Q42" s="20">
        <v>-1.7316904920611299E-4</v>
      </c>
      <c r="R42" s="18"/>
      <c r="S42" s="20">
        <v>-9.7510281066540204E-4</v>
      </c>
      <c r="T42" s="18"/>
      <c r="U42" s="20">
        <v>3.0339395937788098E-3</v>
      </c>
      <c r="V42" s="18"/>
      <c r="W42" s="20">
        <v>6.1647705760632604E-3</v>
      </c>
      <c r="X42" s="18"/>
      <c r="Y42" s="20">
        <v>1.9683308417567701E-3</v>
      </c>
      <c r="Z42" s="18"/>
      <c r="AA42" s="20">
        <v>1.7303102365292E-3</v>
      </c>
      <c r="AB42" s="18"/>
      <c r="AC42" s="20">
        <v>2.21864184716107E-4</v>
      </c>
      <c r="AD42" s="18"/>
      <c r="AE42" s="20">
        <v>1.40183293071597E-3</v>
      </c>
      <c r="AF42" s="18"/>
      <c r="AG42" s="20">
        <v>1.22459665474236E-5</v>
      </c>
      <c r="AH42" s="18"/>
      <c r="AI42" s="20">
        <v>1.0350777612465501E-3</v>
      </c>
      <c r="AJ42" s="18"/>
      <c r="AK42" s="20">
        <v>-1.5083167289675499E-3</v>
      </c>
      <c r="AL42" s="18"/>
      <c r="AM42" s="20">
        <v>3.00691078474608E-3</v>
      </c>
      <c r="AN42" s="18"/>
      <c r="AO42" s="20">
        <v>3.3264591990349302E-4</v>
      </c>
      <c r="AP42" s="18"/>
      <c r="AQ42" s="20">
        <v>1.1652846564092401E-4</v>
      </c>
      <c r="AR42" s="18"/>
      <c r="AS42" s="20">
        <v>6.1346275641211096E-4</v>
      </c>
      <c r="AT42" s="18"/>
      <c r="AU42" s="20">
        <v>2.33654725952329E-3</v>
      </c>
      <c r="AV42" s="18"/>
      <c r="AW42" s="20">
        <v>-1.49860164504227E-4</v>
      </c>
      <c r="AX42" s="18"/>
      <c r="AY42" s="20">
        <v>-3.8610043407842301E-5</v>
      </c>
      <c r="AZ42" s="18"/>
      <c r="BA42" s="20">
        <v>1.94419787514261E-3</v>
      </c>
      <c r="BB42" s="18"/>
      <c r="BC42" s="20">
        <v>1.8894571074417701E-3</v>
      </c>
      <c r="BD42" s="18"/>
      <c r="BE42" s="20">
        <v>5.4740767700850598E-5</v>
      </c>
      <c r="BF42" s="18"/>
      <c r="BG42" s="20"/>
      <c r="BH42" s="18"/>
    </row>
    <row r="43" spans="1:60" x14ac:dyDescent="0.2">
      <c r="A43" s="16">
        <v>2011</v>
      </c>
      <c r="B43" s="16"/>
      <c r="C43" s="20"/>
      <c r="D43" s="18"/>
      <c r="E43" s="20">
        <v>1.50213352699791E-2</v>
      </c>
      <c r="F43" s="18"/>
      <c r="G43" s="20">
        <v>6.7000883042223503E-4</v>
      </c>
      <c r="H43" s="18"/>
      <c r="I43" s="20">
        <v>1.98257170535273E-6</v>
      </c>
      <c r="J43" s="18"/>
      <c r="K43" s="20">
        <v>1.7523351430299899E-2</v>
      </c>
      <c r="L43" s="18"/>
      <c r="M43" s="20">
        <v>6.9936852751934699E-3</v>
      </c>
      <c r="N43" s="18"/>
      <c r="O43" s="20">
        <v>1.0529666155106501E-2</v>
      </c>
      <c r="P43" s="18"/>
      <c r="Q43" s="20">
        <v>-5.37404384045511E-4</v>
      </c>
      <c r="R43" s="18"/>
      <c r="S43" s="20">
        <v>-7.0654963179672404E-5</v>
      </c>
      <c r="T43" s="18"/>
      <c r="U43" s="20">
        <v>3.05572079014834E-4</v>
      </c>
      <c r="V43" s="18"/>
      <c r="W43" s="20">
        <v>-8.2126136771216909E-3</v>
      </c>
      <c r="X43" s="18"/>
      <c r="Y43" s="20">
        <v>2.9532547187530102E-4</v>
      </c>
      <c r="Z43" s="18"/>
      <c r="AA43" s="20">
        <v>8.1961603449959199E-4</v>
      </c>
      <c r="AB43" s="18"/>
      <c r="AC43" s="20">
        <v>-2.4037210656829399E-4</v>
      </c>
      <c r="AD43" s="18"/>
      <c r="AE43" s="20">
        <v>-5.7674425130875096E-4</v>
      </c>
      <c r="AF43" s="18"/>
      <c r="AG43" s="20">
        <v>1.51456373109958E-3</v>
      </c>
      <c r="AH43" s="18"/>
      <c r="AI43" s="20">
        <v>-1.4813746873556499E-4</v>
      </c>
      <c r="AJ43" s="18"/>
      <c r="AK43" s="20">
        <v>1.1200700672510801E-3</v>
      </c>
      <c r="AL43" s="18"/>
      <c r="AM43" s="20">
        <v>3.7195512956395499E-3</v>
      </c>
      <c r="AN43" s="18"/>
      <c r="AO43" s="20">
        <v>7.0438774743850595E-4</v>
      </c>
      <c r="AP43" s="18"/>
      <c r="AQ43" s="20">
        <v>8.0457280282207199E-4</v>
      </c>
      <c r="AR43" s="18"/>
      <c r="AS43" s="20">
        <v>5.3008311032845404E-4</v>
      </c>
      <c r="AT43" s="18"/>
      <c r="AU43" s="20">
        <v>-2.24635011741664E-3</v>
      </c>
      <c r="AV43" s="18"/>
      <c r="AW43" s="20">
        <v>3.27378663240114E-4</v>
      </c>
      <c r="AX43" s="18"/>
      <c r="AY43" s="20">
        <v>-1.5593526890486402E-5</v>
      </c>
      <c r="AZ43" s="18"/>
      <c r="BA43" s="20">
        <v>-9.4472913564542897E-4</v>
      </c>
      <c r="BB43" s="18"/>
      <c r="BC43" s="20">
        <v>1.4252872120738101E-4</v>
      </c>
      <c r="BD43" s="18"/>
      <c r="BE43" s="20">
        <v>-1.08725785685281E-3</v>
      </c>
      <c r="BF43" s="18"/>
      <c r="BG43" s="20"/>
      <c r="BH43" s="18"/>
    </row>
    <row r="44" spans="1:60" x14ac:dyDescent="0.2">
      <c r="A44" s="16">
        <v>2012</v>
      </c>
      <c r="B44" s="16"/>
      <c r="C44" s="20"/>
      <c r="D44" s="18"/>
      <c r="E44" s="20">
        <v>1.20218496052747E-2</v>
      </c>
      <c r="F44" s="18"/>
      <c r="G44" s="20">
        <v>-2.37495906212986E-4</v>
      </c>
      <c r="H44" s="18"/>
      <c r="I44" s="20">
        <v>4.5665338495986399E-5</v>
      </c>
      <c r="J44" s="18"/>
      <c r="K44" s="20">
        <v>-3.5137673132377301E-3</v>
      </c>
      <c r="L44" s="18"/>
      <c r="M44" s="20">
        <v>-6.5170192941263602E-4</v>
      </c>
      <c r="N44" s="18"/>
      <c r="O44" s="20">
        <v>-2.8620653838250902E-3</v>
      </c>
      <c r="P44" s="18"/>
      <c r="Q44" s="20">
        <v>1.1100900527446799E-3</v>
      </c>
      <c r="R44" s="18"/>
      <c r="S44" s="20">
        <v>-3.7656154564052297E-4</v>
      </c>
      <c r="T44" s="18"/>
      <c r="U44" s="20">
        <v>6.1216894782507099E-4</v>
      </c>
      <c r="V44" s="18"/>
      <c r="W44" s="20">
        <v>4.9784917694534001E-3</v>
      </c>
      <c r="X44" s="18"/>
      <c r="Y44" s="20">
        <v>1.1293034387526899E-3</v>
      </c>
      <c r="Z44" s="18"/>
      <c r="AA44" s="20">
        <v>1.0433975311711101E-3</v>
      </c>
      <c r="AB44" s="18"/>
      <c r="AC44" s="20">
        <v>-7.6176211330503997E-4</v>
      </c>
      <c r="AD44" s="18"/>
      <c r="AE44" s="20">
        <v>6.5976023192314097E-4</v>
      </c>
      <c r="AF44" s="18"/>
      <c r="AG44" s="20">
        <v>2.9749036481380698E-3</v>
      </c>
      <c r="AH44" s="18"/>
      <c r="AI44" s="20">
        <v>1.39941109685144E-3</v>
      </c>
      <c r="AJ44" s="18"/>
      <c r="AK44" s="20">
        <v>1.63667507483104E-3</v>
      </c>
      <c r="AL44" s="18"/>
      <c r="AM44" s="20">
        <v>1.27347581519178E-3</v>
      </c>
      <c r="AN44" s="18"/>
      <c r="AO44" s="20">
        <v>4.0480048027512102E-4</v>
      </c>
      <c r="AP44" s="18"/>
      <c r="AQ44" s="20">
        <v>-4.7900422667913401E-4</v>
      </c>
      <c r="AR44" s="18"/>
      <c r="AS44" s="20">
        <v>2.9050894782241101E-3</v>
      </c>
      <c r="AT44" s="18"/>
      <c r="AU44" s="20">
        <v>1.3715273160376099E-3</v>
      </c>
      <c r="AV44" s="18"/>
      <c r="AW44" s="20">
        <v>-1.01489363282221E-4</v>
      </c>
      <c r="AX44" s="18"/>
      <c r="AY44" s="20">
        <v>1.12559464152103E-4</v>
      </c>
      <c r="AZ44" s="18"/>
      <c r="BA44" s="20">
        <v>-7.8049069876992105E-4</v>
      </c>
      <c r="BB44" s="18"/>
      <c r="BC44" s="20">
        <v>3.0480165956766101E-4</v>
      </c>
      <c r="BD44" s="18"/>
      <c r="BE44" s="20">
        <v>-1.0852923583375999E-3</v>
      </c>
      <c r="BF44" s="18"/>
      <c r="BG44" s="20"/>
      <c r="BH44" s="18"/>
    </row>
    <row r="45" spans="1:60" x14ac:dyDescent="0.2">
      <c r="A45" s="16">
        <v>2013</v>
      </c>
      <c r="B45" s="16"/>
      <c r="C45" s="20"/>
      <c r="D45" s="18"/>
      <c r="E45" s="20">
        <v>1.8192026514500002E-2</v>
      </c>
      <c r="F45" s="18"/>
      <c r="G45" s="20">
        <v>-4.0635289106526998E-4</v>
      </c>
      <c r="H45" s="18"/>
      <c r="I45" s="20">
        <v>3.2693773431012703E-5</v>
      </c>
      <c r="J45" s="18"/>
      <c r="K45" s="20">
        <v>4.1875834720327297E-3</v>
      </c>
      <c r="L45" s="18"/>
      <c r="M45" s="20">
        <v>3.3802616944E-3</v>
      </c>
      <c r="N45" s="18"/>
      <c r="O45" s="20">
        <v>8.0732177763273897E-4</v>
      </c>
      <c r="P45" s="18"/>
      <c r="Q45" s="20">
        <v>-3.0257307719761498E-5</v>
      </c>
      <c r="R45" s="18"/>
      <c r="S45" s="20">
        <v>4.06506258929136E-4</v>
      </c>
      <c r="T45" s="18"/>
      <c r="U45" s="20">
        <v>8.5959786630597696E-4</v>
      </c>
      <c r="V45" s="18"/>
      <c r="W45" s="20">
        <v>2.0799627225064799E-3</v>
      </c>
      <c r="X45" s="18"/>
      <c r="Y45" s="20">
        <v>1.0718669450808099E-3</v>
      </c>
      <c r="Z45" s="18"/>
      <c r="AA45" s="20">
        <v>-1.5651276281724101E-3</v>
      </c>
      <c r="AB45" s="18"/>
      <c r="AC45" s="20">
        <v>3.4789299022488102E-4</v>
      </c>
      <c r="AD45" s="18"/>
      <c r="AE45" s="20">
        <v>1.02834494395969E-3</v>
      </c>
      <c r="AF45" s="18"/>
      <c r="AG45" s="20">
        <v>6.8185826145811101E-3</v>
      </c>
      <c r="AH45" s="18"/>
      <c r="AI45" s="20">
        <v>3.4470750776132699E-3</v>
      </c>
      <c r="AJ45" s="18"/>
      <c r="AK45" s="20">
        <v>2.9896255985626401E-3</v>
      </c>
      <c r="AL45" s="18"/>
      <c r="AM45" s="20">
        <v>1.7490079246884999E-3</v>
      </c>
      <c r="AN45" s="18"/>
      <c r="AO45" s="20">
        <v>8.5190981589050596E-4</v>
      </c>
      <c r="AP45" s="18"/>
      <c r="AQ45" s="20">
        <v>4.3158592010417602E-4</v>
      </c>
      <c r="AR45" s="18"/>
      <c r="AS45" s="20">
        <v>3.14810371873675E-3</v>
      </c>
      <c r="AT45" s="18"/>
      <c r="AU45" s="20">
        <v>-1.8708622232608801E-3</v>
      </c>
      <c r="AV45" s="18"/>
      <c r="AW45" s="20">
        <v>1.8818456712033901E-4</v>
      </c>
      <c r="AX45" s="18"/>
      <c r="AY45" s="20">
        <v>-6.5330023793059699E-5</v>
      </c>
      <c r="AZ45" s="18"/>
      <c r="BA45" s="20">
        <v>1.6921254991644199E-4</v>
      </c>
      <c r="BB45" s="18"/>
      <c r="BC45" s="20">
        <v>1.3701923791674899E-4</v>
      </c>
      <c r="BD45" s="18"/>
      <c r="BE45" s="20">
        <v>3.2193311999695199E-5</v>
      </c>
      <c r="BF45" s="18"/>
      <c r="BG45" s="20"/>
      <c r="BH45" s="18"/>
    </row>
    <row r="46" spans="1:60" x14ac:dyDescent="0.2">
      <c r="A46" s="16">
        <v>2014</v>
      </c>
      <c r="B46" s="16"/>
      <c r="C46" s="20"/>
      <c r="D46" s="18"/>
      <c r="E46" s="20">
        <v>2.4719196886070199E-2</v>
      </c>
      <c r="F46" s="18"/>
      <c r="G46" s="20">
        <v>7.1861106250137102E-4</v>
      </c>
      <c r="H46" s="18"/>
      <c r="I46" s="20">
        <v>-7.2179273558389999E-5</v>
      </c>
      <c r="J46" s="18"/>
      <c r="K46" s="20">
        <v>3.99265463286209E-3</v>
      </c>
      <c r="L46" s="18"/>
      <c r="M46" s="20">
        <v>2.2969031837881499E-3</v>
      </c>
      <c r="N46" s="18"/>
      <c r="O46" s="20">
        <v>1.69575144907394E-3</v>
      </c>
      <c r="P46" s="18"/>
      <c r="Q46" s="20">
        <v>-2.2225394642395599E-3</v>
      </c>
      <c r="R46" s="18"/>
      <c r="S46" s="20">
        <v>3.4450033836801999E-4</v>
      </c>
      <c r="T46" s="18"/>
      <c r="U46" s="20">
        <v>7.5315863206154305E-4</v>
      </c>
      <c r="V46" s="18"/>
      <c r="W46" s="20">
        <v>6.8167020183819704E-3</v>
      </c>
      <c r="X46" s="18"/>
      <c r="Y46" s="20">
        <v>7.4697531207297703E-4</v>
      </c>
      <c r="Z46" s="18"/>
      <c r="AA46" s="20">
        <v>1.0351186815806899E-3</v>
      </c>
      <c r="AB46" s="18"/>
      <c r="AC46" s="20">
        <v>5.9113535947286701E-5</v>
      </c>
      <c r="AD46" s="18"/>
      <c r="AE46" s="20">
        <v>1.07465446926288E-3</v>
      </c>
      <c r="AF46" s="18"/>
      <c r="AG46" s="20">
        <v>-7.6552081661073894E-5</v>
      </c>
      <c r="AH46" s="18"/>
      <c r="AI46" s="20">
        <v>-1.07671027832854E-4</v>
      </c>
      <c r="AJ46" s="18"/>
      <c r="AK46" s="20">
        <v>7.1168957306113199E-5</v>
      </c>
      <c r="AL46" s="18"/>
      <c r="AM46" s="20">
        <v>4.2193078839894097E-3</v>
      </c>
      <c r="AN46" s="18"/>
      <c r="AO46" s="20">
        <v>9.6176985030743103E-4</v>
      </c>
      <c r="AP46" s="18"/>
      <c r="AQ46" s="20">
        <v>9.3345739899437297E-4</v>
      </c>
      <c r="AR46" s="18"/>
      <c r="AS46" s="20">
        <v>2.8339901761821901E-3</v>
      </c>
      <c r="AT46" s="18"/>
      <c r="AU46" s="20">
        <v>3.4119106759864502E-3</v>
      </c>
      <c r="AV46" s="18"/>
      <c r="AW46" s="20">
        <v>-1.71027295970703E-4</v>
      </c>
      <c r="AX46" s="18"/>
      <c r="AY46" s="20">
        <v>1.06545645074126E-4</v>
      </c>
      <c r="AZ46" s="18"/>
      <c r="BA46" s="20">
        <v>7.1503791642023101E-4</v>
      </c>
      <c r="BB46" s="18"/>
      <c r="BC46" s="20">
        <v>7.3423332187385097E-4</v>
      </c>
      <c r="BD46" s="18"/>
      <c r="BE46" s="20">
        <v>-1.9195405453631002E-5</v>
      </c>
      <c r="BF46" s="18"/>
      <c r="BG46" s="20"/>
      <c r="BH46" s="18"/>
    </row>
    <row r="47" spans="1:60" x14ac:dyDescent="0.2">
      <c r="A47" s="16">
        <v>2015</v>
      </c>
      <c r="B47" s="16"/>
      <c r="C47" s="20"/>
      <c r="D47" s="18"/>
      <c r="E47" s="20">
        <v>1.4193342516969701E-2</v>
      </c>
      <c r="F47" s="18"/>
      <c r="G47" s="20">
        <v>-7.2731423393332904E-4</v>
      </c>
      <c r="H47" s="18"/>
      <c r="I47" s="20">
        <v>-1.8182331531873999E-4</v>
      </c>
      <c r="J47" s="18"/>
      <c r="K47" s="20">
        <v>9.4465894517467596E-4</v>
      </c>
      <c r="L47" s="18"/>
      <c r="M47" s="20">
        <v>8.6364612212012706E-3</v>
      </c>
      <c r="N47" s="18"/>
      <c r="O47" s="20">
        <v>-7.6918022760265803E-3</v>
      </c>
      <c r="P47" s="18"/>
      <c r="Q47" s="20">
        <v>-6.5874302133172398E-4</v>
      </c>
      <c r="R47" s="18"/>
      <c r="S47" s="20">
        <v>7.3496479024750703E-4</v>
      </c>
      <c r="T47" s="18"/>
      <c r="U47" s="20">
        <v>-6.9066480031941102E-4</v>
      </c>
      <c r="V47" s="18"/>
      <c r="W47" s="20">
        <v>1.3661816351986499E-2</v>
      </c>
      <c r="X47" s="18"/>
      <c r="Y47" s="20">
        <v>1.9115729333509801E-4</v>
      </c>
      <c r="Z47" s="18"/>
      <c r="AA47" s="20">
        <v>-1.20737657457203E-3</v>
      </c>
      <c r="AB47" s="18"/>
      <c r="AC47" s="20">
        <v>-6.4753455087797698E-4</v>
      </c>
      <c r="AD47" s="18"/>
      <c r="AE47" s="20">
        <v>4.6052700137880399E-4</v>
      </c>
      <c r="AF47" s="18"/>
      <c r="AG47" s="20">
        <v>2.4814381776011602E-3</v>
      </c>
      <c r="AH47" s="18"/>
      <c r="AI47" s="20">
        <v>9.5342463459672697E-4</v>
      </c>
      <c r="AJ47" s="18"/>
      <c r="AK47" s="20">
        <v>1.42110517727509E-3</v>
      </c>
      <c r="AL47" s="18"/>
      <c r="AM47" s="20">
        <v>1.5883765611365401E-3</v>
      </c>
      <c r="AN47" s="18"/>
      <c r="AO47" s="20">
        <v>9.3114666128480599E-4</v>
      </c>
      <c r="AP47" s="18"/>
      <c r="AQ47" s="20">
        <v>1.2852688007769199E-4</v>
      </c>
      <c r="AR47" s="18"/>
      <c r="AS47" s="20">
        <v>1.5020770390002801E-3</v>
      </c>
      <c r="AT47" s="18"/>
      <c r="AU47" s="20">
        <v>-4.1041799168313802E-3</v>
      </c>
      <c r="AV47" s="18"/>
      <c r="AW47" s="20">
        <v>-1.17508272450264E-4</v>
      </c>
      <c r="AX47" s="18"/>
      <c r="AY47" s="20">
        <v>9.4954794716253904E-5</v>
      </c>
      <c r="AZ47" s="18"/>
      <c r="BA47" s="20">
        <v>3.5168997361611901E-4</v>
      </c>
      <c r="BB47" s="18"/>
      <c r="BC47" s="20">
        <v>1.1657562219796901E-3</v>
      </c>
      <c r="BD47" s="18"/>
      <c r="BE47" s="20">
        <v>-8.1406624836357299E-4</v>
      </c>
      <c r="BF47" s="18"/>
      <c r="BG47" s="20"/>
      <c r="BH47" s="18"/>
    </row>
    <row r="48" spans="1:60" x14ac:dyDescent="0.2">
      <c r="A48" s="16">
        <v>2016</v>
      </c>
      <c r="B48" s="16"/>
      <c r="C48" s="20"/>
      <c r="D48" s="18"/>
      <c r="E48" s="20">
        <v>1.8269991981665502E-2</v>
      </c>
      <c r="F48" s="18"/>
      <c r="G48" s="20">
        <v>1.2949105965310599E-4</v>
      </c>
      <c r="H48" s="18"/>
      <c r="I48" s="20">
        <v>2.4702693613602001E-5</v>
      </c>
      <c r="J48" s="18"/>
      <c r="K48" s="20">
        <v>8.2142572152052208E-3</v>
      </c>
      <c r="L48" s="18"/>
      <c r="M48" s="20">
        <v>8.9440624037023502E-3</v>
      </c>
      <c r="N48" s="18"/>
      <c r="O48" s="20">
        <v>-7.2980518849704505E-4</v>
      </c>
      <c r="P48" s="18"/>
      <c r="Q48" s="20">
        <v>-2.6949675714569498E-3</v>
      </c>
      <c r="R48" s="18"/>
      <c r="S48" s="20">
        <v>1.02943939457881E-4</v>
      </c>
      <c r="T48" s="18"/>
      <c r="U48" s="20">
        <v>4.7832440057543098E-4</v>
      </c>
      <c r="V48" s="18"/>
      <c r="W48" s="20">
        <v>2.0297926363300198E-3</v>
      </c>
      <c r="X48" s="18"/>
      <c r="Y48" s="20">
        <v>3.2354210541953997E-5</v>
      </c>
      <c r="Z48" s="18"/>
      <c r="AA48" s="20">
        <v>-4.8437998670500698E-4</v>
      </c>
      <c r="AB48" s="18"/>
      <c r="AC48" s="20">
        <v>-2.69115015420741E-6</v>
      </c>
      <c r="AD48" s="18"/>
      <c r="AE48" s="20">
        <v>1.2503634543451099E-3</v>
      </c>
      <c r="AF48" s="18"/>
      <c r="AG48" s="20">
        <v>-1.8947009688425599E-5</v>
      </c>
      <c r="AH48" s="18"/>
      <c r="AI48" s="20">
        <v>-3.0911121228138999E-4</v>
      </c>
      <c r="AJ48" s="18"/>
      <c r="AK48" s="20">
        <v>-2.5130707052075502E-4</v>
      </c>
      <c r="AL48" s="18"/>
      <c r="AM48" s="20">
        <v>1.09750825312611E-3</v>
      </c>
      <c r="AN48" s="18"/>
      <c r="AO48" s="20">
        <v>5.9597246073163704E-4</v>
      </c>
      <c r="AP48" s="18"/>
      <c r="AQ48" s="20">
        <v>2.84005404548147E-5</v>
      </c>
      <c r="AR48" s="18"/>
      <c r="AS48" s="20">
        <v>3.5437675604882298E-3</v>
      </c>
      <c r="AT48" s="18"/>
      <c r="AU48" s="20">
        <v>3.99865997016992E-3</v>
      </c>
      <c r="AV48" s="18"/>
      <c r="AW48" s="20">
        <v>-1.3721120171687301E-4</v>
      </c>
      <c r="AX48" s="18"/>
      <c r="AY48" s="20">
        <v>1.14004717236016E-4</v>
      </c>
      <c r="AZ48" s="18"/>
      <c r="BA48" s="20">
        <v>8.4591864492269096E-4</v>
      </c>
      <c r="BB48" s="18"/>
      <c r="BC48" s="20">
        <v>1.4845068996774001E-3</v>
      </c>
      <c r="BD48" s="18"/>
      <c r="BE48" s="20">
        <v>-6.3858825475470002E-4</v>
      </c>
      <c r="BF48" s="18"/>
      <c r="BG48" s="20"/>
      <c r="BH48" s="18"/>
    </row>
    <row r="49" spans="1:60" x14ac:dyDescent="0.2">
      <c r="A49" s="16">
        <v>2017</v>
      </c>
      <c r="B49" s="16"/>
      <c r="C49" s="20"/>
      <c r="D49" s="18"/>
      <c r="E49" s="20">
        <v>1.37148526607326E-2</v>
      </c>
      <c r="F49" s="18"/>
      <c r="G49" s="20">
        <v>-1.02090814337885E-4</v>
      </c>
      <c r="H49" s="18"/>
      <c r="I49" s="20">
        <v>5.4032344484664698E-5</v>
      </c>
      <c r="J49" s="18"/>
      <c r="K49" s="20">
        <v>9.4557925182875702E-3</v>
      </c>
      <c r="L49" s="18"/>
      <c r="M49" s="20">
        <v>6.1039074942079597E-3</v>
      </c>
      <c r="N49" s="18"/>
      <c r="O49" s="20">
        <v>3.35188502407962E-3</v>
      </c>
      <c r="P49" s="18"/>
      <c r="Q49" s="20">
        <v>1.20666070557661E-3</v>
      </c>
      <c r="R49" s="18"/>
      <c r="S49" s="20">
        <v>-5.2920855429778105E-4</v>
      </c>
      <c r="T49" s="18"/>
      <c r="U49" s="20">
        <v>3.18932298038808E-4</v>
      </c>
      <c r="V49" s="18"/>
      <c r="W49" s="20">
        <v>-2.5504421523345599E-3</v>
      </c>
      <c r="X49" s="18"/>
      <c r="Y49" s="20">
        <v>-3.6839585292783002E-4</v>
      </c>
      <c r="Z49" s="18"/>
      <c r="AA49" s="20">
        <v>5.4288990063611805E-4</v>
      </c>
      <c r="AB49" s="18"/>
      <c r="AC49" s="20">
        <v>4.4213584067476398E-4</v>
      </c>
      <c r="AD49" s="18"/>
      <c r="AE49" s="20">
        <v>7.7265992230537203E-4</v>
      </c>
      <c r="AF49" s="18"/>
      <c r="AG49" s="20">
        <v>-1.5637429566448401E-3</v>
      </c>
      <c r="AH49" s="18"/>
      <c r="AI49" s="20">
        <v>-2.9754301825138298E-3</v>
      </c>
      <c r="AJ49" s="18"/>
      <c r="AK49" s="20">
        <v>-6.0549505946236597E-4</v>
      </c>
      <c r="AL49" s="18"/>
      <c r="AM49" s="20">
        <v>3.7496791428094302E-3</v>
      </c>
      <c r="AN49" s="18"/>
      <c r="AO49" s="20">
        <v>1.3825969165063799E-3</v>
      </c>
      <c r="AP49" s="18"/>
      <c r="AQ49" s="20">
        <v>1.5682825970032399E-4</v>
      </c>
      <c r="AR49" s="18"/>
      <c r="AS49" s="20">
        <v>2.8289363230933899E-3</v>
      </c>
      <c r="AT49" s="18"/>
      <c r="AU49" s="20">
        <v>-2.65150898739288E-3</v>
      </c>
      <c r="AV49" s="18"/>
      <c r="AW49" s="20">
        <v>1.17505278793987E-4</v>
      </c>
      <c r="AX49" s="18"/>
      <c r="AY49" s="20">
        <v>8.3196674833182005E-5</v>
      </c>
      <c r="AZ49" s="18"/>
      <c r="BA49" s="20">
        <v>4.8860860505521998E-4</v>
      </c>
      <c r="BB49" s="18"/>
      <c r="BC49" s="20">
        <v>1.1208014058257101E-3</v>
      </c>
      <c r="BD49" s="18"/>
      <c r="BE49" s="20">
        <v>-6.3219280077049403E-4</v>
      </c>
      <c r="BF49" s="18"/>
      <c r="BG49" s="20"/>
      <c r="BH49" s="18"/>
    </row>
    <row r="50" spans="1:60" x14ac:dyDescent="0.2">
      <c r="A50" s="16">
        <v>2018</v>
      </c>
      <c r="B50" s="16"/>
      <c r="C50" s="20"/>
      <c r="D50" s="18"/>
      <c r="E50" s="20">
        <v>3.4128589789233402E-2</v>
      </c>
      <c r="F50" s="18"/>
      <c r="G50" s="20">
        <v>3.9507056882254801E-4</v>
      </c>
      <c r="H50" s="18"/>
      <c r="I50" s="20">
        <v>1.69155503026323E-4</v>
      </c>
      <c r="J50" s="18"/>
      <c r="K50" s="20">
        <v>9.8533599141615406E-3</v>
      </c>
      <c r="L50" s="18"/>
      <c r="M50" s="20">
        <v>6.9282906243134301E-3</v>
      </c>
      <c r="N50" s="18"/>
      <c r="O50" s="20">
        <v>2.9250692898481001E-3</v>
      </c>
      <c r="P50" s="18"/>
      <c r="Q50" s="20">
        <v>2.0010031629521599E-3</v>
      </c>
      <c r="R50" s="18"/>
      <c r="S50" s="20">
        <v>2.1225724233887299E-4</v>
      </c>
      <c r="T50" s="18"/>
      <c r="U50" s="20">
        <v>1.6780403788893099E-3</v>
      </c>
      <c r="V50" s="18"/>
      <c r="W50" s="20">
        <v>-2.29204152922862E-3</v>
      </c>
      <c r="X50" s="18"/>
      <c r="Y50" s="20">
        <v>-3.7052988168976599E-4</v>
      </c>
      <c r="Z50" s="18"/>
      <c r="AA50" s="20">
        <v>1.4286031705443799E-3</v>
      </c>
      <c r="AB50" s="18"/>
      <c r="AC50" s="20">
        <v>8.2556605122919105E-4</v>
      </c>
      <c r="AD50" s="18"/>
      <c r="AE50" s="20">
        <v>2.1149562665532802E-3</v>
      </c>
      <c r="AF50" s="18"/>
      <c r="AG50" s="20">
        <v>3.0166685221448102E-3</v>
      </c>
      <c r="AH50" s="18"/>
      <c r="AI50" s="20">
        <v>-1.25668149578761E-4</v>
      </c>
      <c r="AJ50" s="18"/>
      <c r="AK50" s="20">
        <v>9.6478202588968901E-4</v>
      </c>
      <c r="AL50" s="18"/>
      <c r="AM50" s="20">
        <v>7.7957969643426602E-3</v>
      </c>
      <c r="AN50" s="18"/>
      <c r="AO50" s="20">
        <v>7.0501110953738401E-4</v>
      </c>
      <c r="AP50" s="18"/>
      <c r="AQ50" s="20">
        <v>3.4920987504871801E-4</v>
      </c>
      <c r="AR50" s="18"/>
      <c r="AS50" s="20">
        <v>2.1722219536563499E-3</v>
      </c>
      <c r="AT50" s="18"/>
      <c r="AU50" s="20">
        <v>3.2470174949174998E-3</v>
      </c>
      <c r="AV50" s="18"/>
      <c r="AW50" s="20">
        <v>3.7642670739679101E-4</v>
      </c>
      <c r="AX50" s="18"/>
      <c r="AY50" s="20">
        <v>8.02664329004295E-5</v>
      </c>
      <c r="AZ50" s="18"/>
      <c r="BA50" s="20">
        <v>-8.54264706024993E-4</v>
      </c>
      <c r="BB50" s="18"/>
      <c r="BC50" s="20">
        <v>-3.5405988320216298E-4</v>
      </c>
      <c r="BD50" s="18"/>
      <c r="BE50" s="20">
        <v>-5.0020482282283002E-4</v>
      </c>
      <c r="BF50" s="18"/>
      <c r="BG50" s="20"/>
      <c r="BH50" s="18"/>
    </row>
    <row r="51" spans="1:60" x14ac:dyDescent="0.2">
      <c r="A51" s="16">
        <v>2019</v>
      </c>
      <c r="B51" s="16"/>
      <c r="C51" s="20"/>
      <c r="D51" s="18"/>
      <c r="E51" s="20">
        <v>1.1409836436077901E-2</v>
      </c>
      <c r="F51" s="18"/>
      <c r="G51" s="20">
        <v>-1.7081805360457799E-4</v>
      </c>
      <c r="H51" s="18"/>
      <c r="I51" s="20">
        <v>-1.6736486948281299E-5</v>
      </c>
      <c r="J51" s="18"/>
      <c r="K51" s="20">
        <v>9.5503465043494593E-3</v>
      </c>
      <c r="L51" s="18"/>
      <c r="M51" s="20">
        <v>6.0132157825891902E-3</v>
      </c>
      <c r="N51" s="18"/>
      <c r="O51" s="20">
        <v>3.5371307217603402E-3</v>
      </c>
      <c r="P51" s="18"/>
      <c r="Q51" s="20">
        <v>7.2684018597257596E-4</v>
      </c>
      <c r="R51" s="18"/>
      <c r="S51" s="20">
        <v>-1.26664990554476E-4</v>
      </c>
      <c r="T51" s="18"/>
      <c r="U51" s="20">
        <v>2.6616356781231201E-4</v>
      </c>
      <c r="V51" s="18"/>
      <c r="W51" s="20">
        <v>-5.0993350995140298E-3</v>
      </c>
      <c r="X51" s="18"/>
      <c r="Y51" s="20">
        <v>3.1703556170327798E-4</v>
      </c>
      <c r="Z51" s="18"/>
      <c r="AA51" s="20">
        <v>1.46600695017518E-3</v>
      </c>
      <c r="AB51" s="18"/>
      <c r="AC51" s="20">
        <v>2.9852717908651502E-4</v>
      </c>
      <c r="AD51" s="18"/>
      <c r="AE51" s="20">
        <v>4.9863689703740801E-4</v>
      </c>
      <c r="AF51" s="18"/>
      <c r="AG51" s="20">
        <v>5.7971922552173E-4</v>
      </c>
      <c r="AH51" s="18"/>
      <c r="AI51" s="20">
        <v>3.9950440183478898E-4</v>
      </c>
      <c r="AJ51" s="18"/>
      <c r="AK51" s="20">
        <v>8.0047129965263094E-5</v>
      </c>
      <c r="AL51" s="18"/>
      <c r="AM51" s="20">
        <v>2.6799817992553799E-3</v>
      </c>
      <c r="AN51" s="18"/>
      <c r="AO51" s="20">
        <v>1.0185354100812E-3</v>
      </c>
      <c r="AP51" s="18"/>
      <c r="AQ51" s="20">
        <v>-1.45849700303523E-4</v>
      </c>
      <c r="AR51" s="18"/>
      <c r="AS51" s="20">
        <v>2.22533179649629E-3</v>
      </c>
      <c r="AT51" s="18"/>
      <c r="AU51" s="20">
        <v>-2.6810623462342601E-3</v>
      </c>
      <c r="AV51" s="18"/>
      <c r="AW51" s="20">
        <v>2.5064581182823899E-4</v>
      </c>
      <c r="AX51" s="18"/>
      <c r="AY51" s="20">
        <v>8.9567785620735897E-5</v>
      </c>
      <c r="AZ51" s="18"/>
      <c r="BA51" s="20">
        <v>-2.5661744575827101E-4</v>
      </c>
      <c r="BB51" s="18"/>
      <c r="BC51" s="20">
        <v>7.8157466037111196E-5</v>
      </c>
      <c r="BD51" s="18"/>
      <c r="BE51" s="20">
        <v>-3.34774911795396E-4</v>
      </c>
      <c r="BF51" s="18"/>
      <c r="BG51" s="20"/>
      <c r="BH51" s="18"/>
    </row>
    <row r="52" spans="1:60" x14ac:dyDescent="0.2">
      <c r="A52" s="16">
        <v>2020</v>
      </c>
      <c r="B52" s="16"/>
      <c r="C52" s="20"/>
      <c r="D52" s="18"/>
      <c r="E52" s="20">
        <v>-2.08395752963371E-2</v>
      </c>
      <c r="F52" s="18"/>
      <c r="G52" s="20">
        <v>-7.1062633009328296E-5</v>
      </c>
      <c r="H52" s="18"/>
      <c r="I52" s="20">
        <v>-1.9743751754289499E-5</v>
      </c>
      <c r="J52" s="18"/>
      <c r="K52" s="20">
        <v>-6.6179338710507102E-3</v>
      </c>
      <c r="L52" s="18"/>
      <c r="M52" s="20">
        <v>4.0742322954815096E-3</v>
      </c>
      <c r="N52" s="18"/>
      <c r="O52" s="20">
        <v>-1.06921661665323E-2</v>
      </c>
      <c r="P52" s="18"/>
      <c r="Q52" s="20">
        <v>-1.30779079162859E-3</v>
      </c>
      <c r="R52" s="18"/>
      <c r="S52" s="20">
        <v>2.1020394878322999E-4</v>
      </c>
      <c r="T52" s="18"/>
      <c r="U52" s="20">
        <v>-1.0009411230994601E-3</v>
      </c>
      <c r="V52" s="18"/>
      <c r="W52" s="20">
        <v>1.8855600571326301E-3</v>
      </c>
      <c r="X52" s="18"/>
      <c r="Y52" s="20">
        <v>-4.8014950932160098E-4</v>
      </c>
      <c r="Z52" s="18"/>
      <c r="AA52" s="20">
        <v>-6.2669029129925301E-3</v>
      </c>
      <c r="AB52" s="18"/>
      <c r="AC52" s="20">
        <v>-7.9136158081506893E-3</v>
      </c>
      <c r="AD52" s="18"/>
      <c r="AE52" s="20">
        <v>9.99178256304901E-4</v>
      </c>
      <c r="AF52" s="18"/>
      <c r="AG52" s="20">
        <v>4.3483413650671002E-3</v>
      </c>
      <c r="AH52" s="18"/>
      <c r="AI52" s="20">
        <v>3.0785082821432699E-3</v>
      </c>
      <c r="AJ52" s="18"/>
      <c r="AK52" s="20">
        <v>4.45147728170432E-4</v>
      </c>
      <c r="AL52" s="18"/>
      <c r="AM52" s="20">
        <v>-1.7676253175415799E-3</v>
      </c>
      <c r="AN52" s="18"/>
      <c r="AO52" s="20">
        <v>1.53477199447064E-3</v>
      </c>
      <c r="AP52" s="18"/>
      <c r="AQ52" s="20">
        <v>1.6413278150564101E-4</v>
      </c>
      <c r="AR52" s="18"/>
      <c r="AS52" s="20">
        <v>-1.1160961980206301E-3</v>
      </c>
      <c r="AT52" s="18"/>
      <c r="AU52" s="20">
        <v>-2.18669400292464E-3</v>
      </c>
      <c r="AV52" s="18"/>
      <c r="AW52" s="20">
        <v>-1.1987794822164099E-3</v>
      </c>
      <c r="AX52" s="18"/>
      <c r="AY52" s="20">
        <v>-5.1457780721240998E-4</v>
      </c>
      <c r="AZ52" s="18"/>
      <c r="BA52" s="20">
        <v>-1.71300457067389E-3</v>
      </c>
      <c r="BB52" s="18"/>
      <c r="BC52" s="20">
        <v>-9.4966509443045796E-4</v>
      </c>
      <c r="BD52" s="18"/>
      <c r="BE52" s="20">
        <v>-7.6333947624343198E-4</v>
      </c>
      <c r="BF52" s="18"/>
      <c r="BG52" s="20"/>
      <c r="BH52" s="18"/>
    </row>
    <row r="53" spans="1:60" x14ac:dyDescent="0.2">
      <c r="A53" s="16">
        <v>2021</v>
      </c>
      <c r="B53" s="16"/>
      <c r="C53" s="20"/>
      <c r="D53" s="18"/>
      <c r="E53" s="20">
        <v>6.0337753839695897E-2</v>
      </c>
      <c r="F53" s="18"/>
      <c r="G53" s="20">
        <v>-4.3118027228079597E-4</v>
      </c>
      <c r="H53" s="18"/>
      <c r="I53" s="20">
        <v>-3.1622601323812497E-5</v>
      </c>
      <c r="J53" s="18"/>
      <c r="K53" s="20">
        <v>4.1295748343800898E-2</v>
      </c>
      <c r="L53" s="18"/>
      <c r="M53" s="20">
        <v>2.2060116295415499E-2</v>
      </c>
      <c r="N53" s="18"/>
      <c r="O53" s="20">
        <v>1.92356320483855E-2</v>
      </c>
      <c r="P53" s="18"/>
      <c r="Q53" s="20">
        <v>-2.6499482488327101E-3</v>
      </c>
      <c r="R53" s="18"/>
      <c r="S53" s="20">
        <v>-1.7042147236184701E-4</v>
      </c>
      <c r="T53" s="18"/>
      <c r="U53" s="20">
        <v>1.24805744984503E-3</v>
      </c>
      <c r="V53" s="18"/>
      <c r="W53" s="20">
        <v>-1.22929993957643E-2</v>
      </c>
      <c r="X53" s="18"/>
      <c r="Y53" s="20">
        <v>1.5554234028859501E-3</v>
      </c>
      <c r="Z53" s="18"/>
      <c r="AA53" s="20">
        <v>2.5238730806473502E-3</v>
      </c>
      <c r="AB53" s="18"/>
      <c r="AC53" s="20">
        <v>-2.65275746829331E-4</v>
      </c>
      <c r="AD53" s="18"/>
      <c r="AE53" s="20">
        <v>2.5377418701295999E-3</v>
      </c>
      <c r="AF53" s="18"/>
      <c r="AG53" s="20">
        <v>5.6745720976466001E-3</v>
      </c>
      <c r="AH53" s="18"/>
      <c r="AI53" s="20">
        <v>5.5448758041783102E-3</v>
      </c>
      <c r="AJ53" s="18"/>
      <c r="AK53" s="20">
        <v>-2.1372838083694602E-3</v>
      </c>
      <c r="AL53" s="18"/>
      <c r="AM53" s="20">
        <v>1.16193944847039E-2</v>
      </c>
      <c r="AN53" s="18"/>
      <c r="AO53" s="20">
        <v>7.6506781536431602E-4</v>
      </c>
      <c r="AP53" s="18"/>
      <c r="AQ53" s="20">
        <v>1.26765683351155E-4</v>
      </c>
      <c r="AR53" s="18"/>
      <c r="AS53" s="20">
        <v>4.9238314644773403E-3</v>
      </c>
      <c r="AT53" s="18"/>
      <c r="AU53" s="20">
        <v>3.89667704570792E-3</v>
      </c>
      <c r="AV53" s="18"/>
      <c r="AW53" s="20">
        <v>1.37006542859728E-3</v>
      </c>
      <c r="AX53" s="18"/>
      <c r="AY53" s="20">
        <v>1.9740681281742899E-4</v>
      </c>
      <c r="AZ53" s="18"/>
      <c r="BA53" s="20">
        <v>1.42453001660217E-3</v>
      </c>
      <c r="BB53" s="18"/>
      <c r="BC53" s="20">
        <v>1.70552031257885E-3</v>
      </c>
      <c r="BD53" s="18"/>
      <c r="BE53" s="20">
        <v>-2.8099029597666901E-4</v>
      </c>
      <c r="BF53" s="18"/>
      <c r="BG53" s="20"/>
      <c r="BH53" s="18"/>
    </row>
    <row r="54" spans="1:60" x14ac:dyDescent="0.2">
      <c r="A54" s="16">
        <v>2022</v>
      </c>
      <c r="B54" s="16"/>
      <c r="C54" s="20"/>
      <c r="D54" s="18"/>
      <c r="E54" s="20">
        <v>3.4325011599446703E-2</v>
      </c>
      <c r="F54" s="18"/>
      <c r="G54" s="20">
        <v>6.8568070362968895E-4</v>
      </c>
      <c r="H54" s="18"/>
      <c r="I54" s="20">
        <v>-1.13267834961601E-4</v>
      </c>
      <c r="J54" s="18"/>
      <c r="K54" s="20">
        <v>1.26899701488243E-2</v>
      </c>
      <c r="L54" s="18"/>
      <c r="M54" s="20">
        <v>4.8725252719125601E-3</v>
      </c>
      <c r="N54" s="18"/>
      <c r="O54" s="20">
        <v>7.8174448769117201E-3</v>
      </c>
      <c r="P54" s="18"/>
      <c r="Q54" s="20">
        <v>1.9656051494022502E-3</v>
      </c>
      <c r="R54" s="18"/>
      <c r="S54" s="20">
        <v>2.50832859992509E-4</v>
      </c>
      <c r="T54" s="18"/>
      <c r="U54" s="20">
        <v>-1.9930992251391598E-3</v>
      </c>
      <c r="V54" s="18"/>
      <c r="W54" s="20">
        <v>-1.0991288326105899E-2</v>
      </c>
      <c r="X54" s="18"/>
      <c r="Y54" s="20">
        <v>-7.1047873610148197E-5</v>
      </c>
      <c r="Z54" s="18"/>
      <c r="AA54" s="20">
        <v>3.3995973302724798E-3</v>
      </c>
      <c r="AB54" s="18"/>
      <c r="AC54" s="20">
        <v>6.6975435369208101E-3</v>
      </c>
      <c r="AD54" s="18"/>
      <c r="AE54" s="20">
        <v>3.12593105035563E-3</v>
      </c>
      <c r="AF54" s="18"/>
      <c r="AG54" s="20">
        <v>3.72347041646673E-3</v>
      </c>
      <c r="AH54" s="18"/>
      <c r="AI54" s="20">
        <v>-1.7588487689419801E-3</v>
      </c>
      <c r="AJ54" s="18"/>
      <c r="AK54" s="20">
        <v>4.2247914927427202E-3</v>
      </c>
      <c r="AL54" s="18"/>
      <c r="AM54" s="20">
        <v>5.3720378695308697E-3</v>
      </c>
      <c r="AN54" s="18"/>
      <c r="AO54" s="20">
        <v>9.0486350343611799E-4</v>
      </c>
      <c r="AP54" s="18"/>
      <c r="AQ54" s="20">
        <v>9.27650586384017E-4</v>
      </c>
      <c r="AR54" s="18"/>
      <c r="AS54" s="20">
        <v>3.38268284870675E-3</v>
      </c>
      <c r="AT54" s="18"/>
      <c r="AU54" s="20">
        <v>3.3278100774416001E-3</v>
      </c>
      <c r="AV54" s="18"/>
      <c r="AW54" s="20">
        <v>7.5670645949745896E-4</v>
      </c>
      <c r="AX54" s="18"/>
      <c r="AY54" s="20">
        <v>2.1228444479220299E-4</v>
      </c>
      <c r="AZ54" s="18"/>
      <c r="BA54" s="20">
        <v>1.01801754735109E-3</v>
      </c>
      <c r="BB54" s="18"/>
      <c r="BC54" s="20">
        <v>1.6587313544554E-3</v>
      </c>
      <c r="BD54" s="18"/>
      <c r="BE54" s="20">
        <v>-6.4071380710430299E-4</v>
      </c>
      <c r="BF54" s="18"/>
      <c r="BG54" s="20"/>
      <c r="BH54" s="18"/>
    </row>
    <row r="55" spans="1:60" x14ac:dyDescent="0.2">
      <c r="A55" s="16">
        <v>2023</v>
      </c>
      <c r="B55" s="16"/>
      <c r="C55" s="20"/>
      <c r="D55" s="18"/>
      <c r="E55" s="20">
        <v>8.9227462706957805E-3</v>
      </c>
      <c r="F55" s="18"/>
      <c r="G55" s="20">
        <v>3.0147921187001799E-5</v>
      </c>
      <c r="H55" s="18"/>
      <c r="I55" s="20">
        <v>-6.1875505488351203E-7</v>
      </c>
      <c r="J55" s="18"/>
      <c r="K55" s="20">
        <v>-3.3693444937617002E-3</v>
      </c>
      <c r="L55" s="18"/>
      <c r="M55" s="20">
        <v>2.0470828673931798E-3</v>
      </c>
      <c r="N55" s="18"/>
      <c r="O55" s="20">
        <v>-5.4164273611548601E-3</v>
      </c>
      <c r="P55" s="18"/>
      <c r="Q55" s="20">
        <v>-1.39537850597809E-3</v>
      </c>
      <c r="R55" s="18"/>
      <c r="S55" s="20">
        <v>4.3666745808509499E-4</v>
      </c>
      <c r="T55" s="18"/>
      <c r="U55" s="20">
        <v>-5.4308891841693403E-4</v>
      </c>
      <c r="V55" s="18"/>
      <c r="W55" s="20">
        <v>6.23900357245224E-3</v>
      </c>
      <c r="X55" s="18"/>
      <c r="Y55" s="20">
        <v>-4.3480932867000802E-4</v>
      </c>
      <c r="Z55" s="18"/>
      <c r="AA55" s="20">
        <v>1.61608967408151E-3</v>
      </c>
      <c r="AB55" s="18"/>
      <c r="AC55" s="20">
        <v>1.2094817666532E-3</v>
      </c>
      <c r="AD55" s="18"/>
      <c r="AE55" s="20">
        <v>2.4483745452518698E-3</v>
      </c>
      <c r="AF55" s="18"/>
      <c r="AG55" s="20">
        <v>-1.72944487833051E-3</v>
      </c>
      <c r="AH55" s="18"/>
      <c r="AI55" s="20">
        <v>-4.27658658185473E-3</v>
      </c>
      <c r="AJ55" s="18"/>
      <c r="AK55" s="20">
        <v>1.9179584151083401E-3</v>
      </c>
      <c r="AL55" s="18"/>
      <c r="AM55" s="20">
        <v>3.4405335974302198E-3</v>
      </c>
      <c r="AN55" s="18"/>
      <c r="AO55" s="20">
        <v>1.5822309057024E-5</v>
      </c>
      <c r="AP55" s="18"/>
      <c r="AQ55" s="20">
        <v>1.2313459446151201E-3</v>
      </c>
      <c r="AR55" s="18"/>
      <c r="AS55" s="20">
        <v>1.7308811269962101E-3</v>
      </c>
      <c r="AT55" s="18"/>
      <c r="AU55" s="20">
        <v>-2.8643011383882701E-3</v>
      </c>
      <c r="AV55" s="18"/>
      <c r="AW55" s="20">
        <v>2.9782787574648999E-4</v>
      </c>
      <c r="AX55" s="18"/>
      <c r="AY55" s="20">
        <v>1.28747169070361E-4</v>
      </c>
      <c r="AZ55" s="18"/>
      <c r="BA55" s="20">
        <v>-6.6713754245707399E-4</v>
      </c>
      <c r="BB55" s="18"/>
      <c r="BC55" s="20">
        <v>-7.9391061002923998E-5</v>
      </c>
      <c r="BD55" s="18"/>
      <c r="BE55" s="20">
        <v>-5.8774648145415095E-4</v>
      </c>
      <c r="BF55" s="18"/>
      <c r="BG55" s="20"/>
      <c r="BH55" s="18"/>
    </row>
    <row r="56" spans="1:60" x14ac:dyDescent="0.2">
      <c r="A56" s="16">
        <v>2024</v>
      </c>
      <c r="B56" s="16"/>
      <c r="C56" s="20"/>
      <c r="D56" s="18"/>
      <c r="E56" s="20">
        <v>1.43259824120645E-2</v>
      </c>
      <c r="F56" s="18"/>
      <c r="G56" s="20">
        <v>-1.3005315288646099E-4</v>
      </c>
      <c r="H56" s="18"/>
      <c r="I56" s="20">
        <v>1.7863502589617E-5</v>
      </c>
      <c r="J56" s="18"/>
      <c r="K56" s="20">
        <v>1.83279360157747E-3</v>
      </c>
      <c r="L56" s="18"/>
      <c r="M56" s="20">
        <v>9.4170256772025292E-3</v>
      </c>
      <c r="N56" s="18"/>
      <c r="O56" s="20">
        <v>-7.5842320756250503E-3</v>
      </c>
      <c r="P56" s="18"/>
      <c r="Q56" s="20">
        <v>-3.29865098484705E-3</v>
      </c>
      <c r="R56" s="18"/>
      <c r="S56" s="20">
        <v>6.5189968441175899E-6</v>
      </c>
      <c r="T56" s="18"/>
      <c r="U56" s="20">
        <v>1.4041917406411601E-4</v>
      </c>
      <c r="V56" s="18"/>
      <c r="W56" s="20">
        <v>-1.0848262878121501E-3</v>
      </c>
      <c r="X56" s="18"/>
      <c r="Y56" s="20">
        <v>1.1705022700489499E-3</v>
      </c>
      <c r="Z56" s="18"/>
      <c r="AA56" s="20">
        <v>2.1953465154700601E-4</v>
      </c>
      <c r="AB56" s="18"/>
      <c r="AC56" s="20">
        <v>-3.8066925321789797E-5</v>
      </c>
      <c r="AD56" s="18"/>
      <c r="AE56" s="20">
        <v>2.7380512847497299E-3</v>
      </c>
      <c r="AF56" s="18"/>
      <c r="AG56" s="20">
        <v>1.1941712901777899E-3</v>
      </c>
      <c r="AH56" s="18"/>
      <c r="AI56" s="20">
        <v>-8.3471096052821698E-4</v>
      </c>
      <c r="AJ56" s="18"/>
      <c r="AK56" s="20">
        <v>2.0700451752162898E-3</v>
      </c>
      <c r="AL56" s="18"/>
      <c r="AM56" s="20">
        <v>4.8257230726229203E-3</v>
      </c>
      <c r="AN56" s="18"/>
      <c r="AO56" s="20">
        <v>7.0490303175344199E-4</v>
      </c>
      <c r="AP56" s="18"/>
      <c r="AQ56" s="20">
        <v>5.3061314611601998E-4</v>
      </c>
      <c r="AR56" s="18"/>
      <c r="AS56" s="20">
        <v>4.09568943579257E-3</v>
      </c>
      <c r="AT56" s="18"/>
      <c r="AU56" s="20">
        <v>2.8502505806536102E-3</v>
      </c>
      <c r="AV56" s="18"/>
      <c r="AW56" s="20">
        <v>-1.7588861884980199E-4</v>
      </c>
      <c r="AX56" s="18"/>
      <c r="AY56" s="20">
        <v>-1.03063386706908E-4</v>
      </c>
      <c r="AZ56" s="18"/>
      <c r="BA56" s="20">
        <v>-4.22645893113626E-4</v>
      </c>
      <c r="BB56" s="18"/>
      <c r="BC56" s="20">
        <v>3.3713916280267301E-4</v>
      </c>
      <c r="BD56" s="18"/>
      <c r="BE56" s="20">
        <v>-7.5978505591631196E-4</v>
      </c>
      <c r="BF56" s="18"/>
      <c r="BG56" s="20"/>
      <c r="BH56" s="18"/>
    </row>
    <row r="57" spans="1:60" x14ac:dyDescent="0.2">
      <c r="A57" s="16"/>
      <c r="B57" s="16"/>
      <c r="C57" s="20"/>
      <c r="D57" s="18"/>
      <c r="E57" s="20"/>
      <c r="F57" s="18"/>
      <c r="G57" s="20"/>
      <c r="H57" s="18"/>
      <c r="I57" s="20"/>
      <c r="J57" s="18"/>
      <c r="K57" s="20"/>
      <c r="L57" s="18"/>
      <c r="M57" s="20"/>
      <c r="N57" s="18"/>
      <c r="O57" s="20"/>
      <c r="P57" s="18"/>
      <c r="Q57" s="20"/>
      <c r="R57" s="18"/>
      <c r="S57" s="20"/>
      <c r="T57" s="18"/>
      <c r="U57" s="20"/>
      <c r="V57" s="18"/>
      <c r="W57" s="20"/>
      <c r="X57" s="18"/>
      <c r="Y57" s="20"/>
      <c r="Z57" s="18"/>
      <c r="AA57" s="20"/>
      <c r="AB57" s="18"/>
      <c r="AC57" s="20"/>
      <c r="AD57" s="18"/>
      <c r="AE57" s="20"/>
      <c r="AF57" s="18"/>
      <c r="AG57" s="20"/>
      <c r="AH57" s="18"/>
      <c r="AI57" s="20"/>
      <c r="AJ57" s="18"/>
      <c r="AK57" s="20"/>
      <c r="AL57" s="18"/>
      <c r="AM57" s="20"/>
      <c r="AN57" s="18"/>
      <c r="AO57" s="20"/>
      <c r="AP57" s="18"/>
      <c r="AQ57" s="20"/>
      <c r="AR57" s="18"/>
      <c r="AS57" s="20"/>
      <c r="AT57" s="18"/>
      <c r="AU57" s="20"/>
      <c r="AV57" s="18"/>
      <c r="AW57" s="20"/>
      <c r="AX57" s="18"/>
      <c r="AY57" s="20"/>
      <c r="AZ57" s="18"/>
      <c r="BA57" s="20"/>
      <c r="BB57" s="18"/>
      <c r="BC57" s="20"/>
      <c r="BD57" s="18"/>
      <c r="BE57" s="20"/>
      <c r="BF57" s="18"/>
      <c r="BG57" s="20"/>
      <c r="BH57" s="18"/>
    </row>
  </sheetData>
  <sheetProtection password="DD0B" sheet="1"/>
  <mergeCells count="66">
    <mergeCell ref="C5:D10"/>
    <mergeCell ref="E6:F10"/>
    <mergeCell ref="G6:H10"/>
    <mergeCell ref="I6:J10"/>
    <mergeCell ref="K6:L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AS6:AT10"/>
    <mergeCell ref="S6:T10"/>
    <mergeCell ref="AQ11:AR11"/>
    <mergeCell ref="AU11:AV11"/>
    <mergeCell ref="AW11:AX11"/>
    <mergeCell ref="AS11:AT11"/>
    <mergeCell ref="U11:V11"/>
    <mergeCell ref="W11:X11"/>
    <mergeCell ref="Y11:Z11"/>
    <mergeCell ref="AA11:AB11"/>
    <mergeCell ref="AG11:AH11"/>
    <mergeCell ref="AK11:AL11"/>
    <mergeCell ref="AY11:AZ11"/>
    <mergeCell ref="BC11:B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O11:P11"/>
    <mergeCell ref="O8:P10"/>
    <mergeCell ref="AI6:AJ6"/>
    <mergeCell ref="AI7:AJ7"/>
    <mergeCell ref="AI8:AJ10"/>
    <mergeCell ref="AE11:AF11"/>
    <mergeCell ref="AE6:AF10"/>
    <mergeCell ref="U6:V10"/>
    <mergeCell ref="W6:X10"/>
    <mergeCell ref="AA6:AB10"/>
    <mergeCell ref="Y8:Z10"/>
    <mergeCell ref="Q6:R10"/>
    <mergeCell ref="O6:P6"/>
    <mergeCell ref="O7:P7"/>
    <mergeCell ref="AC6:AD10"/>
    <mergeCell ref="AC11:AD11"/>
    <mergeCell ref="AK6:AL6"/>
    <mergeCell ref="AK7:AL7"/>
    <mergeCell ref="AK8:AL10"/>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le11"/>
  <dimension ref="A1:AX57"/>
  <sheetViews>
    <sheetView workbookViewId="0">
      <pane ySplit="4" topLeftCell="A14" activePane="bottomLeft" state="frozen"/>
      <selection pane="bottomLeft" activeCell="N26" sqref="N26"/>
    </sheetView>
  </sheetViews>
  <sheetFormatPr defaultColWidth="11.5546875" defaultRowHeight="10" x14ac:dyDescent="0.2"/>
  <sheetData>
    <row r="1" spans="1:3" ht="11.25" customHeight="1" x14ac:dyDescent="0.2">
      <c r="A1" s="15" t="s">
        <v>6</v>
      </c>
      <c r="C1" s="14">
        <v>4</v>
      </c>
    </row>
    <row r="2" spans="1:3" ht="11.25" customHeight="1" x14ac:dyDescent="0.2">
      <c r="A2" s="15" t="s">
        <v>7</v>
      </c>
    </row>
    <row r="3" spans="1:3" ht="11.25" customHeight="1" x14ac:dyDescent="0.2">
      <c r="A3" s="15" t="s">
        <v>8</v>
      </c>
    </row>
    <row r="4" spans="1:3" ht="11.25" customHeight="1" x14ac:dyDescent="0.2">
      <c r="A4" s="15" t="s">
        <v>9</v>
      </c>
    </row>
    <row r="11" spans="1:3" ht="11.25" customHeight="1" x14ac:dyDescent="0.25">
      <c r="A11" s="13" t="s">
        <v>6</v>
      </c>
    </row>
    <row r="12" spans="1:3" ht="11.25" customHeight="1" x14ac:dyDescent="0.2">
      <c r="A12" s="15" t="s">
        <v>88</v>
      </c>
      <c r="B12" s="15" t="s">
        <v>89</v>
      </c>
    </row>
    <row r="13" spans="1:3" ht="11.25" customHeight="1" x14ac:dyDescent="0.2">
      <c r="A13" s="15" t="s">
        <v>149</v>
      </c>
      <c r="B13" s="15" t="s">
        <v>150</v>
      </c>
    </row>
    <row r="14" spans="1:3" ht="11.25" customHeight="1" x14ac:dyDescent="0.2">
      <c r="A14" s="15" t="s">
        <v>157</v>
      </c>
      <c r="B14" s="15" t="s">
        <v>158</v>
      </c>
    </row>
    <row r="15" spans="1:3" ht="11.25" customHeight="1" x14ac:dyDescent="0.2">
      <c r="A15" s="15" t="s">
        <v>151</v>
      </c>
      <c r="B15" s="15" t="s">
        <v>152</v>
      </c>
    </row>
    <row r="16" spans="1:3" ht="11.25" customHeight="1" x14ac:dyDescent="0.2">
      <c r="A16" s="15" t="s">
        <v>58</v>
      </c>
      <c r="B16" s="15" t="s">
        <v>58</v>
      </c>
      <c r="C16" s="15" t="s">
        <v>4</v>
      </c>
    </row>
    <row r="17" spans="1:50" ht="11.25" customHeight="1" x14ac:dyDescent="0.2">
      <c r="D17" s="15" t="s">
        <v>112</v>
      </c>
      <c r="AS17" s="15" t="s">
        <v>34</v>
      </c>
      <c r="AU17" s="15" t="s">
        <v>24</v>
      </c>
      <c r="AW17" s="15" t="s">
        <v>24</v>
      </c>
      <c r="AX17" s="15" t="s">
        <v>24</v>
      </c>
    </row>
    <row r="18" spans="1:50" ht="11.25" customHeight="1" x14ac:dyDescent="0.2">
      <c r="E18" s="15" t="s">
        <v>96</v>
      </c>
      <c r="G18" s="15" t="s">
        <v>35</v>
      </c>
      <c r="I18" s="15" t="s">
        <v>36</v>
      </c>
      <c r="M18" s="15" t="s">
        <v>125</v>
      </c>
      <c r="O18" s="15" t="s">
        <v>126</v>
      </c>
      <c r="Q18" s="15" t="s">
        <v>37</v>
      </c>
      <c r="S18" s="15" t="s">
        <v>117</v>
      </c>
      <c r="W18" s="15" t="s">
        <v>168</v>
      </c>
      <c r="X18" s="15" t="s">
        <v>169</v>
      </c>
      <c r="Y18" s="15" t="s">
        <v>38</v>
      </c>
      <c r="AA18" s="15" t="s">
        <v>175</v>
      </c>
      <c r="AE18" s="15" t="s">
        <v>189</v>
      </c>
      <c r="AG18" s="15" t="s">
        <v>39</v>
      </c>
      <c r="AI18" s="15" t="s">
        <v>40</v>
      </c>
      <c r="AK18" s="15" t="s">
        <v>41</v>
      </c>
      <c r="AM18" s="15" t="s">
        <v>127</v>
      </c>
      <c r="AO18" s="15" t="s">
        <v>146</v>
      </c>
      <c r="AQ18" s="15" t="s">
        <v>42</v>
      </c>
      <c r="AU18" s="15" t="s">
        <v>43</v>
      </c>
      <c r="AW18" s="15" t="s">
        <v>44</v>
      </c>
    </row>
    <row r="19" spans="1:50" ht="11.25" customHeight="1" x14ac:dyDescent="0.2">
      <c r="J19" s="15" t="s">
        <v>128</v>
      </c>
      <c r="K19" s="15" t="s">
        <v>164</v>
      </c>
      <c r="Q19" s="15" t="s">
        <v>24</v>
      </c>
      <c r="U19" s="15" t="s">
        <v>129</v>
      </c>
      <c r="AB19" s="15" t="s">
        <v>179</v>
      </c>
      <c r="AC19" s="15" t="s">
        <v>180</v>
      </c>
      <c r="AG19" s="15" t="s">
        <v>24</v>
      </c>
      <c r="AI19" s="15" t="s">
        <v>24</v>
      </c>
      <c r="AO19" s="15" t="s">
        <v>3</v>
      </c>
      <c r="AQ19" s="15" t="s">
        <v>3</v>
      </c>
    </row>
    <row r="21" spans="1:50" ht="11.25" customHeight="1" x14ac:dyDescent="0.2">
      <c r="A21" s="15" t="s">
        <v>10</v>
      </c>
      <c r="B21" s="15" t="s">
        <v>11</v>
      </c>
    </row>
    <row r="23" spans="1:50" ht="11.25" customHeight="1" x14ac:dyDescent="0.25">
      <c r="A23" s="13" t="s">
        <v>7</v>
      </c>
    </row>
    <row r="24" spans="1:50" ht="11.25" customHeight="1" x14ac:dyDescent="0.2">
      <c r="A24" s="15" t="s">
        <v>90</v>
      </c>
      <c r="B24" s="15" t="s">
        <v>91</v>
      </c>
    </row>
    <row r="25" spans="1:50" ht="11.25" customHeight="1" x14ac:dyDescent="0.2">
      <c r="A25" s="14" t="s">
        <v>104</v>
      </c>
      <c r="B25" s="14" t="s">
        <v>105</v>
      </c>
    </row>
    <row r="26" spans="1:50" ht="11.25" customHeight="1" x14ac:dyDescent="0.2">
      <c r="A26" s="14" t="s">
        <v>159</v>
      </c>
      <c r="B26" s="14" t="s">
        <v>160</v>
      </c>
    </row>
    <row r="27" spans="1:50" ht="11.25" customHeight="1" x14ac:dyDescent="0.2">
      <c r="A27" s="14" t="s">
        <v>19</v>
      </c>
      <c r="B27" s="14" t="s">
        <v>20</v>
      </c>
    </row>
    <row r="28" spans="1:50" ht="11.25" customHeight="1" x14ac:dyDescent="0.2">
      <c r="A28" s="14" t="s">
        <v>22</v>
      </c>
      <c r="B28" s="14" t="s">
        <v>22</v>
      </c>
      <c r="C28" s="15" t="s">
        <v>2</v>
      </c>
      <c r="D28" s="15" t="s">
        <v>3</v>
      </c>
      <c r="Q28" s="15" t="s">
        <v>3</v>
      </c>
      <c r="W28" s="15" t="s">
        <v>3</v>
      </c>
      <c r="Y28" s="15" t="s">
        <v>3</v>
      </c>
      <c r="AA28" s="15" t="s">
        <v>3</v>
      </c>
      <c r="AC28" s="15" t="s">
        <v>3</v>
      </c>
      <c r="AE28" s="15" t="s">
        <v>3</v>
      </c>
      <c r="AG28" s="15" t="s">
        <v>3</v>
      </c>
    </row>
    <row r="29" spans="1:50" ht="11.25" customHeight="1" x14ac:dyDescent="0.2">
      <c r="D29" s="15" t="s">
        <v>113</v>
      </c>
      <c r="AS29" s="15" t="s">
        <v>85</v>
      </c>
      <c r="AU29" s="15" t="s">
        <v>24</v>
      </c>
      <c r="AW29" s="15" t="s">
        <v>24</v>
      </c>
      <c r="AX29" s="15" t="s">
        <v>24</v>
      </c>
    </row>
    <row r="30" spans="1:50" ht="11.25" customHeight="1" x14ac:dyDescent="0.2">
      <c r="E30" s="14" t="s">
        <v>59</v>
      </c>
      <c r="G30" s="14" t="s">
        <v>60</v>
      </c>
      <c r="I30" s="14" t="s">
        <v>61</v>
      </c>
      <c r="M30" s="15" t="s">
        <v>130</v>
      </c>
      <c r="O30" s="14" t="s">
        <v>131</v>
      </c>
      <c r="Q30" s="14" t="s">
        <v>1</v>
      </c>
      <c r="S30" s="14" t="s">
        <v>62</v>
      </c>
      <c r="W30" s="15" t="s">
        <v>170</v>
      </c>
      <c r="X30" s="15" t="s">
        <v>171</v>
      </c>
      <c r="Y30" s="14" t="s">
        <v>63</v>
      </c>
      <c r="AA30" s="14" t="s">
        <v>176</v>
      </c>
      <c r="AC30" s="15"/>
      <c r="AE30" s="14" t="s">
        <v>188</v>
      </c>
      <c r="AG30" s="14" t="s">
        <v>0</v>
      </c>
      <c r="AI30" s="14" t="s">
        <v>64</v>
      </c>
      <c r="AK30" s="14" t="s">
        <v>65</v>
      </c>
      <c r="AM30" s="14" t="s">
        <v>132</v>
      </c>
      <c r="AO30" s="15" t="s">
        <v>133</v>
      </c>
      <c r="AQ30" s="14" t="s">
        <v>97</v>
      </c>
      <c r="AU30" s="14" t="s">
        <v>66</v>
      </c>
      <c r="AW30" s="14" t="s">
        <v>67</v>
      </c>
    </row>
    <row r="31" spans="1:50" ht="11.25" customHeight="1" x14ac:dyDescent="0.2">
      <c r="J31" s="15" t="s">
        <v>134</v>
      </c>
      <c r="K31" s="15" t="s">
        <v>165</v>
      </c>
      <c r="Q31" s="15" t="s">
        <v>24</v>
      </c>
      <c r="U31" s="15" t="s">
        <v>135</v>
      </c>
      <c r="AB31" s="15" t="s">
        <v>181</v>
      </c>
      <c r="AC31" s="15" t="s">
        <v>182</v>
      </c>
      <c r="AG31" s="15" t="s">
        <v>24</v>
      </c>
      <c r="AI31" s="15" t="s">
        <v>24</v>
      </c>
      <c r="AO31" s="15" t="s">
        <v>3</v>
      </c>
      <c r="AQ31" s="15" t="s">
        <v>3</v>
      </c>
    </row>
    <row r="33" spans="1:50" ht="11.25" customHeight="1" x14ac:dyDescent="0.2">
      <c r="A33" s="15" t="s">
        <v>12</v>
      </c>
      <c r="B33" s="15" t="s">
        <v>13</v>
      </c>
    </row>
    <row r="35" spans="1:50" ht="11.25" customHeight="1" x14ac:dyDescent="0.25">
      <c r="A35" s="13" t="s">
        <v>8</v>
      </c>
    </row>
    <row r="36" spans="1:50" ht="11.25" customHeight="1" x14ac:dyDescent="0.2">
      <c r="A36" s="14" t="s">
        <v>92</v>
      </c>
      <c r="B36" s="14" t="s">
        <v>93</v>
      </c>
    </row>
    <row r="37" spans="1:50" ht="11.25" customHeight="1" x14ac:dyDescent="0.2">
      <c r="A37" s="14" t="s">
        <v>106</v>
      </c>
      <c r="B37" s="14" t="s">
        <v>106</v>
      </c>
    </row>
    <row r="38" spans="1:50" ht="11.25" customHeight="1" x14ac:dyDescent="0.2">
      <c r="A38" s="14" t="s">
        <v>161</v>
      </c>
      <c r="B38" s="14" t="s">
        <v>161</v>
      </c>
    </row>
    <row r="39" spans="1:50" ht="11.25" customHeight="1" x14ac:dyDescent="0.2">
      <c r="A39" s="14" t="s">
        <v>107</v>
      </c>
      <c r="B39" s="14" t="s">
        <v>107</v>
      </c>
    </row>
    <row r="40" spans="1:50" ht="11.25" customHeight="1" x14ac:dyDescent="0.2">
      <c r="A40" s="14" t="s">
        <v>23</v>
      </c>
      <c r="B40" s="14" t="s">
        <v>23</v>
      </c>
      <c r="C40" s="15" t="s">
        <v>14</v>
      </c>
      <c r="D40" s="15" t="s">
        <v>3</v>
      </c>
      <c r="Q40" s="15" t="s">
        <v>3</v>
      </c>
      <c r="W40" s="15" t="s">
        <v>3</v>
      </c>
      <c r="Y40" s="15" t="s">
        <v>3</v>
      </c>
      <c r="AA40" s="15" t="s">
        <v>3</v>
      </c>
      <c r="AC40" s="15" t="s">
        <v>3</v>
      </c>
      <c r="AE40" s="15" t="s">
        <v>3</v>
      </c>
      <c r="AG40" s="15" t="s">
        <v>3</v>
      </c>
    </row>
    <row r="41" spans="1:50" ht="11.25" customHeight="1" x14ac:dyDescent="0.2">
      <c r="D41" s="15" t="s">
        <v>114</v>
      </c>
      <c r="AS41" s="15" t="s">
        <v>86</v>
      </c>
      <c r="AU41" s="15" t="s">
        <v>24</v>
      </c>
      <c r="AW41" s="15" t="s">
        <v>24</v>
      </c>
      <c r="AX41" s="15" t="s">
        <v>24</v>
      </c>
    </row>
    <row r="42" spans="1:50" ht="11.25" customHeight="1" x14ac:dyDescent="0.2">
      <c r="E42" s="14" t="s">
        <v>68</v>
      </c>
      <c r="G42" s="14" t="s">
        <v>98</v>
      </c>
      <c r="I42" s="14" t="s">
        <v>69</v>
      </c>
      <c r="M42" s="15" t="s">
        <v>136</v>
      </c>
      <c r="O42" s="14" t="s">
        <v>137</v>
      </c>
      <c r="Q42" s="14" t="s">
        <v>70</v>
      </c>
      <c r="S42" s="14" t="s">
        <v>71</v>
      </c>
      <c r="W42" s="15" t="s">
        <v>198</v>
      </c>
      <c r="X42" s="15" t="s">
        <v>172</v>
      </c>
      <c r="Y42" s="15" t="s">
        <v>72</v>
      </c>
      <c r="AA42" s="14" t="s">
        <v>177</v>
      </c>
      <c r="AC42" s="15"/>
      <c r="AE42" s="15" t="s">
        <v>99</v>
      </c>
      <c r="AG42" s="14" t="s">
        <v>73</v>
      </c>
      <c r="AI42" s="14" t="s">
        <v>74</v>
      </c>
      <c r="AK42" s="14" t="s">
        <v>75</v>
      </c>
      <c r="AM42" s="15" t="s">
        <v>138</v>
      </c>
      <c r="AO42" s="15" t="s">
        <v>139</v>
      </c>
      <c r="AQ42" s="15" t="s">
        <v>100</v>
      </c>
      <c r="AU42" s="14" t="s">
        <v>76</v>
      </c>
      <c r="AW42" s="14" t="s">
        <v>87</v>
      </c>
    </row>
    <row r="43" spans="1:50" ht="11.25" customHeight="1" x14ac:dyDescent="0.2">
      <c r="J43" s="15" t="s">
        <v>140</v>
      </c>
      <c r="K43" s="15" t="s">
        <v>166</v>
      </c>
      <c r="Q43" s="15" t="s">
        <v>24</v>
      </c>
      <c r="U43" s="15" t="s">
        <v>141</v>
      </c>
      <c r="AB43" s="15" t="s">
        <v>183</v>
      </c>
      <c r="AC43" s="15" t="s">
        <v>184</v>
      </c>
      <c r="AG43" s="15" t="s">
        <v>24</v>
      </c>
      <c r="AI43" s="15" t="s">
        <v>24</v>
      </c>
      <c r="AO43" s="15" t="s">
        <v>3</v>
      </c>
      <c r="AQ43" s="15" t="s">
        <v>3</v>
      </c>
    </row>
    <row r="45" spans="1:50" ht="11.25" customHeight="1" x14ac:dyDescent="0.2">
      <c r="A45" s="15" t="s">
        <v>15</v>
      </c>
      <c r="B45" s="15" t="s">
        <v>13</v>
      </c>
    </row>
    <row r="47" spans="1:50" ht="11.25" customHeight="1" x14ac:dyDescent="0.25">
      <c r="A47" s="13" t="s">
        <v>9</v>
      </c>
    </row>
    <row r="48" spans="1:50" ht="11.25" customHeight="1" x14ac:dyDescent="0.2">
      <c r="A48" s="14" t="s">
        <v>94</v>
      </c>
      <c r="B48" s="15" t="s">
        <v>95</v>
      </c>
    </row>
    <row r="49" spans="1:50" ht="11.25" customHeight="1" x14ac:dyDescent="0.2">
      <c r="A49" s="14" t="s">
        <v>16</v>
      </c>
      <c r="B49" s="14" t="s">
        <v>16</v>
      </c>
    </row>
    <row r="50" spans="1:50" ht="11.25" customHeight="1" x14ac:dyDescent="0.2">
      <c r="A50" s="14" t="s">
        <v>162</v>
      </c>
      <c r="B50" s="14" t="s">
        <v>163</v>
      </c>
    </row>
    <row r="51" spans="1:50" ht="11.25" customHeight="1" x14ac:dyDescent="0.2">
      <c r="A51" s="14" t="s">
        <v>5</v>
      </c>
      <c r="B51" s="14" t="s">
        <v>5</v>
      </c>
    </row>
    <row r="52" spans="1:50" ht="11.25" customHeight="1" x14ac:dyDescent="0.2">
      <c r="A52" s="14" t="s">
        <v>21</v>
      </c>
      <c r="B52" s="14" t="s">
        <v>21</v>
      </c>
      <c r="C52" s="15" t="s">
        <v>25</v>
      </c>
      <c r="D52" s="15" t="s">
        <v>3</v>
      </c>
      <c r="Q52" s="15" t="s">
        <v>3</v>
      </c>
      <c r="W52" s="15" t="s">
        <v>3</v>
      </c>
      <c r="Y52" s="15" t="s">
        <v>3</v>
      </c>
      <c r="AA52" s="15" t="s">
        <v>3</v>
      </c>
      <c r="AC52" s="15" t="s">
        <v>3</v>
      </c>
      <c r="AE52" s="15" t="s">
        <v>3</v>
      </c>
      <c r="AG52" s="15" t="s">
        <v>3</v>
      </c>
    </row>
    <row r="53" spans="1:50" ht="11.25" customHeight="1" x14ac:dyDescent="0.2">
      <c r="D53" s="15" t="s">
        <v>115</v>
      </c>
      <c r="AS53" s="15" t="s">
        <v>116</v>
      </c>
      <c r="AU53" s="15" t="s">
        <v>24</v>
      </c>
      <c r="AW53" s="15" t="s">
        <v>24</v>
      </c>
      <c r="AX53" s="15" t="s">
        <v>24</v>
      </c>
    </row>
    <row r="54" spans="1:50" ht="11.25" customHeight="1" x14ac:dyDescent="0.2">
      <c r="E54" s="14" t="s">
        <v>77</v>
      </c>
      <c r="G54" s="14" t="s">
        <v>78</v>
      </c>
      <c r="I54" s="14" t="s">
        <v>79</v>
      </c>
      <c r="M54" s="15" t="s">
        <v>142</v>
      </c>
      <c r="O54" s="14" t="s">
        <v>148</v>
      </c>
      <c r="Q54" s="14" t="s">
        <v>1</v>
      </c>
      <c r="S54" s="14" t="s">
        <v>80</v>
      </c>
      <c r="W54" s="14" t="s">
        <v>173</v>
      </c>
      <c r="X54" s="15" t="s">
        <v>174</v>
      </c>
      <c r="Y54" s="14" t="s">
        <v>81</v>
      </c>
      <c r="AA54" s="14" t="s">
        <v>178</v>
      </c>
      <c r="AC54" s="14"/>
      <c r="AE54" s="14" t="s">
        <v>187</v>
      </c>
      <c r="AG54" s="14" t="s">
        <v>82</v>
      </c>
      <c r="AI54" s="14" t="s">
        <v>83</v>
      </c>
      <c r="AK54" s="14" t="s">
        <v>101</v>
      </c>
      <c r="AM54" s="15" t="s">
        <v>143</v>
      </c>
      <c r="AO54" s="15" t="s">
        <v>144</v>
      </c>
      <c r="AQ54" s="15" t="s">
        <v>102</v>
      </c>
      <c r="AU54" s="14" t="s">
        <v>84</v>
      </c>
      <c r="AW54" s="14" t="s">
        <v>103</v>
      </c>
    </row>
    <row r="55" spans="1:50" ht="11.25" customHeight="1" x14ac:dyDescent="0.2">
      <c r="J55" s="15" t="s">
        <v>147</v>
      </c>
      <c r="K55" s="15" t="s">
        <v>167</v>
      </c>
      <c r="Q55" s="15" t="s">
        <v>24</v>
      </c>
      <c r="U55" s="15" t="s">
        <v>145</v>
      </c>
      <c r="AB55" s="15" t="s">
        <v>185</v>
      </c>
      <c r="AC55" s="15" t="s">
        <v>186</v>
      </c>
      <c r="AG55" s="15" t="s">
        <v>24</v>
      </c>
      <c r="AI55" s="15" t="s">
        <v>24</v>
      </c>
      <c r="AO55" s="15" t="s">
        <v>3</v>
      </c>
      <c r="AQ55" s="15" t="s">
        <v>3</v>
      </c>
    </row>
    <row r="57" spans="1:50" ht="11.25" customHeight="1" x14ac:dyDescent="0.2">
      <c r="A57" s="15" t="s">
        <v>17</v>
      </c>
      <c r="B57" s="15" t="s">
        <v>18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swiss_qna</vt:lpstr>
      <vt:lpstr>nom_q</vt:lpstr>
      <vt:lpstr>real_q</vt:lpstr>
      <vt:lpstr>defl_q</vt:lpstr>
      <vt:lpstr>gc_q</vt:lpstr>
      <vt:lpstr>nom_y</vt:lpstr>
      <vt:lpstr>real_y</vt:lpstr>
      <vt:lpstr>defl_y</vt:lpstr>
      <vt:lpstr>gc_y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title>
  <dc:subject>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subject>
  <dc:creator>Steiner Peter SECO</dc:creator>
  <cp:keywords>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keywords>
  <dc:description>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description>
  <cp:lastModifiedBy>Méline Carpin</cp:lastModifiedBy>
  <cp:lastPrinted>2006-09-05T08:16:16Z</cp:lastPrinted>
  <dcterms:created xsi:type="dcterms:W3CDTF">1998-09-01T12:26:41Z</dcterms:created>
  <dcterms:modified xsi:type="dcterms:W3CDTF">2025-11-16T11:07:50Z</dcterms:modified>
  <cp:category>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category>
</cp:coreProperties>
</file>